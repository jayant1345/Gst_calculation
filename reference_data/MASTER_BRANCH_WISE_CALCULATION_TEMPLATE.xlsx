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1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757" firstSheet="0" activeTab="0" autoFilterDateGrouping="1"/>
  </bookViews>
  <sheets>
    <sheet xmlns:r="http://schemas.openxmlformats.org/officeDocument/2006/relationships" name="ODHAV " sheetId="1" state="visible" r:id="rId1"/>
    <sheet xmlns:r="http://schemas.openxmlformats.org/officeDocument/2006/relationships" name="RAKHIAL" sheetId="2" state="visible" r:id="rId2"/>
    <sheet xmlns:r="http://schemas.openxmlformats.org/officeDocument/2006/relationships" name="NEW SHARDA" sheetId="3" state="visible" r:id="rId3"/>
    <sheet xmlns:r="http://schemas.openxmlformats.org/officeDocument/2006/relationships" name="CHANGODAR" sheetId="4" state="visible" r:id="rId4"/>
    <sheet xmlns:r="http://schemas.openxmlformats.org/officeDocument/2006/relationships" name="ISANPUR" sheetId="5" state="visible" r:id="rId5"/>
    <sheet xmlns:r="http://schemas.openxmlformats.org/officeDocument/2006/relationships" name="MANINAGAR" sheetId="6" state="visible" r:id="rId6"/>
    <sheet xmlns:r="http://schemas.openxmlformats.org/officeDocument/2006/relationships" name="SHANTI COMM" sheetId="7" state="visible" r:id="rId7"/>
    <sheet xmlns:r="http://schemas.openxmlformats.org/officeDocument/2006/relationships" name="MASKATI" sheetId="8" state="visible" r:id="rId8"/>
    <sheet xmlns:r="http://schemas.openxmlformats.org/officeDocument/2006/relationships" name="VEJALPUR" sheetId="9" state="visible" r:id="rId9"/>
    <sheet xmlns:r="http://schemas.openxmlformats.org/officeDocument/2006/relationships" name="JODHPUR-SATELLITE" sheetId="10" state="visible" r:id="rId10"/>
    <sheet xmlns:r="http://schemas.openxmlformats.org/officeDocument/2006/relationships" name="PANJRAPOLE" sheetId="11" state="visible" r:id="rId11"/>
    <sheet xmlns:r="http://schemas.openxmlformats.org/officeDocument/2006/relationships" name="ASHRAM ROAD" sheetId="12" state="visible" r:id="rId12"/>
    <sheet xmlns:r="http://schemas.openxmlformats.org/officeDocument/2006/relationships" name="NARAYANNAGAR" sheetId="13" state="visible" r:id="rId13"/>
    <sheet xmlns:r="http://schemas.openxmlformats.org/officeDocument/2006/relationships" name="NARANPURA" sheetId="14" state="visible" r:id="rId14"/>
    <sheet xmlns:r="http://schemas.openxmlformats.org/officeDocument/2006/relationships" name="DRIVE IN" sheetId="15" state="visible" r:id="rId15"/>
    <sheet xmlns:r="http://schemas.openxmlformats.org/officeDocument/2006/relationships" name="VASANA " sheetId="16" state="visible" r:id="rId16"/>
    <sheet xmlns:r="http://schemas.openxmlformats.org/officeDocument/2006/relationships" name="SURAT" sheetId="17" state="visible" r:id="rId17"/>
    <sheet xmlns:r="http://schemas.openxmlformats.org/officeDocument/2006/relationships" name="LAW GARDEN" sheetId="18" state="visible" r:id="rId18"/>
    <sheet xmlns:r="http://schemas.openxmlformats.org/officeDocument/2006/relationships" name="NEW CLOTH" sheetId="19" state="visible" r:id="rId19"/>
    <sheet xmlns:r="http://schemas.openxmlformats.org/officeDocument/2006/relationships" name="BAPUNAGAR" sheetId="20" state="visible" r:id="rId20"/>
    <sheet xmlns:r="http://schemas.openxmlformats.org/officeDocument/2006/relationships" name="BOPAL" sheetId="21" state="visible" r:id="rId21"/>
    <sheet xmlns:r="http://schemas.openxmlformats.org/officeDocument/2006/relationships" name="THALTEJ" sheetId="22" state="visible" r:id="rId22"/>
    <sheet xmlns:r="http://schemas.openxmlformats.org/officeDocument/2006/relationships" name="CHANDKHEDA" sheetId="23" state="visible" r:id="rId23"/>
    <sheet xmlns:r="http://schemas.openxmlformats.org/officeDocument/2006/relationships" name="VASTRAL" sheetId="24" state="visible" r:id="rId24"/>
    <sheet xmlns:r="http://schemas.openxmlformats.org/officeDocument/2006/relationships" name="Sheet1" sheetId="25" state="visible" r:id="rId25"/>
    <sheet xmlns:r="http://schemas.openxmlformats.org/officeDocument/2006/relationships" name="HO" sheetId="26" state="visible" r:id="rId26"/>
    <sheet xmlns:r="http://schemas.openxmlformats.org/officeDocument/2006/relationships" name="DEMAT" sheetId="27" state="visible" r:id="rId27"/>
    <sheet xmlns:r="http://schemas.openxmlformats.org/officeDocument/2006/relationships" name="SUMMARY SHEET GST" sheetId="28" state="visible" r:id="rId28"/>
    <sheet xmlns:r="http://schemas.openxmlformats.org/officeDocument/2006/relationships" name="Notes" sheetId="29" state="visible" r:id="rId29"/>
    <sheet xmlns:r="http://schemas.openxmlformats.org/officeDocument/2006/relationships" name="GSTN CANCELLTED" sheetId="30" state="visible" r:id="rId30"/>
    <sheet xmlns:r="http://schemas.openxmlformats.org/officeDocument/2006/relationships" name="ODHAV1" sheetId="31" state="visible" r:id="rId31"/>
    <sheet xmlns:r="http://schemas.openxmlformats.org/officeDocument/2006/relationships" name="RAKHIAL1" sheetId="32" state="visible" r:id="rId32"/>
    <sheet xmlns:r="http://schemas.openxmlformats.org/officeDocument/2006/relationships" name="CHANGODAR1" sheetId="33" state="visible" r:id="rId33"/>
    <sheet xmlns:r="http://schemas.openxmlformats.org/officeDocument/2006/relationships" name="SHARDA MANDIR 1" sheetId="34" state="visible" r:id="rId34"/>
    <sheet xmlns:r="http://schemas.openxmlformats.org/officeDocument/2006/relationships" name="ISANPUR1" sheetId="35" state="visible" r:id="rId35"/>
    <sheet xmlns:r="http://schemas.openxmlformats.org/officeDocument/2006/relationships" name="MANINAGAR1" sheetId="36" state="visible" r:id="rId36"/>
    <sheet xmlns:r="http://schemas.openxmlformats.org/officeDocument/2006/relationships" name="SHANTI COMMERCIAL" sheetId="37" state="visible" r:id="rId37"/>
    <sheet xmlns:r="http://schemas.openxmlformats.org/officeDocument/2006/relationships" name="MASKATI MARKET" sheetId="38" state="visible" r:id="rId38"/>
    <sheet xmlns:r="http://schemas.openxmlformats.org/officeDocument/2006/relationships" name="VEJALPUR1" sheetId="39" state="visible" r:id="rId39"/>
    <sheet xmlns:r="http://schemas.openxmlformats.org/officeDocument/2006/relationships" name="JODHPUR1" sheetId="40" state="visible" r:id="rId40"/>
    <sheet xmlns:r="http://schemas.openxmlformats.org/officeDocument/2006/relationships" name="PANJRAPOLE1" sheetId="41" state="visible" r:id="rId41"/>
    <sheet xmlns:r="http://schemas.openxmlformats.org/officeDocument/2006/relationships" name="ASHRAM ROAD 1" sheetId="42" state="visible" r:id="rId42"/>
    <sheet xmlns:r="http://schemas.openxmlformats.org/officeDocument/2006/relationships" name="NARAYANNAGAR1" sheetId="43" state="visible" r:id="rId43"/>
    <sheet xmlns:r="http://schemas.openxmlformats.org/officeDocument/2006/relationships" name="NARANPURA1" sheetId="44" state="visible" r:id="rId44"/>
    <sheet xmlns:r="http://schemas.openxmlformats.org/officeDocument/2006/relationships" name="DRIVE IN1" sheetId="45" state="visible" r:id="rId45"/>
    <sheet xmlns:r="http://schemas.openxmlformats.org/officeDocument/2006/relationships" name="VASNA1" sheetId="46" state="visible" r:id="rId46"/>
    <sheet xmlns:r="http://schemas.openxmlformats.org/officeDocument/2006/relationships" name="SURAT1" sheetId="47" state="visible" r:id="rId47"/>
    <sheet xmlns:r="http://schemas.openxmlformats.org/officeDocument/2006/relationships" name="LAWGARGEN1" sheetId="48" state="visible" r:id="rId48"/>
    <sheet xmlns:r="http://schemas.openxmlformats.org/officeDocument/2006/relationships" name="NEW CLOTH MARKET 1" sheetId="49" state="visible" r:id="rId49"/>
    <sheet xmlns:r="http://schemas.openxmlformats.org/officeDocument/2006/relationships" name="BAPUNAGAR1" sheetId="50" state="visible" r:id="rId50"/>
    <sheet xmlns:r="http://schemas.openxmlformats.org/officeDocument/2006/relationships" name="BOPAL1" sheetId="51" state="visible" r:id="rId51"/>
    <sheet xmlns:r="http://schemas.openxmlformats.org/officeDocument/2006/relationships" name="THALTEJ1" sheetId="52" state="visible" r:id="rId52"/>
    <sheet xmlns:r="http://schemas.openxmlformats.org/officeDocument/2006/relationships" name="CHANDKHEDA1" sheetId="53" state="visible" r:id="rId53"/>
    <sheet xmlns:r="http://schemas.openxmlformats.org/officeDocument/2006/relationships" name="VASTRAL1" sheetId="54" state="visible" r:id="rId54"/>
    <sheet xmlns:r="http://schemas.openxmlformats.org/officeDocument/2006/relationships" name="DEMAT1" sheetId="55" state="visible" r:id="rId55"/>
    <sheet xmlns:r="http://schemas.openxmlformats.org/officeDocument/2006/relationships" name="HO1" sheetId="56" state="visible" r:id="rId56"/>
  </sheets>
  <externalReferences>
    <externalReference xmlns:r="http://schemas.openxmlformats.org/officeDocument/2006/relationships" r:id="rId57"/>
    <externalReference xmlns:r="http://schemas.openxmlformats.org/officeDocument/2006/relationships" r:id="rId58"/>
  </externalReferences>
  <definedNames>
    <definedName name="_xlnm.Print_Area" localSheetId="0">'ODHAV '!$A$1:$F$105</definedName>
    <definedName name="_xlnm.Print_Area" localSheetId="1">'RAKHIAL'!$A$1:$F$97</definedName>
    <definedName name="_xlnm.Print_Area" localSheetId="2">'NEW SHARDA'!$A$1:$F$96</definedName>
    <definedName name="_xlnm.Print_Area" localSheetId="3">'CHANGODAR'!$A$1:$F$92</definedName>
    <definedName name="_xlnm.Print_Area" localSheetId="4">'ISANPUR'!$A$1:$F$94</definedName>
    <definedName name="_xlnm.Print_Area" localSheetId="5">'MANINAGAR'!$A$1:$F$99</definedName>
    <definedName name="_xlnm.Print_Area" localSheetId="6">'SHANTI COMM'!$A$1:$F$97</definedName>
    <definedName name="_xlnm.Print_Area" localSheetId="7">'MASKATI'!$A$1:$F$101</definedName>
    <definedName name="_xlnm.Print_Area" localSheetId="8">'VEJALPUR'!$A$1:$F$94</definedName>
    <definedName name="_xlnm.Print_Area" localSheetId="9">'JODHPUR-SATELLITE'!$A$1:$F$99</definedName>
    <definedName name="_xlnm.Print_Area" localSheetId="10">'PANJRAPOLE'!$A$1:$F$92</definedName>
    <definedName name="_xlnm.Print_Area" localSheetId="11">'ASHRAM ROAD'!$A$1:$F$91</definedName>
    <definedName name="_xlnm.Print_Area" localSheetId="12">'NARAYANNAGAR'!$A$1:$F$102</definedName>
    <definedName name="_xlnm.Print_Area" localSheetId="13">'NARANPURA'!$A$1:$F$94</definedName>
    <definedName name="_xlnm.Print_Area" localSheetId="14">'DRIVE IN'!$A$1:$F$93</definedName>
    <definedName name="_xlnm.Print_Area" localSheetId="15">'VASANA '!$A$1:$F$99</definedName>
    <definedName name="_xlnm.Print_Area" localSheetId="16">'SURAT'!$A$1:$F$97</definedName>
    <definedName name="_xlnm.Print_Area" localSheetId="17">'LAW GARDEN'!$A$1:$F$99</definedName>
    <definedName name="_xlnm.Print_Area" localSheetId="18">'NEW CLOTH'!$A$1:$F$98</definedName>
    <definedName name="_xlnm.Print_Area" localSheetId="19">'BAPUNAGAR'!$A$1:$F$96</definedName>
    <definedName name="_xlnm.Print_Area" localSheetId="20">'BOPAL'!$A$1:$F$100</definedName>
    <definedName name="_xlnm.Print_Area" localSheetId="21">'THALTEJ'!$A$1:$F$99</definedName>
    <definedName name="_xlnm.Print_Area" localSheetId="22">'CHANDKHEDA'!$A$1:$F$97</definedName>
    <definedName name="_xlnm.Print_Area" localSheetId="23">'VASTRAL'!$A$1:$F$100</definedName>
    <definedName name="_xlnm.Print_Area" localSheetId="24">'Sheet1'!$A$1:$I$88</definedName>
    <definedName name="_xlnm.Print_Area" localSheetId="25">'HO'!$A$1:$F$112</definedName>
    <definedName name="_xlnm.Print_Area" localSheetId="26">'DEMAT'!$A$1:$F$61</definedName>
    <definedName name="_xlnm.Print_Area" localSheetId="27">'SUMMARY SHEET GST'!$A$1:$Q$175</definedName>
  </definedNames>
  <calcPr calcId="162913" fullCalcOnLoad="1"/>
</workbook>
</file>

<file path=xl/styles.xml><?xml version="1.0" encoding="utf-8"?>
<styleSheet xmlns="http://schemas.openxmlformats.org/spreadsheetml/2006/main">
  <numFmts count="37">
    <numFmt numFmtId="164" formatCode="_(* #,##0_);_(* \(#,##0\);_(* &quot;-&quot;??_);_(@_)"/>
    <numFmt numFmtId="165" formatCode="_ * #,##0_ ;_ * \-#,##0_ ;_ * &quot;-&quot;??_ ;_ @_ "/>
    <numFmt numFmtId="166" formatCode="_ * #,##0.00_ ;_ * \-#,##0.00_ ;_ * &quot;-&quot;??_ ;_ @_ "/>
    <numFmt numFmtId="167" formatCode="#,##0.00000;\-#,##0.00000"/>
    <numFmt numFmtId="168" formatCode="#,##0.000_);\(#,##0.000\)"/>
    <numFmt numFmtId="169" formatCode="#,##0.000;\-#,##0.000"/>
    <numFmt numFmtId="170" formatCode="#,##0.0000_);\(#,##0.0000\)"/>
    <numFmt numFmtId="171" formatCode="#,##0.00_ ;\-#,##0.00\ "/>
    <numFmt numFmtId="172" formatCode="_(* #,##0.000_);_(* \(#,##0.000\);_(* &quot;-&quot;??_);_(@_)"/>
    <numFmt numFmtId="173" formatCode="mmmm/yyyy"/>
    <numFmt numFmtId="174" formatCode="_ * #,##0.000_ ;_ * \-#,##0.000_ ;_ * &quot;-&quot;??_ ;_ @_ "/>
    <numFmt numFmtId="175" formatCode="#,##0.0000000000000000_);\(#,##0.0000000000000000\)"/>
    <numFmt numFmtId="176" formatCode="#,##0.00000000000000_);\(#,##0.00000000000000\)"/>
    <numFmt numFmtId="177" formatCode="#,##0.0_);\(#,##0.0\)"/>
    <numFmt numFmtId="178" formatCode="#,##0.0_ ;\-#,##0.0\ "/>
    <numFmt numFmtId="179" formatCode="_ [$₹-4009]\ * #,##0.00_ ;_ [$₹-4009]\ * \-#,##0.00_ ;_ [$₹-4009]\ * &quot;-&quot;??_ ;_ @_ "/>
    <numFmt numFmtId="180" formatCode="#,##0.000_ ;\-#,##0.000\ "/>
    <numFmt numFmtId="181" formatCode="[$-10439]#,##0.00;\(#,##0.00\);&quot;&quot;;&quot;&quot;"/>
    <numFmt numFmtId="182" formatCode="mm\ yyyy"/>
    <numFmt numFmtId="183" formatCode="#,##0.00000_);\(#,##0.00000\)"/>
    <numFmt numFmtId="184" formatCode="#,##0.0000000000000_);\(#,##0.0000000000000\)"/>
    <numFmt numFmtId="185" formatCode="#,##0.000000000000_);\(#,##0.000000000000\)"/>
    <numFmt numFmtId="186" formatCode="#,##0.0000;\-#,##0.0000"/>
    <numFmt numFmtId="187" formatCode="_(* #,##0.0000_);_(* \(#,##0.0000\);_(* &quot;-&quot;??_);_(@_)"/>
    <numFmt numFmtId="188" formatCode="[$-10439]#,##0.00;\-#,##0.00"/>
    <numFmt numFmtId="189" formatCode="0.00_);\-0.00"/>
    <numFmt numFmtId="190" formatCode="&quot;$&quot;#,##0.00"/>
    <numFmt numFmtId="191" formatCode="#,##0.0;\-#,##0.0"/>
    <numFmt numFmtId="192" formatCode="dd\/mm\/yyyy"/>
    <numFmt numFmtId="193" formatCode="#,##0.000000000000_ ;\-#,##0.000000000000\ "/>
    <numFmt numFmtId="194" formatCode="_ * #,##0.0_ ;_ * \-#,##0.0_ ;_ * &quot;-&quot;??_ ;_ @_ "/>
    <numFmt numFmtId="195" formatCode="###,##0.00\ \C\R;###,###.00\ \D\R"/>
    <numFmt numFmtId="196" formatCode="[$-F400]h:mm:ss\ AM/PM"/>
    <numFmt numFmtId="197" formatCode="[$-809]dd/mm/yyyy"/>
    <numFmt numFmtId="198" formatCode="#,##0.0000000000000_ ;\-#,##0.0000000000000\ "/>
    <numFmt numFmtId="199" formatCode="[$-10439]#,###,##0.00"/>
    <numFmt numFmtId="200" formatCode="[$-10439]###,###,###.00"/>
  </numFmts>
  <fonts count="1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2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  <u val="single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11"/>
      <u val="single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sz val="9"/>
    </font>
    <font>
      <name val="Arial"/>
      <family val="2"/>
      <sz val="12"/>
      <u val="single"/>
    </font>
    <font>
      <name val="Arial"/>
      <family val="2"/>
      <b val="1"/>
      <sz val="14"/>
      <u val="single"/>
    </font>
    <font>
      <name val="Verdana"/>
      <family val="2"/>
      <color theme="1"/>
      <sz val="13"/>
    </font>
    <font>
      <name val="Verdana"/>
      <family val="2"/>
      <b val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10"/>
    </font>
    <font>
      <name val="Verdana"/>
      <family val="2"/>
      <b val="1"/>
      <color theme="1"/>
      <sz val="13"/>
    </font>
    <font>
      <name val="Verdana"/>
      <family val="2"/>
      <b val="1"/>
      <color theme="1"/>
      <sz val="13"/>
      <u val="single"/>
    </font>
    <font>
      <name val="Calibri"/>
      <family val="2"/>
      <b val="1"/>
      <color theme="1"/>
      <sz val="14"/>
      <scheme val="minor"/>
    </font>
    <font>
      <name val="Arial"/>
      <family val="2"/>
      <b val="1"/>
      <color rgb="FF0070C0"/>
      <sz val="12"/>
    </font>
    <font>
      <name val="Calibri"/>
      <family val="2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Arial"/>
      <family val="2"/>
      <b val="1"/>
      <color rgb="FFFF0000"/>
      <sz val="12"/>
    </font>
    <font>
      <name val="Arial"/>
      <family val="2"/>
      <b val="1"/>
      <sz val="14"/>
    </font>
    <font>
      <name val="Arial"/>
      <family val="2"/>
      <color indexed="8"/>
      <sz val="10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rgb="FFFF0000"/>
      <sz val="16"/>
      <scheme val="minor"/>
    </font>
    <font>
      <name val="Arial"/>
      <family val="2"/>
      <b val="1"/>
      <sz val="9"/>
      <u val="single"/>
    </font>
    <font>
      <name val="Arial"/>
      <family val="2"/>
      <b val="1"/>
      <sz val="9"/>
    </font>
    <font>
      <name val="Arial Unicode MS"/>
      <family val="2"/>
      <color theme="1"/>
      <sz val="10"/>
    </font>
    <font>
      <name val="Calibri"/>
      <family val="2"/>
      <color rgb="FF000000"/>
      <sz val="11"/>
      <scheme val="minor"/>
    </font>
    <font>
      <name val="Arial Black"/>
      <family val="2"/>
      <b val="1"/>
      <sz val="12"/>
    </font>
    <font>
      <name val="Arial Black"/>
      <family val="2"/>
      <b val="1"/>
      <color theme="1"/>
      <sz val="12"/>
    </font>
    <font>
      <name val="Calibri"/>
      <family val="2"/>
      <b val="1"/>
      <sz val="12"/>
      <scheme val="minor"/>
    </font>
    <font>
      <name val="Arial Black"/>
      <family val="2"/>
      <b val="1"/>
      <color rgb="FF0070C0"/>
      <sz val="12"/>
    </font>
    <font>
      <name val="Arial Black"/>
      <family val="2"/>
      <sz val="12"/>
    </font>
    <font>
      <name val="Arial Black"/>
      <family val="2"/>
      <color theme="1"/>
      <sz val="12"/>
    </font>
    <font>
      <name val="Calibri"/>
      <family val="2"/>
      <color rgb="FF00B0F0"/>
      <sz val="12"/>
      <scheme val="minor"/>
    </font>
    <font>
      <name val="Calibri"/>
      <family val="2"/>
      <color indexed="8"/>
      <sz val="12"/>
    </font>
    <font>
      <name val="Calibri"/>
      <family val="2"/>
      <b val="1"/>
      <sz val="14"/>
      <scheme val="minor"/>
    </font>
    <font>
      <name val="Calibri"/>
      <family val="2"/>
      <b val="1"/>
      <sz val="14"/>
      <u val="single"/>
      <scheme val="minor"/>
    </font>
    <font>
      <name val="Calibri"/>
      <family val="2"/>
      <color theme="1"/>
      <sz val="12"/>
      <u val="singleAccounting"/>
      <scheme val="minor"/>
    </font>
    <font>
      <name val="Calibri"/>
      <family val="2"/>
      <color rgb="FFFF0000"/>
      <sz val="12"/>
      <scheme val="minor"/>
    </font>
    <font>
      <name val="Verdana"/>
      <family val="2"/>
      <b val="1"/>
      <color rgb="FF000000"/>
      <sz val="11"/>
    </font>
    <font>
      <name val="Arial"/>
      <family val="2"/>
      <color indexed="8"/>
      <sz val="9"/>
    </font>
    <font>
      <name val="Arial Black"/>
      <family val="2"/>
      <b val="1"/>
      <color theme="1"/>
      <sz val="14"/>
    </font>
    <font>
      <name val="Arial"/>
      <family val="2"/>
      <color indexed="8"/>
      <sz val="9"/>
    </font>
    <font>
      <name val="Verdana"/>
      <family val="2"/>
      <color indexed="8"/>
      <sz val="9"/>
    </font>
    <font>
      <name val="Verdana"/>
      <family val="2"/>
      <color theme="1"/>
      <sz val="12"/>
    </font>
    <font>
      <name val="Verdana"/>
      <family val="2"/>
      <color rgb="FFFF0000"/>
      <sz val="13"/>
    </font>
    <font>
      <name val="Verdana"/>
      <family val="2"/>
      <b val="1"/>
      <color theme="1"/>
      <sz val="12"/>
    </font>
    <font>
      <name val="Arial"/>
      <family val="2"/>
      <color rgb="FFFF0000"/>
      <sz val="12"/>
    </font>
    <font>
      <name val="Verdana"/>
      <family val="2"/>
      <color indexed="8"/>
      <sz val="12"/>
    </font>
    <font>
      <name val="Verdana"/>
      <family val="2"/>
      <b val="1"/>
      <color indexed="8"/>
      <sz val="11"/>
    </font>
    <font>
      <name val="Verdana"/>
      <family val="2"/>
      <b val="1"/>
      <sz val="11"/>
    </font>
    <font>
      <name val="Courier New"/>
      <family val="3"/>
      <color rgb="FF000000"/>
      <sz val="8"/>
    </font>
    <font>
      <name val="Courier New"/>
      <family val="3"/>
      <color indexed="8"/>
      <sz val="10"/>
    </font>
    <font>
      <name val="MS Sans Serif"/>
      <color indexed="8"/>
      <sz val="10"/>
    </font>
    <font>
      <name val="Calibri"/>
      <family val="2"/>
      <color rgb="FFFF0000"/>
      <sz val="15"/>
      <scheme val="minor"/>
    </font>
    <font>
      <name val="Calibri"/>
      <family val="2"/>
      <color rgb="FFFF0000"/>
      <sz val="16"/>
      <scheme val="minor"/>
    </font>
    <font>
      <name val="Verdana"/>
      <family val="2"/>
      <color rgb="FF212121"/>
      <sz val="11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ourier New"/>
      <family val="3"/>
      <b val="1"/>
      <color rgb="FF000000"/>
      <sz val="9"/>
    </font>
    <font>
      <name val="Calibri"/>
      <family val="2"/>
      <sz val="11"/>
    </font>
    <font>
      <name val="Courier New"/>
      <family val="3"/>
      <b val="1"/>
      <color rgb="FF000000"/>
      <sz val="9"/>
    </font>
    <font>
      <name val="Calibri"/>
      <family val="2"/>
      <sz val="11"/>
    </font>
    <font>
      <name val="Calibri"/>
      <family val="2"/>
      <color theme="1"/>
      <sz val="15"/>
      <scheme val="minor"/>
    </font>
    <font>
      <name val="Courier New"/>
      <family val="3"/>
      <color rgb="FF000000"/>
      <sz val="10"/>
    </font>
    <font>
      <name val="Calibri"/>
      <family val="2"/>
      <sz val="11"/>
      <scheme val="minor"/>
    </font>
    <font>
      <name val="Verdana"/>
      <family val="2"/>
      <b val="1"/>
      <color theme="1"/>
      <sz val="10"/>
    </font>
    <font>
      <name val="Verdana"/>
      <family val="2"/>
      <sz val="9"/>
    </font>
    <font>
      <name val="Calibri"/>
      <family val="2"/>
      <color rgb="FFFFFF00"/>
      <sz val="11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8"/>
      <scheme val="minor"/>
    </font>
    <font>
      <name val="Wingdings"/>
      <charset val="2"/>
      <color rgb="FF000000"/>
      <sz val="14"/>
    </font>
    <font>
      <name val="Verdana"/>
      <family val="2"/>
      <b val="1"/>
      <sz val="13"/>
    </font>
    <font>
      <name val="Arial Unicode MS"/>
      <family val="2"/>
      <color rgb="FF000000"/>
      <sz val="10"/>
    </font>
    <font>
      <name val="Verdana"/>
      <family val="2"/>
      <b val="1"/>
      <color theme="1"/>
      <sz val="11"/>
    </font>
    <font>
      <name val="Arial"/>
      <family val="2"/>
      <color indexed="8"/>
      <sz val="9"/>
    </font>
    <font>
      <name val="Verdana"/>
      <family val="2"/>
      <b val="1"/>
      <color indexed="8"/>
      <sz val="12"/>
    </font>
    <font>
      <name val="Calibri"/>
      <family val="2"/>
      <b val="1"/>
      <sz val="16"/>
      <scheme val="minor"/>
    </font>
    <font>
      <name val="Arial"/>
      <family val="2"/>
      <color indexed="8"/>
      <sz val="11"/>
    </font>
    <font>
      <name val="Arial"/>
      <family val="2"/>
      <color indexed="8"/>
      <sz val="12"/>
    </font>
    <font>
      <name val="Calibri"/>
      <family val="2"/>
      <color rgb="FFED0000"/>
      <sz val="11"/>
      <scheme val="minor"/>
    </font>
    <font>
      <name val="Verdana"/>
      <family val="2"/>
      <b val="1"/>
      <color rgb="FFFF0000"/>
      <sz val="13"/>
    </font>
    <font>
      <name val="Verdana"/>
      <family val="2"/>
      <color theme="1"/>
      <sz val="13"/>
      <u val="single"/>
    </font>
    <font>
      <name val="Verdana"/>
      <family val="2"/>
      <sz val="13"/>
    </font>
    <font>
      <name val="Verdana"/>
      <family val="2"/>
      <b val="1"/>
      <color rgb="FFFF0000"/>
      <sz val="16"/>
    </font>
    <font>
      <name val="Calibri"/>
      <family val="2"/>
      <b val="1"/>
      <color rgb="FFFF0000"/>
      <sz val="10"/>
      <scheme val="minor"/>
    </font>
    <font>
      <name val="Verdana"/>
      <family val="2"/>
      <color theme="1"/>
      <sz val="13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1.5"/>
      <scheme val="minor"/>
    </font>
    <font>
      <name val="Calibri"/>
      <family val="2"/>
      <color rgb="FFFF0000"/>
      <sz val="11.5"/>
      <scheme val="minor"/>
    </font>
    <font>
      <name val="Arial"/>
      <family val="2"/>
      <color rgb="FFFF0000"/>
      <sz val="11.5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color rgb="FFFF0000"/>
      <sz val="11"/>
    </font>
    <font>
      <name val="Calibri"/>
      <family val="2"/>
      <b val="1"/>
      <color theme="1"/>
      <sz val="16"/>
      <scheme val="minor"/>
    </font>
    <font>
      <name val="Arial"/>
      <family val="2"/>
      <color indexed="8"/>
      <sz val="9"/>
    </font>
    <font>
      <name val="Arial"/>
      <family val="2"/>
      <b val="1"/>
      <color rgb="FFFF0000"/>
      <sz val="10"/>
    </font>
    <font>
      <name val="Verdana"/>
      <family val="2"/>
      <color theme="1"/>
      <sz val="16"/>
    </font>
    <font>
      <name val="Verdana"/>
      <family val="2"/>
      <b val="1"/>
      <color theme="1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ourier New"/>
      <family val="3"/>
      <color rgb="FFFF0000"/>
      <sz val="10"/>
    </font>
    <font>
      <name val="Arial"/>
      <family val="2"/>
      <b val="1"/>
      <color rgb="FFFF0000"/>
      <sz val="9.5"/>
    </font>
    <font>
      <name val="Calibri"/>
      <family val="2"/>
      <b val="1"/>
      <color rgb="FFFF0000"/>
      <sz val="15.5"/>
      <scheme val="minor"/>
    </font>
    <font>
      <name val="Arial"/>
      <family val="2"/>
      <b val="1"/>
      <color rgb="FFFF0000"/>
      <sz val="11.5"/>
    </font>
    <font>
      <name val="Calibri"/>
      <family val="2"/>
      <b val="1"/>
      <color rgb="FFFF0000"/>
      <sz val="10.5"/>
    </font>
    <font>
      <name val="Calibri"/>
      <family val="2"/>
      <b val="1"/>
      <color rgb="FFFF0000"/>
      <sz val="9"/>
      <scheme val="minor"/>
    </font>
    <font>
      <name val="Tahoma"/>
      <family val="2"/>
      <b val="1"/>
      <color indexed="81"/>
      <sz val="9"/>
    </font>
    <font>
      <name val="Verdana"/>
      <family val="2"/>
      <sz val="12"/>
    </font>
    <font>
      <name val="Verdana"/>
      <family val="2"/>
      <color rgb="FF000000"/>
      <sz val="12"/>
    </font>
    <font>
      <name val="Calibri"/>
      <family val="2"/>
      <b val="1"/>
      <color rgb="FFFF0000"/>
      <sz val="13"/>
      <scheme val="minor"/>
    </font>
    <font>
      <name val="Arial Black"/>
      <family val="2"/>
      <b val="1"/>
      <color theme="1"/>
      <sz val="11"/>
    </font>
    <font>
      <name val="Verdana"/>
      <family val="2"/>
      <b val="1"/>
      <color rgb="FFFF0000"/>
      <sz val="11"/>
    </font>
  </fonts>
  <fills count="4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9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84"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9" fontId="1" fillId="0" borderId="0"/>
    <xf numFmtId="0" fontId="3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42" fillId="0" borderId="0"/>
    <xf numFmtId="43" fontId="42" fillId="0" borderId="0"/>
    <xf numFmtId="0" fontId="69" fillId="0" borderId="0"/>
    <xf numFmtId="0" fontId="73" fillId="0" borderId="0"/>
    <xf numFmtId="0" fontId="74" fillId="0" borderId="77"/>
    <xf numFmtId="0" fontId="75" fillId="0" borderId="78"/>
    <xf numFmtId="0" fontId="76" fillId="0" borderId="79"/>
    <xf numFmtId="0" fontId="76" fillId="0" borderId="0"/>
    <xf numFmtId="0" fontId="77" fillId="5" borderId="0"/>
    <xf numFmtId="0" fontId="78" fillId="6" borderId="0"/>
    <xf numFmtId="0" fontId="79" fillId="7" borderId="0"/>
    <xf numFmtId="0" fontId="80" fillId="8" borderId="80"/>
    <xf numFmtId="0" fontId="81" fillId="9" borderId="81"/>
    <xf numFmtId="0" fontId="82" fillId="9" borderId="80"/>
    <xf numFmtId="0" fontId="83" fillId="0" borderId="82"/>
    <xf numFmtId="0" fontId="84" fillId="10" borderId="83"/>
    <xf numFmtId="0" fontId="19" fillId="0" borderId="0"/>
    <xf numFmtId="0" fontId="1" fillId="11" borderId="84"/>
    <xf numFmtId="0" fontId="85" fillId="0" borderId="0"/>
    <xf numFmtId="0" fontId="9" fillId="0" borderId="85"/>
    <xf numFmtId="0" fontId="86" fillId="12" borderId="0"/>
    <xf numFmtId="0" fontId="1" fillId="13" borderId="0"/>
    <xf numFmtId="0" fontId="1" fillId="14" borderId="0"/>
    <xf numFmtId="0" fontId="86" fillId="15" borderId="0"/>
    <xf numFmtId="0" fontId="86" fillId="16" borderId="0"/>
    <xf numFmtId="0" fontId="1" fillId="17" borderId="0"/>
    <xf numFmtId="0" fontId="1" fillId="18" borderId="0"/>
    <xf numFmtId="0" fontId="86" fillId="19" borderId="0"/>
    <xf numFmtId="0" fontId="86" fillId="20" borderId="0"/>
    <xf numFmtId="0" fontId="1" fillId="21" borderId="0"/>
    <xf numFmtId="0" fontId="1" fillId="22" borderId="0"/>
    <xf numFmtId="0" fontId="86" fillId="23" borderId="0"/>
    <xf numFmtId="0" fontId="86" fillId="24" borderId="0"/>
    <xf numFmtId="0" fontId="1" fillId="25" borderId="0"/>
    <xf numFmtId="0" fontId="1" fillId="26" borderId="0"/>
    <xf numFmtId="0" fontId="86" fillId="27" borderId="0"/>
    <xf numFmtId="0" fontId="86" fillId="28" borderId="0"/>
    <xf numFmtId="0" fontId="1" fillId="29" borderId="0"/>
    <xf numFmtId="0" fontId="1" fillId="30" borderId="0"/>
    <xf numFmtId="0" fontId="86" fillId="31" borderId="0"/>
    <xf numFmtId="0" fontId="86" fillId="32" borderId="0"/>
    <xf numFmtId="0" fontId="1" fillId="33" borderId="0"/>
    <xf numFmtId="0" fontId="1" fillId="34" borderId="0"/>
    <xf numFmtId="0" fontId="86" fillId="35" borderId="0"/>
    <xf numFmtId="0" fontId="1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4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4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42" fillId="0" borderId="0"/>
    <xf numFmtId="0" fontId="128" fillId="0" borderId="0"/>
  </cellStyleXfs>
  <cellXfs count="2022">
    <xf numFmtId="0" fontId="0" fillId="0" borderId="0" pivotButton="0" quotePrefix="0" xfId="0"/>
    <xf numFmtId="37" fontId="0" fillId="0" borderId="0" pivotButton="0" quotePrefix="0" xfId="0"/>
    <xf numFmtId="37" fontId="4" fillId="0" borderId="0" pivotButton="0" quotePrefix="0" xfId="0"/>
    <xf numFmtId="37" fontId="2" fillId="0" borderId="0" pivotButton="0" quotePrefix="0" xfId="0"/>
    <xf numFmtId="164" fontId="2" fillId="0" borderId="4" applyAlignment="1" pivotButton="0" quotePrefix="0" xfId="1">
      <alignment horizontal="right"/>
    </xf>
    <xf numFmtId="37" fontId="2" fillId="0" borderId="4" applyAlignment="1" pivotButton="0" quotePrefix="0" xfId="0">
      <alignment horizontal="left"/>
    </xf>
    <xf numFmtId="37" fontId="2" fillId="0" borderId="5" pivotButton="0" quotePrefix="0" xfId="0"/>
    <xf numFmtId="164" fontId="2" fillId="0" borderId="6" applyAlignment="1" pivotButton="0" quotePrefix="0" xfId="1">
      <alignment horizontal="right"/>
    </xf>
    <xf numFmtId="37" fontId="4" fillId="0" borderId="2" applyAlignment="1" pivotButton="0" quotePrefix="0" xfId="0">
      <alignment horizontal="right"/>
    </xf>
    <xf numFmtId="37" fontId="6" fillId="0" borderId="5" applyAlignment="1" pivotButton="0" quotePrefix="0" xfId="0">
      <alignment horizontal="center"/>
    </xf>
    <xf numFmtId="164" fontId="6" fillId="0" borderId="7" applyAlignment="1" pivotButton="0" quotePrefix="0" xfId="1">
      <alignment horizontal="right"/>
    </xf>
    <xf numFmtId="37" fontId="7" fillId="0" borderId="8" applyAlignment="1" pivotButton="0" quotePrefix="0" xfId="0">
      <alignment horizontal="right"/>
    </xf>
    <xf numFmtId="37" fontId="6" fillId="0" borderId="7" pivotButton="0" quotePrefix="0" xfId="0"/>
    <xf numFmtId="37" fontId="2" fillId="0" borderId="4" applyAlignment="1" pivotButton="0" quotePrefix="0" xfId="0">
      <alignment horizontal="center"/>
    </xf>
    <xf numFmtId="37" fontId="2" fillId="0" borderId="4" applyAlignment="1" pivotButton="0" quotePrefix="1" xfId="0">
      <alignment horizontal="center"/>
    </xf>
    <xf numFmtId="37" fontId="6" fillId="0" borderId="4" applyAlignment="1" pivotButton="0" quotePrefix="0" xfId="0">
      <alignment horizontal="center"/>
    </xf>
    <xf numFmtId="164" fontId="2" fillId="0" borderId="4" applyAlignment="1" pivotButton="0" quotePrefix="1" xfId="1">
      <alignment horizontal="center"/>
    </xf>
    <xf numFmtId="43" fontId="2" fillId="0" borderId="4" applyAlignment="1" pivotButton="0" quotePrefix="1" xfId="1">
      <alignment horizontal="center"/>
    </xf>
    <xf numFmtId="1" fontId="2" fillId="0" borderId="4" applyAlignment="1" pivotButton="0" quotePrefix="0" xfId="0">
      <alignment horizontal="center"/>
    </xf>
    <xf numFmtId="164" fontId="5" fillId="0" borderId="5" applyAlignment="1" pivotButton="0" quotePrefix="0" xfId="1">
      <alignment horizontal="center"/>
    </xf>
    <xf numFmtId="37" fontId="8" fillId="0" borderId="5" applyAlignment="1" pivotButton="0" quotePrefix="0" xfId="0">
      <alignment horizontal="center"/>
    </xf>
    <xf numFmtId="164" fontId="5" fillId="0" borderId="9" applyAlignment="1" pivotButton="0" quotePrefix="0" xfId="1">
      <alignment horizontal="center"/>
    </xf>
    <xf numFmtId="37" fontId="8" fillId="0" borderId="9" applyAlignment="1" pivotButton="0" quotePrefix="0" xfId="0">
      <alignment horizontal="left"/>
    </xf>
    <xf numFmtId="37" fontId="6" fillId="0" borderId="2" applyAlignment="1" pivotButton="0" quotePrefix="0" xfId="0">
      <alignment horizontal="center"/>
    </xf>
    <xf numFmtId="37" fontId="2" fillId="0" borderId="0" applyAlignment="1" pivotButton="0" quotePrefix="0" xfId="0">
      <alignment horizontal="left"/>
    </xf>
    <xf numFmtId="164" fontId="6" fillId="0" borderId="4" applyAlignment="1" pivotButton="0" quotePrefix="0" xfId="1">
      <alignment horizontal="right"/>
    </xf>
    <xf numFmtId="37" fontId="6" fillId="0" borderId="4" pivotButton="0" quotePrefix="0" xfId="0"/>
    <xf numFmtId="37" fontId="6" fillId="0" borderId="0" pivotButton="0" quotePrefix="0" xfId="0"/>
    <xf numFmtId="37" fontId="6" fillId="0" borderId="0" applyAlignment="1" pivotButton="0" quotePrefix="0" xfId="0">
      <alignment horizontal="center"/>
    </xf>
    <xf numFmtId="37" fontId="6" fillId="0" borderId="2" pivotButton="0" quotePrefix="0" xfId="0"/>
    <xf numFmtId="37" fontId="2" fillId="0" borderId="4" pivotButton="0" quotePrefix="0" xfId="0"/>
    <xf numFmtId="1" fontId="2" fillId="0" borderId="4" applyAlignment="1" pivotButton="0" quotePrefix="1" xfId="0">
      <alignment horizontal="center"/>
    </xf>
    <xf numFmtId="39" fontId="0" fillId="0" borderId="0" pivotButton="0" quotePrefix="0" xfId="0"/>
    <xf numFmtId="37" fontId="11" fillId="0" borderId="4" applyAlignment="1" pivotButton="0" quotePrefix="0" xfId="0">
      <alignment horizontal="left"/>
    </xf>
    <xf numFmtId="37" fontId="12" fillId="0" borderId="4" pivotButton="0" quotePrefix="0" xfId="0"/>
    <xf numFmtId="164" fontId="2" fillId="0" borderId="0" applyAlignment="1" pivotButton="0" quotePrefix="0" xfId="1">
      <alignment horizontal="right"/>
    </xf>
    <xf numFmtId="164" fontId="2" fillId="0" borderId="5" applyAlignment="1" pivotButton="0" quotePrefix="1" xfId="1">
      <alignment horizontal="center"/>
    </xf>
    <xf numFmtId="164" fontId="6" fillId="0" borderId="4" applyAlignment="1" pivotButton="0" quotePrefix="0" xfId="1">
      <alignment horizontal="center"/>
    </xf>
    <xf numFmtId="164" fontId="2" fillId="0" borderId="1" applyAlignment="1" pivotButton="0" quotePrefix="0" xfId="1">
      <alignment horizontal="right"/>
    </xf>
    <xf numFmtId="164" fontId="2" fillId="0" borderId="4" applyAlignment="1" pivotButton="0" quotePrefix="0" xfId="1">
      <alignment horizontal="left"/>
    </xf>
    <xf numFmtId="37" fontId="9" fillId="0" borderId="0" pivotButton="0" quotePrefix="0" xfId="0"/>
    <xf numFmtId="37" fontId="5" fillId="0" borderId="0" applyAlignment="1" pivotButton="0" quotePrefix="0" xfId="0">
      <alignment horizontal="center"/>
    </xf>
    <xf numFmtId="37" fontId="0" fillId="0" borderId="4" pivotButton="0" quotePrefix="0" xfId="0"/>
    <xf numFmtId="37" fontId="3" fillId="0" borderId="1" applyAlignment="1" pivotButton="0" quotePrefix="0" xfId="0">
      <alignment horizontal="left"/>
    </xf>
    <xf numFmtId="37" fontId="2" fillId="0" borderId="0" applyAlignment="1" pivotButton="0" quotePrefix="0" xfId="0">
      <alignment horizontal="right"/>
    </xf>
    <xf numFmtId="164" fontId="2" fillId="0" borderId="0" pivotButton="0" quotePrefix="0" xfId="1"/>
    <xf numFmtId="37" fontId="5" fillId="0" borderId="9" applyAlignment="1" pivotButton="0" quotePrefix="0" xfId="0">
      <alignment horizontal="left"/>
    </xf>
    <xf numFmtId="37" fontId="5" fillId="0" borderId="3" applyAlignment="1" pivotButton="0" quotePrefix="0" xfId="0">
      <alignment horizontal="center"/>
    </xf>
    <xf numFmtId="37" fontId="5" fillId="0" borderId="5" applyAlignment="1" pivotButton="0" quotePrefix="0" xfId="0">
      <alignment horizontal="center"/>
    </xf>
    <xf numFmtId="37" fontId="5" fillId="0" borderId="2" applyAlignment="1" pivotButton="0" quotePrefix="0" xfId="0">
      <alignment horizontal="left"/>
    </xf>
    <xf numFmtId="37" fontId="2" fillId="0" borderId="4" applyAlignment="1" pivotButton="0" quotePrefix="0" xfId="0">
      <alignment horizontal="right"/>
    </xf>
    <xf numFmtId="0" fontId="2" fillId="0" borderId="4" applyAlignment="1" pivotButton="0" quotePrefix="0" xfId="1">
      <alignment horizontal="center"/>
    </xf>
    <xf numFmtId="0" fontId="6" fillId="0" borderId="4" applyAlignment="1" pivotButton="0" quotePrefix="0" xfId="1">
      <alignment horizontal="center"/>
    </xf>
    <xf numFmtId="164" fontId="2" fillId="0" borderId="0" pivotButton="0" quotePrefix="0" xfId="1"/>
    <xf numFmtId="37" fontId="5" fillId="0" borderId="0" pivotButton="0" quotePrefix="0" xfId="0"/>
    <xf numFmtId="37" fontId="15" fillId="0" borderId="0" pivotButton="0" quotePrefix="0" xfId="0"/>
    <xf numFmtId="165" fontId="2" fillId="0" borderId="4" pivotButton="0" quotePrefix="0" xfId="1"/>
    <xf numFmtId="165" fontId="2" fillId="0" borderId="4" applyAlignment="1" pivotButton="0" quotePrefix="0" xfId="1">
      <alignment horizontal="right"/>
    </xf>
    <xf numFmtId="165" fontId="6" fillId="0" borderId="4" pivotButton="0" quotePrefix="0" xfId="1"/>
    <xf numFmtId="37" fontId="3" fillId="0" borderId="12" pivotButton="0" quotePrefix="0" xfId="0"/>
    <xf numFmtId="37" fontId="3" fillId="0" borderId="1" pivotButton="0" quotePrefix="0" xfId="0"/>
    <xf numFmtId="37" fontId="12" fillId="0" borderId="4" applyAlignment="1" pivotButton="0" quotePrefix="0" xfId="0">
      <alignment horizontal="right"/>
    </xf>
    <xf numFmtId="37" fontId="6" fillId="0" borderId="0" applyAlignment="1" pivotButton="0" quotePrefix="0" xfId="0">
      <alignment horizontal="right"/>
    </xf>
    <xf numFmtId="37" fontId="3" fillId="0" borderId="4" pivotButton="0" quotePrefix="0" xfId="0"/>
    <xf numFmtId="37" fontId="6" fillId="0" borderId="0" applyAlignment="1" pivotButton="0" quotePrefix="0" xfId="0">
      <alignment horizontal="left"/>
    </xf>
    <xf numFmtId="165" fontId="18" fillId="0" borderId="0" pivotButton="0" quotePrefix="0" xfId="1"/>
    <xf numFmtId="165" fontId="2" fillId="0" borderId="0" pivotButton="0" quotePrefix="0" xfId="1"/>
    <xf numFmtId="165" fontId="0" fillId="0" borderId="0" pivotButton="0" quotePrefix="0" xfId="1"/>
    <xf numFmtId="37" fontId="10" fillId="0" borderId="0" applyAlignment="1" pivotButton="0" quotePrefix="0" xfId="0">
      <alignment horizontal="left"/>
    </xf>
    <xf numFmtId="166" fontId="0" fillId="0" borderId="0" pivotButton="0" quotePrefix="0" xfId="1"/>
    <xf numFmtId="37" fontId="3" fillId="0" borderId="4" applyAlignment="1" pivotButton="0" quotePrefix="0" xfId="0">
      <alignment horizontal="left"/>
    </xf>
    <xf numFmtId="37" fontId="10" fillId="0" borderId="0" applyAlignment="1" pivotButton="0" quotePrefix="0" xfId="0">
      <alignment horizontal="center"/>
    </xf>
    <xf numFmtId="167" fontId="0" fillId="0" borderId="0" pivotButton="0" quotePrefix="0" xfId="0"/>
    <xf numFmtId="37" fontId="19" fillId="0" borderId="0" pivotButton="0" quotePrefix="0" xfId="0"/>
    <xf numFmtId="37" fontId="10" fillId="0" borderId="0" pivotButton="0" quotePrefix="0" xfId="0"/>
    <xf numFmtId="37" fontId="9" fillId="0" borderId="0" applyAlignment="1" pivotButton="0" quotePrefix="0" xfId="0">
      <alignment horizontal="right"/>
    </xf>
    <xf numFmtId="165" fontId="0" fillId="0" borderId="0" pivotButton="0" quotePrefix="0" xfId="1"/>
    <xf numFmtId="164" fontId="2" fillId="0" borderId="0" applyAlignment="1" pivotButton="0" quotePrefix="0" xfId="1">
      <alignment horizontal="left"/>
    </xf>
    <xf numFmtId="164" fontId="5" fillId="0" borderId="3" applyAlignment="1" pivotButton="0" quotePrefix="0" xfId="1">
      <alignment horizontal="center"/>
    </xf>
    <xf numFmtId="164" fontId="5" fillId="0" borderId="2" applyAlignment="1" pivotButton="0" quotePrefix="0" xfId="1">
      <alignment horizontal="left"/>
    </xf>
    <xf numFmtId="164" fontId="2" fillId="0" borderId="4" applyAlignment="1" pivotButton="0" quotePrefix="0" xfId="1">
      <alignment horizontal="center"/>
    </xf>
    <xf numFmtId="164" fontId="2" fillId="0" borderId="0" pivotButton="0" quotePrefix="0" xfId="1"/>
    <xf numFmtId="164" fontId="6" fillId="0" borderId="0" pivotButton="0" quotePrefix="0" xfId="1"/>
    <xf numFmtId="164" fontId="2" fillId="0" borderId="5" applyAlignment="1" pivotButton="0" quotePrefix="0" xfId="1">
      <alignment horizontal="left"/>
    </xf>
    <xf numFmtId="164" fontId="2" fillId="0" borderId="5" pivotButton="0" quotePrefix="0" xfId="1"/>
    <xf numFmtId="164" fontId="6" fillId="0" borderId="4" pivotButton="0" quotePrefix="0" xfId="1"/>
    <xf numFmtId="164" fontId="6" fillId="0" borderId="1" applyAlignment="1" pivotButton="0" quotePrefix="0" xfId="1">
      <alignment horizontal="right"/>
    </xf>
    <xf numFmtId="164" fontId="6" fillId="0" borderId="4" pivotButton="0" quotePrefix="0" xfId="1"/>
    <xf numFmtId="164" fontId="6" fillId="0" borderId="0" pivotButton="0" quotePrefix="0" xfId="1"/>
    <xf numFmtId="164" fontId="6" fillId="0" borderId="0" applyAlignment="1" pivotButton="0" quotePrefix="0" xfId="1">
      <alignment horizontal="right"/>
    </xf>
    <xf numFmtId="0" fontId="14" fillId="0" borderId="0" pivotButton="0" quotePrefix="0" xfId="0"/>
    <xf numFmtId="0" fontId="21" fillId="0" borderId="0" pivotButton="0" quotePrefix="0" xfId="0"/>
    <xf numFmtId="0" fontId="21" fillId="0" borderId="17" pivotButton="0" quotePrefix="0" xfId="0"/>
    <xf numFmtId="0" fontId="21" fillId="0" borderId="22" pivotButton="0" quotePrefix="0" xfId="0"/>
    <xf numFmtId="0" fontId="14" fillId="0" borderId="20" pivotButton="0" quotePrefix="0" xfId="0"/>
    <xf numFmtId="0" fontId="14" fillId="0" borderId="20" applyAlignment="1" pivotButton="0" quotePrefix="0" xfId="0">
      <alignment horizontal="center" vertical="center"/>
    </xf>
    <xf numFmtId="43" fontId="14" fillId="0" borderId="0" pivotButton="0" quotePrefix="0" xfId="1"/>
    <xf numFmtId="43" fontId="14" fillId="0" borderId="20" pivotButton="0" quotePrefix="0" xfId="1"/>
    <xf numFmtId="0" fontId="14" fillId="0" borderId="18" applyAlignment="1" pivotButton="0" quotePrefix="0" xfId="0">
      <alignment horizontal="center" vertical="center"/>
    </xf>
    <xf numFmtId="0" fontId="14" fillId="0" borderId="18" pivotButton="0" quotePrefix="0" xfId="0"/>
    <xf numFmtId="43" fontId="14" fillId="0" borderId="23" pivotButton="0" quotePrefix="0" xfId="1"/>
    <xf numFmtId="43" fontId="14" fillId="0" borderId="18" pivotButton="0" quotePrefix="0" xfId="1"/>
    <xf numFmtId="2" fontId="14" fillId="0" borderId="0" pivotButton="0" quotePrefix="0" xfId="0"/>
    <xf numFmtId="0" fontId="22" fillId="0" borderId="20" pivotButton="0" quotePrefix="0" xfId="0"/>
    <xf numFmtId="43" fontId="14" fillId="0" borderId="0" pivotButton="0" quotePrefix="0" xfId="0"/>
    <xf numFmtId="39" fontId="2" fillId="0" borderId="4" pivotButton="0" quotePrefix="0" xfId="0"/>
    <xf numFmtId="39" fontId="12" fillId="0" borderId="4" pivotButton="0" quotePrefix="0" xfId="0"/>
    <xf numFmtId="39" fontId="6" fillId="0" borderId="4" pivotButton="0" quotePrefix="0" xfId="1"/>
    <xf numFmtId="39" fontId="6" fillId="0" borderId="4" pivotButton="0" quotePrefix="0" xfId="0"/>
    <xf numFmtId="39" fontId="2" fillId="0" borderId="4" pivotButton="0" quotePrefix="0" xfId="1"/>
    <xf numFmtId="39" fontId="0" fillId="0" borderId="0" pivotButton="0" quotePrefix="0" xfId="1"/>
    <xf numFmtId="165" fontId="2" fillId="0" borderId="4" applyAlignment="1" pivotButton="0" quotePrefix="0" xfId="2">
      <alignment horizontal="right"/>
    </xf>
    <xf numFmtId="37" fontId="0" fillId="0" borderId="2" pivotButton="0" quotePrefix="0" xfId="0"/>
    <xf numFmtId="164" fontId="2" fillId="0" borderId="0" applyAlignment="1" pivotButton="0" quotePrefix="0" xfId="1">
      <alignment wrapText="1"/>
    </xf>
    <xf numFmtId="39" fontId="2" fillId="0" borderId="12" pivotButton="0" quotePrefix="0" xfId="0"/>
    <xf numFmtId="0" fontId="21" fillId="0" borderId="20" pivotButton="0" quotePrefix="0" xfId="0"/>
    <xf numFmtId="43" fontId="14" fillId="0" borderId="18" pivotButton="0" quotePrefix="0" xfId="1"/>
    <xf numFmtId="37" fontId="24" fillId="0" borderId="0" pivotButton="0" quotePrefix="0" xfId="0"/>
    <xf numFmtId="43" fontId="18" fillId="0" borderId="0" pivotButton="0" quotePrefix="0" xfId="1"/>
    <xf numFmtId="0" fontId="14" fillId="0" borderId="19" pivotButton="0" quotePrefix="0" xfId="0"/>
    <xf numFmtId="43" fontId="14" fillId="0" borderId="0" pivotButton="0" quotePrefix="0" xfId="1"/>
    <xf numFmtId="43" fontId="14" fillId="0" borderId="20" pivotButton="0" quotePrefix="0" xfId="1"/>
    <xf numFmtId="43" fontId="14" fillId="0" borderId="23" pivotButton="0" quotePrefix="0" xfId="1"/>
    <xf numFmtId="43" fontId="14" fillId="0" borderId="19" pivotButton="0" quotePrefix="0" xfId="1"/>
    <xf numFmtId="0" fontId="14" fillId="0" borderId="19" applyAlignment="1" pivotButton="0" quotePrefix="0" xfId="0">
      <alignment horizontal="center" vertical="center"/>
    </xf>
    <xf numFmtId="43" fontId="14" fillId="0" borderId="30" pivotButton="0" quotePrefix="0" xfId="1"/>
    <xf numFmtId="37" fontId="28" fillId="0" borderId="0" pivotButton="0" quotePrefix="0" xfId="0"/>
    <xf numFmtId="165" fontId="2" fillId="0" borderId="5" applyAlignment="1" pivotButton="0" quotePrefix="0" xfId="2">
      <alignment horizontal="right"/>
    </xf>
    <xf numFmtId="164" fontId="2" fillId="0" borderId="5" applyAlignment="1" pivotButton="0" quotePrefix="0" xfId="1">
      <alignment horizontal="right"/>
    </xf>
    <xf numFmtId="0" fontId="2" fillId="0" borderId="7" applyAlignment="1" pivotButton="0" quotePrefix="0" xfId="1">
      <alignment horizontal="center"/>
    </xf>
    <xf numFmtId="0" fontId="6" fillId="0" borderId="7" applyAlignment="1" pivotButton="0" quotePrefix="0" xfId="1">
      <alignment horizontal="right"/>
    </xf>
    <xf numFmtId="165" fontId="2" fillId="0" borderId="7" applyAlignment="1" pivotButton="0" quotePrefix="0" xfId="2">
      <alignment horizontal="right"/>
    </xf>
    <xf numFmtId="0" fontId="14" fillId="0" borderId="20" applyAlignment="1" pivotButton="0" quotePrefix="0" xfId="0">
      <alignment horizontal="center"/>
    </xf>
    <xf numFmtId="166" fontId="0" fillId="0" borderId="0" applyAlignment="1" pivotButton="0" quotePrefix="0" xfId="1">
      <alignment horizontal="right"/>
    </xf>
    <xf numFmtId="164" fontId="2" fillId="0" borderId="4" applyAlignment="1" pivotButton="0" quotePrefix="1" xfId="4">
      <alignment horizontal="center"/>
    </xf>
    <xf numFmtId="37" fontId="30" fillId="0" borderId="0" pivotButton="0" quotePrefix="0" xfId="0"/>
    <xf numFmtId="37" fontId="26" fillId="0" borderId="0" pivotButton="0" quotePrefix="0" xfId="0"/>
    <xf numFmtId="49" fontId="2" fillId="0" borderId="4" applyAlignment="1" pivotButton="0" quotePrefix="1" xfId="1">
      <alignment horizontal="center"/>
    </xf>
    <xf numFmtId="164" fontId="2" fillId="0" borderId="4" applyAlignment="1" pivotButton="0" quotePrefix="0" xfId="4">
      <alignment horizontal="center"/>
    </xf>
    <xf numFmtId="9" fontId="0" fillId="0" borderId="0" pivotButton="0" quotePrefix="0" xfId="5"/>
    <xf numFmtId="37" fontId="9" fillId="0" borderId="0" applyAlignment="1" pivotButton="0" quotePrefix="0" xfId="0">
      <alignment wrapText="1"/>
    </xf>
    <xf numFmtId="37" fontId="9" fillId="0" borderId="1" pivotButton="0" quotePrefix="0" xfId="0"/>
    <xf numFmtId="166" fontId="9" fillId="0" borderId="1" pivotButton="0" quotePrefix="0" xfId="1"/>
    <xf numFmtId="37" fontId="27" fillId="0" borderId="0" applyAlignment="1" pivotButton="0" quotePrefix="0" xfId="0">
      <alignment wrapText="1"/>
    </xf>
    <xf numFmtId="37" fontId="9" fillId="0" borderId="2" applyAlignment="1" pivotButton="0" quotePrefix="0" xfId="0">
      <alignment horizontal="center"/>
    </xf>
    <xf numFmtId="37" fontId="9" fillId="0" borderId="2" pivotButton="0" quotePrefix="0" xfId="0"/>
    <xf numFmtId="37" fontId="0" fillId="0" borderId="1" pivotButton="0" quotePrefix="0" xfId="0"/>
    <xf numFmtId="168" fontId="0" fillId="0" borderId="0" pivotButton="0" quotePrefix="0" xfId="0"/>
    <xf numFmtId="37" fontId="5" fillId="0" borderId="5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/>
    </xf>
    <xf numFmtId="0" fontId="14" fillId="0" borderId="41" pivotButton="0" quotePrefix="0" xfId="0"/>
    <xf numFmtId="0" fontId="14" fillId="0" borderId="24" pivotButton="0" quotePrefix="0" xfId="0"/>
    <xf numFmtId="43" fontId="14" fillId="0" borderId="26" pivotButton="0" quotePrefix="0" xfId="1"/>
    <xf numFmtId="43" fontId="14" fillId="0" borderId="43" pivotButton="0" quotePrefix="0" xfId="1"/>
    <xf numFmtId="37" fontId="0" fillId="0" borderId="12" pivotButton="0" quotePrefix="0" xfId="0"/>
    <xf numFmtId="166" fontId="2" fillId="0" borderId="4" applyAlignment="1" pivotButton="0" quotePrefix="0" xfId="1">
      <alignment horizontal="right"/>
    </xf>
    <xf numFmtId="39" fontId="0" fillId="0" borderId="4" pivotButton="0" quotePrefix="0" xfId="0"/>
    <xf numFmtId="166" fontId="14" fillId="0" borderId="0" pivotButton="0" quotePrefix="0" xfId="1"/>
    <xf numFmtId="0" fontId="2" fillId="0" borderId="4" applyAlignment="1" pivotButton="0" quotePrefix="1" xfId="1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4" applyAlignment="1" pivotButton="0" quotePrefix="1" xfId="0">
      <alignment horizontal="center"/>
    </xf>
    <xf numFmtId="0" fontId="6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6" fillId="0" borderId="0" pivotButton="0" quotePrefix="0" xfId="0"/>
    <xf numFmtId="37" fontId="9" fillId="0" borderId="1" applyAlignment="1" pivotButton="0" quotePrefix="0" xfId="0">
      <alignment horizontal="center"/>
    </xf>
    <xf numFmtId="165" fontId="25" fillId="0" borderId="47" pivotButton="0" quotePrefix="0" xfId="1"/>
    <xf numFmtId="166" fontId="9" fillId="0" borderId="1" pivotButton="0" quotePrefix="0" xfId="0"/>
    <xf numFmtId="165" fontId="2" fillId="0" borderId="5" applyAlignment="1" pivotButton="0" quotePrefix="0" xfId="1">
      <alignment horizontal="right"/>
    </xf>
    <xf numFmtId="37" fontId="9" fillId="0" borderId="4" pivotButton="0" quotePrefix="0" xfId="0"/>
    <xf numFmtId="39" fontId="9" fillId="0" borderId="4" pivotButton="0" quotePrefix="0" xfId="0"/>
    <xf numFmtId="37" fontId="9" fillId="0" borderId="15" pivotButton="0" quotePrefix="0" xfId="0"/>
    <xf numFmtId="37" fontId="29" fillId="0" borderId="2" pivotButton="0" quotePrefix="0" xfId="0"/>
    <xf numFmtId="37" fontId="26" fillId="0" borderId="2" pivotButton="0" quotePrefix="0" xfId="0"/>
    <xf numFmtId="37" fontId="0" fillId="0" borderId="3" pivotButton="0" quotePrefix="0" xfId="0"/>
    <xf numFmtId="37" fontId="8" fillId="0" borderId="9" applyAlignment="1" pivotButton="0" quotePrefix="0" xfId="0">
      <alignment horizontal="center"/>
    </xf>
    <xf numFmtId="0" fontId="17" fillId="0" borderId="0" pivotButton="0" quotePrefix="0" xfId="0"/>
    <xf numFmtId="37" fontId="3" fillId="0" borderId="4" applyAlignment="1" pivotButton="0" quotePrefix="0" xfId="0">
      <alignment horizontal="left" wrapText="1"/>
    </xf>
    <xf numFmtId="2" fontId="21" fillId="0" borderId="0" pivotButton="0" quotePrefix="0" xfId="0"/>
    <xf numFmtId="164" fontId="13" fillId="0" borderId="0" applyAlignment="1" pivotButton="0" quotePrefix="0" xfId="1">
      <alignment horizontal="center"/>
    </xf>
    <xf numFmtId="37" fontId="9" fillId="0" borderId="42" pivotButton="0" quotePrefix="0" xfId="0"/>
    <xf numFmtId="166" fontId="0" fillId="0" borderId="42" pivotButton="0" quotePrefix="0" xfId="1"/>
    <xf numFmtId="37" fontId="0" fillId="0" borderId="42" pivotButton="0" quotePrefix="0" xfId="0"/>
    <xf numFmtId="166" fontId="0" fillId="0" borderId="42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0" borderId="5" applyAlignment="1" pivotButton="0" quotePrefix="0" xfId="0">
      <alignment horizontal="center" vertical="top" wrapText="1"/>
    </xf>
    <xf numFmtId="0" fontId="2" fillId="0" borderId="31" applyAlignment="1" pivotButton="0" quotePrefix="0" xfId="0">
      <alignment vertical="center"/>
    </xf>
    <xf numFmtId="165" fontId="2" fillId="0" borderId="4" applyAlignment="1" pivotButton="0" quotePrefix="0" xfId="1">
      <alignment horizontal="right" vertical="center" wrapText="1"/>
    </xf>
    <xf numFmtId="164" fontId="2" fillId="0" borderId="4" applyAlignment="1" pivotButton="0" quotePrefix="0" xfId="1">
      <alignment horizontal="right" vertical="center" wrapText="1"/>
    </xf>
    <xf numFmtId="165" fontId="2" fillId="4" borderId="4" applyAlignment="1" pivotButton="0" quotePrefix="0" xfId="1">
      <alignment horizontal="right" vertical="center" wrapText="1"/>
    </xf>
    <xf numFmtId="0" fontId="2" fillId="0" borderId="40" applyAlignment="1" pivotButton="0" quotePrefix="0" xfId="0">
      <alignment vertical="center"/>
    </xf>
    <xf numFmtId="165" fontId="2" fillId="0" borderId="9" applyAlignment="1" pivotButton="0" quotePrefix="0" xfId="1">
      <alignment horizontal="right" vertical="center" wrapText="1"/>
    </xf>
    <xf numFmtId="165" fontId="2" fillId="4" borderId="9" applyAlignment="1" pivotButton="0" quotePrefix="0" xfId="1">
      <alignment horizontal="right" vertical="center" wrapText="1"/>
    </xf>
    <xf numFmtId="0" fontId="2" fillId="0" borderId="36" applyAlignment="1" pivotButton="0" quotePrefix="0" xfId="0">
      <alignment vertical="center"/>
    </xf>
    <xf numFmtId="165" fontId="6" fillId="0" borderId="37" applyAlignment="1" pivotButton="0" quotePrefix="0" xfId="1">
      <alignment horizontal="right" vertical="center" wrapText="1"/>
    </xf>
    <xf numFmtId="37" fontId="5" fillId="0" borderId="37" applyAlignment="1" pivotButton="0" quotePrefix="0" xfId="0">
      <alignment horizontal="center" vertical="center" wrapText="1"/>
    </xf>
    <xf numFmtId="37" fontId="5" fillId="0" borderId="37" applyAlignment="1" pivotButton="0" quotePrefix="0" xfId="0">
      <alignment horizontal="center" vertical="center"/>
    </xf>
    <xf numFmtId="37" fontId="2" fillId="0" borderId="5" applyAlignment="1" pivotButton="0" quotePrefix="0" xfId="0">
      <alignment horizontal="right"/>
    </xf>
    <xf numFmtId="166" fontId="9" fillId="0" borderId="48" pivotButton="0" quotePrefix="0" xfId="1"/>
    <xf numFmtId="39" fontId="2" fillId="0" borderId="0" pivotButton="0" quotePrefix="0" xfId="0"/>
    <xf numFmtId="37" fontId="9" fillId="0" borderId="7" pivotButton="0" quotePrefix="0" xfId="0"/>
    <xf numFmtId="0" fontId="21" fillId="0" borderId="19" pivotButton="0" quotePrefix="0" xfId="0"/>
    <xf numFmtId="0" fontId="21" fillId="0" borderId="30" pivotButton="0" quotePrefix="0" xfId="0"/>
    <xf numFmtId="39" fontId="2" fillId="0" borderId="0" pivotButton="0" quotePrefix="0" xfId="1"/>
    <xf numFmtId="37" fontId="0" fillId="0" borderId="0" applyAlignment="1" pivotButton="0" quotePrefix="0" xfId="0">
      <alignment wrapText="1"/>
    </xf>
    <xf numFmtId="43" fontId="14" fillId="0" borderId="30" pivotButton="0" quotePrefix="0" xfId="1"/>
    <xf numFmtId="43" fontId="14" fillId="0" borderId="19" pivotButton="0" quotePrefix="0" xfId="1"/>
    <xf numFmtId="169" fontId="0" fillId="0" borderId="0" pivotButton="0" quotePrefix="0" xfId="0"/>
    <xf numFmtId="37" fontId="5" fillId="0" borderId="0" applyAlignment="1" pivotButton="0" quotePrefix="0" xfId="0">
      <alignment horizontal="right" wrapText="1"/>
    </xf>
    <xf numFmtId="39" fontId="2" fillId="0" borderId="0" applyAlignment="1" pivotButton="0" quotePrefix="0" xfId="1">
      <alignment horizontal="right"/>
    </xf>
    <xf numFmtId="2" fontId="14" fillId="0" borderId="20" pivotButton="0" quotePrefix="0" xfId="0"/>
    <xf numFmtId="0" fontId="14" fillId="0" borderId="20" applyAlignment="1" pivotButton="0" quotePrefix="0" xfId="0">
      <alignment wrapText="1"/>
    </xf>
    <xf numFmtId="0" fontId="35" fillId="0" borderId="0" pivotButton="0" quotePrefix="0" xfId="0"/>
    <xf numFmtId="43" fontId="2" fillId="0" borderId="0" pivotButton="0" quotePrefix="0" xfId="1"/>
    <xf numFmtId="37" fontId="10" fillId="0" borderId="0" applyAlignment="1" pivotButton="0" quotePrefix="0" xfId="0">
      <alignment horizontal="left" wrapText="1"/>
    </xf>
    <xf numFmtId="37" fontId="0" fillId="0" borderId="24" pivotButton="0" quotePrefix="0" xfId="0"/>
    <xf numFmtId="37" fontId="9" fillId="0" borderId="27" pivotButton="0" quotePrefix="0" xfId="0"/>
    <xf numFmtId="37" fontId="0" fillId="0" borderId="25" pivotButton="0" quotePrefix="0" xfId="0"/>
    <xf numFmtId="37" fontId="0" fillId="0" borderId="23" pivotButton="0" quotePrefix="0" xfId="0"/>
    <xf numFmtId="37" fontId="0" fillId="0" borderId="43" pivotButton="0" quotePrefix="0" xfId="0"/>
    <xf numFmtId="37" fontId="0" fillId="0" borderId="50" pivotButton="0" quotePrefix="0" xfId="0"/>
    <xf numFmtId="39" fontId="5" fillId="0" borderId="0" pivotButton="0" quotePrefix="0" xfId="0"/>
    <xf numFmtId="0" fontId="21" fillId="0" borderId="0" applyAlignment="1" pivotButton="0" quotePrefix="0" xfId="0">
      <alignment horizontal="center"/>
    </xf>
    <xf numFmtId="37" fontId="14" fillId="0" borderId="0" pivotButton="0" quotePrefix="0" xfId="0"/>
    <xf numFmtId="0" fontId="21" fillId="0" borderId="4" pivotButton="0" quotePrefix="0" xfId="0"/>
    <xf numFmtId="43" fontId="14" fillId="0" borderId="4" pivotButton="0" quotePrefix="0" xfId="0"/>
    <xf numFmtId="37" fontId="0" fillId="0" borderId="26" pivotButton="0" quotePrefix="0" xfId="0"/>
    <xf numFmtId="37" fontId="0" fillId="0" borderId="41" pivotButton="0" quotePrefix="0" xfId="0"/>
    <xf numFmtId="37" fontId="0" fillId="0" borderId="30" pivotButton="0" quotePrefix="0" xfId="0"/>
    <xf numFmtId="39" fontId="9" fillId="0" borderId="51" pivotButton="0" quotePrefix="0" xfId="1"/>
    <xf numFmtId="0" fontId="21" fillId="0" borderId="31" pivotButton="0" quotePrefix="0" xfId="0"/>
    <xf numFmtId="0" fontId="21" fillId="0" borderId="52" pivotButton="0" quotePrefix="0" xfId="0"/>
    <xf numFmtId="39" fontId="21" fillId="0" borderId="16" pivotButton="0" quotePrefix="0" xfId="0"/>
    <xf numFmtId="39" fontId="21" fillId="0" borderId="53" pivotButton="0" quotePrefix="0" xfId="0"/>
    <xf numFmtId="43" fontId="21" fillId="0" borderId="32" pivotButton="0" quotePrefix="0" xfId="0"/>
    <xf numFmtId="43" fontId="14" fillId="0" borderId="12" pivotButton="0" quotePrefix="0" xfId="0"/>
    <xf numFmtId="0" fontId="21" fillId="0" borderId="33" pivotButton="0" quotePrefix="0" xfId="0"/>
    <xf numFmtId="39" fontId="21" fillId="0" borderId="5" pivotButton="0" quotePrefix="0" xfId="0"/>
    <xf numFmtId="39" fontId="21" fillId="0" borderId="44" pivotButton="0" quotePrefix="0" xfId="0"/>
    <xf numFmtId="43" fontId="14" fillId="0" borderId="5" pivotButton="0" quotePrefix="0" xfId="0"/>
    <xf numFmtId="43" fontId="14" fillId="0" borderId="11" pivotButton="0" quotePrefix="0" xfId="0"/>
    <xf numFmtId="0" fontId="21" fillId="0" borderId="37" pivotButton="0" quotePrefix="0" xfId="0"/>
    <xf numFmtId="0" fontId="21" fillId="0" borderId="38" pivotButton="0" quotePrefix="0" xfId="0"/>
    <xf numFmtId="0" fontId="21" fillId="0" borderId="36" pivotButton="0" quotePrefix="0" xfId="0"/>
    <xf numFmtId="0" fontId="21" fillId="0" borderId="45" pivotButton="0" quotePrefix="0" xfId="0"/>
    <xf numFmtId="43" fontId="21" fillId="0" borderId="37" pivotButton="0" quotePrefix="0" xfId="0"/>
    <xf numFmtId="43" fontId="21" fillId="0" borderId="45" pivotButton="0" quotePrefix="0" xfId="0"/>
    <xf numFmtId="43" fontId="21" fillId="0" borderId="0" applyAlignment="1" pivotButton="0" quotePrefix="0" xfId="0">
      <alignment horizontal="left" indent="1"/>
    </xf>
    <xf numFmtId="164" fontId="21" fillId="0" borderId="0" applyAlignment="1" pivotButton="0" quotePrefix="0" xfId="0">
      <alignment horizontal="left" indent="1"/>
    </xf>
    <xf numFmtId="166" fontId="9" fillId="0" borderId="42" pivotButton="0" quotePrefix="0" xfId="4"/>
    <xf numFmtId="170" fontId="0" fillId="0" borderId="0" pivotButton="0" quotePrefix="0" xfId="0"/>
    <xf numFmtId="164" fontId="2" fillId="0" borderId="12" applyAlignment="1" pivotButton="0" quotePrefix="1" xfId="1">
      <alignment horizontal="center"/>
    </xf>
    <xf numFmtId="37" fontId="9" fillId="0" borderId="12" pivotButton="0" quotePrefix="0" xfId="0"/>
    <xf numFmtId="39" fontId="6" fillId="0" borderId="0" pivotButton="0" quotePrefix="0" xfId="0"/>
    <xf numFmtId="166" fontId="2" fillId="0" borderId="0" pivotButton="0" quotePrefix="0" xfId="1"/>
    <xf numFmtId="39" fontId="35" fillId="0" borderId="0" pivotButton="0" quotePrefix="0" xfId="0"/>
    <xf numFmtId="37" fontId="35" fillId="0" borderId="0" pivotButton="0" quotePrefix="0" xfId="0"/>
    <xf numFmtId="37" fontId="39" fillId="0" borderId="0" applyAlignment="1" pivotButton="0" quotePrefix="0" xfId="0">
      <alignment horizontal="center"/>
    </xf>
    <xf numFmtId="37" fontId="40" fillId="0" borderId="0" applyAlignment="1" pivotButton="0" quotePrefix="0" xfId="0">
      <alignment horizontal="center"/>
    </xf>
    <xf numFmtId="168" fontId="35" fillId="0" borderId="0" pivotButton="0" quotePrefix="0" xfId="0"/>
    <xf numFmtId="37" fontId="18" fillId="0" borderId="0" pivotButton="0" quotePrefix="0" xfId="0"/>
    <xf numFmtId="39" fontId="18" fillId="0" borderId="0" pivotButton="0" quotePrefix="0" xfId="0"/>
    <xf numFmtId="37" fontId="18" fillId="0" borderId="4" pivotButton="0" quotePrefix="0" xfId="0"/>
    <xf numFmtId="0" fontId="18" fillId="0" borderId="0" pivotButton="0" quotePrefix="0" xfId="0"/>
    <xf numFmtId="37" fontId="5" fillId="0" borderId="9" applyAlignment="1" pivotButton="0" quotePrefix="0" xfId="0">
      <alignment horizontal="center"/>
    </xf>
    <xf numFmtId="9" fontId="0" fillId="0" borderId="0" pivotButton="0" quotePrefix="0" xfId="5"/>
    <xf numFmtId="166" fontId="0" fillId="0" borderId="4" pivotButton="0" quotePrefix="0" xfId="1"/>
    <xf numFmtId="166" fontId="9" fillId="0" borderId="7" pivotButton="0" quotePrefix="0" xfId="1"/>
    <xf numFmtId="164" fontId="6" fillId="0" borderId="0" pivotButton="0" quotePrefix="0" xfId="1"/>
    <xf numFmtId="171" fontId="0" fillId="0" borderId="0" pivotButton="0" quotePrefix="0" xfId="0"/>
    <xf numFmtId="0" fontId="16" fillId="0" borderId="11" applyAlignment="1" pivotButton="0" quotePrefix="0" xfId="0">
      <alignment horizontal="center" vertical="top" wrapText="1"/>
    </xf>
    <xf numFmtId="165" fontId="16" fillId="0" borderId="12" applyAlignment="1" pivotButton="0" quotePrefix="0" xfId="1">
      <alignment horizontal="right" vertical="center" wrapText="1"/>
    </xf>
    <xf numFmtId="165" fontId="16" fillId="0" borderId="10" applyAlignment="1" pivotButton="0" quotePrefix="0" xfId="1">
      <alignment horizontal="right" vertical="center" wrapText="1"/>
    </xf>
    <xf numFmtId="165" fontId="18" fillId="0" borderId="0" pivotButton="0" quotePrefix="0" xfId="1"/>
    <xf numFmtId="165" fontId="29" fillId="0" borderId="0" pivotButton="0" quotePrefix="0" xfId="1"/>
    <xf numFmtId="165" fontId="18" fillId="0" borderId="0" pivotButton="0" quotePrefix="0" xfId="1"/>
    <xf numFmtId="165" fontId="29" fillId="0" borderId="0" pivotButton="0" quotePrefix="0" xfId="1"/>
    <xf numFmtId="43" fontId="18" fillId="0" borderId="0" pivotButton="0" quotePrefix="0" xfId="1"/>
    <xf numFmtId="165" fontId="18" fillId="0" borderId="0" pivotButton="0" quotePrefix="0" xfId="0"/>
    <xf numFmtId="43" fontId="18" fillId="0" borderId="0" pivotButton="0" quotePrefix="0" xfId="0"/>
    <xf numFmtId="165" fontId="44" fillId="0" borderId="4" pivotButton="0" quotePrefix="0" xfId="1"/>
    <xf numFmtId="37" fontId="43" fillId="0" borderId="0" applyAlignment="1" pivotButton="0" quotePrefix="0" xfId="0">
      <alignment horizontal="right"/>
    </xf>
    <xf numFmtId="165" fontId="44" fillId="0" borderId="0" pivotButton="0" quotePrefix="0" xfId="1"/>
    <xf numFmtId="0" fontId="25" fillId="0" borderId="0" pivotButton="0" quotePrefix="0" xfId="0"/>
    <xf numFmtId="165" fontId="25" fillId="0" borderId="0" pivotButton="0" quotePrefix="0" xfId="1"/>
    <xf numFmtId="43" fontId="18" fillId="0" borderId="0" applyAlignment="1" pivotButton="0" quotePrefix="0" xfId="0">
      <alignment wrapText="1"/>
    </xf>
    <xf numFmtId="165" fontId="45" fillId="0" borderId="0" pivotButton="0" quotePrefix="0" xfId="1"/>
    <xf numFmtId="0" fontId="29" fillId="0" borderId="0" pivotButton="0" quotePrefix="0" xfId="0"/>
    <xf numFmtId="2" fontId="29" fillId="0" borderId="0" applyAlignment="1" pivotButton="0" quotePrefix="0" xfId="1">
      <alignment wrapText="1"/>
    </xf>
    <xf numFmtId="2" fontId="18" fillId="0" borderId="0" pivotButton="0" quotePrefix="0" xfId="0"/>
    <xf numFmtId="0" fontId="25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5" fontId="43" fillId="0" borderId="4" pivotButton="0" quotePrefix="0" xfId="1"/>
    <xf numFmtId="165" fontId="25" fillId="0" borderId="4" pivotButton="0" quotePrefix="0" xfId="1"/>
    <xf numFmtId="172" fontId="29" fillId="0" borderId="0" pivotButton="0" quotePrefix="0" xfId="0"/>
    <xf numFmtId="165" fontId="25" fillId="0" borderId="0" pivotButton="0" quotePrefix="0" xfId="1"/>
    <xf numFmtId="165" fontId="18" fillId="0" borderId="0" pivotButton="0" quotePrefix="0" xfId="1"/>
    <xf numFmtId="165" fontId="45" fillId="0" borderId="4" pivotButton="0" quotePrefix="0" xfId="1"/>
    <xf numFmtId="165" fontId="25" fillId="0" borderId="0" pivotButton="0" quotePrefix="0" xfId="1"/>
    <xf numFmtId="165" fontId="18" fillId="0" borderId="0" pivotButton="0" quotePrefix="0" xfId="1"/>
    <xf numFmtId="166" fontId="18" fillId="0" borderId="0" pivotButton="0" quotePrefix="0" xfId="0"/>
    <xf numFmtId="165" fontId="43" fillId="0" borderId="0" pivotButton="0" quotePrefix="0" xfId="1"/>
    <xf numFmtId="165" fontId="46" fillId="0" borderId="0" pivotButton="0" quotePrefix="0" xfId="1"/>
    <xf numFmtId="165" fontId="25" fillId="0" borderId="0" pivotButton="0" quotePrefix="0" xfId="0"/>
    <xf numFmtId="165" fontId="45" fillId="0" borderId="23" applyAlignment="1" pivotButton="0" quotePrefix="0" xfId="1">
      <alignment horizontal="center"/>
    </xf>
    <xf numFmtId="165" fontId="45" fillId="0" borderId="17" applyAlignment="1" pivotButton="0" quotePrefix="0" xfId="1">
      <alignment horizontal="center"/>
    </xf>
    <xf numFmtId="0" fontId="18" fillId="0" borderId="27" pivotButton="0" quotePrefix="0" xfId="0"/>
    <xf numFmtId="0" fontId="29" fillId="0" borderId="22" applyAlignment="1" pivotButton="0" quotePrefix="0" xfId="0">
      <alignment horizontal="center"/>
    </xf>
    <xf numFmtId="0" fontId="29" fillId="0" borderId="28" applyAlignment="1" pivotButton="0" quotePrefix="0" xfId="0">
      <alignment horizontal="center"/>
    </xf>
    <xf numFmtId="0" fontId="29" fillId="0" borderId="41" pivotButton="0" quotePrefix="0" xfId="0"/>
    <xf numFmtId="166" fontId="29" fillId="0" borderId="30" pivotButton="0" quotePrefix="0" xfId="1"/>
    <xf numFmtId="165" fontId="29" fillId="0" borderId="24" pivotButton="0" quotePrefix="0" xfId="0"/>
    <xf numFmtId="166" fontId="25" fillId="0" borderId="2" pivotButton="0" quotePrefix="0" xfId="1"/>
    <xf numFmtId="165" fontId="18" fillId="0" borderId="24" pivotButton="0" quotePrefix="0" xfId="0"/>
    <xf numFmtId="166" fontId="29" fillId="0" borderId="0" pivotButton="0" quotePrefix="0" xfId="0"/>
    <xf numFmtId="165" fontId="45" fillId="0" borderId="38" pivotButton="0" quotePrefix="0" xfId="1"/>
    <xf numFmtId="165" fontId="25" fillId="0" borderId="0" pivotButton="0" quotePrefix="0" xfId="1"/>
    <xf numFmtId="165" fontId="18" fillId="0" borderId="0" pivotButton="0" quotePrefix="0" xfId="1"/>
    <xf numFmtId="0" fontId="45" fillId="0" borderId="0" pivotButton="0" quotePrefix="0" xfId="0"/>
    <xf numFmtId="166" fontId="29" fillId="0" borderId="26" pivotButton="0" quotePrefix="0" xfId="0"/>
    <xf numFmtId="0" fontId="29" fillId="0" borderId="24" pivotButton="0" quotePrefix="0" xfId="0"/>
    <xf numFmtId="165" fontId="45" fillId="0" borderId="0" pivotButton="0" quotePrefix="0" xfId="1"/>
    <xf numFmtId="43" fontId="29" fillId="0" borderId="0" pivotButton="0" quotePrefix="0" xfId="0"/>
    <xf numFmtId="0" fontId="29" fillId="0" borderId="0" applyAlignment="1" pivotButton="0" quotePrefix="0" xfId="0">
      <alignment vertical="center" wrapText="1"/>
    </xf>
    <xf numFmtId="49" fontId="49" fillId="0" borderId="0" pivotButton="0" quotePrefix="0" xfId="0"/>
    <xf numFmtId="49" fontId="45" fillId="0" borderId="0" pivotButton="0" quotePrefix="0" xfId="0"/>
    <xf numFmtId="0" fontId="50" fillId="0" borderId="0" applyAlignment="1" pivotButton="0" quotePrefix="0" xfId="6">
      <alignment wrapText="1"/>
    </xf>
    <xf numFmtId="0" fontId="23" fillId="0" borderId="0" pivotButton="0" quotePrefix="0" xfId="0"/>
    <xf numFmtId="166" fontId="23" fillId="0" borderId="0" pivotButton="0" quotePrefix="0" xfId="0"/>
    <xf numFmtId="43" fontId="23" fillId="0" borderId="0" pivotButton="0" quotePrefix="0" xfId="0"/>
    <xf numFmtId="164" fontId="6" fillId="0" borderId="0" applyAlignment="1" pivotButton="0" quotePrefix="0" xfId="1">
      <alignment horizontal="center" vertical="center"/>
    </xf>
    <xf numFmtId="9" fontId="6" fillId="0" borderId="0" applyAlignment="1" pivotButton="0" quotePrefix="0" xfId="5">
      <alignment horizontal="center" vertical="center"/>
    </xf>
    <xf numFmtId="14" fontId="45" fillId="0" borderId="0" pivotButton="0" quotePrefix="0" xfId="1"/>
    <xf numFmtId="0" fontId="21" fillId="0" borderId="28" pivotButton="0" quotePrefix="0" xfId="0"/>
    <xf numFmtId="43" fontId="14" fillId="0" borderId="26" pivotButton="0" quotePrefix="0" xfId="1"/>
    <xf numFmtId="43" fontId="14" fillId="0" borderId="43" pivotButton="0" quotePrefix="0" xfId="1"/>
    <xf numFmtId="0" fontId="21" fillId="0" borderId="59" pivotButton="0" quotePrefix="0" xfId="0"/>
    <xf numFmtId="0" fontId="14" fillId="0" borderId="36" pivotButton="0" quotePrefix="0" xfId="0"/>
    <xf numFmtId="166" fontId="14" fillId="0" borderId="0" pivotButton="0" quotePrefix="0" xfId="0"/>
    <xf numFmtId="37" fontId="0" fillId="0" borderId="15" pivotButton="0" quotePrefix="0" xfId="0"/>
    <xf numFmtId="37" fontId="5" fillId="0" borderId="36" applyAlignment="1" pivotButton="0" quotePrefix="0" xfId="0">
      <alignment horizontal="center" vertical="center"/>
    </xf>
    <xf numFmtId="37" fontId="43" fillId="0" borderId="4" applyAlignment="1" pivotButton="0" quotePrefix="0" xfId="0">
      <alignment horizontal="right"/>
    </xf>
    <xf numFmtId="166" fontId="0" fillId="0" borderId="0" pivotButton="0" quotePrefix="0" xfId="1"/>
    <xf numFmtId="166" fontId="0" fillId="0" borderId="7" pivotButton="0" quotePrefix="0" xfId="1"/>
    <xf numFmtId="164" fontId="32" fillId="0" borderId="0" applyAlignment="1" pivotButton="0" quotePrefix="0" xfId="1">
      <alignment wrapText="1"/>
    </xf>
    <xf numFmtId="173" fontId="2" fillId="0" borderId="0" pivotButton="0" quotePrefix="0" xfId="1"/>
    <xf numFmtId="173" fontId="32" fillId="0" borderId="0" pivotButton="0" quotePrefix="0" xfId="1"/>
    <xf numFmtId="164" fontId="32" fillId="0" borderId="0" pivotButton="0" quotePrefix="0" xfId="1"/>
    <xf numFmtId="0" fontId="2" fillId="0" borderId="33" pivotButton="0" quotePrefix="0" xfId="0"/>
    <xf numFmtId="0" fontId="2" fillId="0" borderId="31" pivotButton="0" quotePrefix="0" xfId="0"/>
    <xf numFmtId="0" fontId="2" fillId="0" borderId="52" pivotButton="0" quotePrefix="0" xfId="0"/>
    <xf numFmtId="37" fontId="2" fillId="0" borderId="16" applyAlignment="1" pivotButton="0" quotePrefix="0" xfId="0">
      <alignment horizontal="right"/>
    </xf>
    <xf numFmtId="37" fontId="6" fillId="0" borderId="56" applyAlignment="1" pivotButton="0" quotePrefix="0" xfId="0">
      <alignment horizontal="center"/>
    </xf>
    <xf numFmtId="37" fontId="6" fillId="0" borderId="60" applyAlignment="1" pivotButton="0" quotePrefix="0" xfId="0">
      <alignment horizontal="right"/>
    </xf>
    <xf numFmtId="165" fontId="45" fillId="0" borderId="21" applyAlignment="1" pivotButton="0" quotePrefix="0" xfId="1">
      <alignment vertical="center" wrapText="1"/>
    </xf>
    <xf numFmtId="165" fontId="45" fillId="0" borderId="0" applyAlignment="1" pivotButton="0" quotePrefix="0" xfId="1">
      <alignment vertical="center" wrapText="1"/>
    </xf>
    <xf numFmtId="0" fontId="2" fillId="0" borderId="0" applyAlignment="1" pivotButton="0" quotePrefix="0" xfId="0">
      <alignment vertical="center"/>
    </xf>
    <xf numFmtId="165" fontId="6" fillId="0" borderId="0" applyAlignment="1" pivotButton="0" quotePrefix="0" xfId="1">
      <alignment horizontal="right" vertical="center" wrapText="1"/>
    </xf>
    <xf numFmtId="3" fontId="47" fillId="0" borderId="0" applyAlignment="1" pivotButton="0" quotePrefix="0" xfId="1">
      <alignment vertical="center"/>
    </xf>
    <xf numFmtId="3" fontId="48" fillId="0" borderId="0" applyAlignment="1" pivotButton="0" quotePrefix="0" xfId="1">
      <alignment vertical="center"/>
    </xf>
    <xf numFmtId="165" fontId="18" fillId="0" borderId="0" pivotButton="0" quotePrefix="0" xfId="1"/>
    <xf numFmtId="0" fontId="14" fillId="0" borderId="26" pivotButton="0" quotePrefix="0" xfId="0"/>
    <xf numFmtId="174" fontId="18" fillId="0" borderId="0" pivotButton="0" quotePrefix="0" xfId="0"/>
    <xf numFmtId="164" fontId="14" fillId="0" borderId="20" applyAlignment="1" pivotButton="0" quotePrefix="0" xfId="1">
      <alignment horizontal="left" indent="2"/>
    </xf>
    <xf numFmtId="164" fontId="14" fillId="0" borderId="20" pivotButton="0" quotePrefix="0" xfId="1"/>
    <xf numFmtId="37" fontId="9" fillId="0" borderId="15" applyAlignment="1" pivotButton="0" quotePrefix="0" xfId="0">
      <alignment horizontal="center"/>
    </xf>
    <xf numFmtId="166" fontId="9" fillId="0" borderId="42" pivotButton="0" quotePrefix="0" xfId="1"/>
    <xf numFmtId="43" fontId="2" fillId="0" borderId="4" applyAlignment="1" pivotButton="0" quotePrefix="0" xfId="1">
      <alignment horizontal="right"/>
    </xf>
    <xf numFmtId="166" fontId="29" fillId="0" borderId="0" pivotButton="0" quotePrefix="0" xfId="1"/>
    <xf numFmtId="4" fontId="18" fillId="0" borderId="0" pivotButton="0" quotePrefix="0" xfId="0"/>
    <xf numFmtId="165" fontId="23" fillId="0" borderId="0" pivotButton="0" quotePrefix="0" xfId="0"/>
    <xf numFmtId="0" fontId="37" fillId="0" borderId="4" applyAlignment="1" pivotButton="0" quotePrefix="0" xfId="0">
      <alignment horizontal="center"/>
    </xf>
    <xf numFmtId="165" fontId="29" fillId="0" borderId="4" applyAlignment="1" pivotButton="0" quotePrefix="0" xfId="1">
      <alignment horizontal="center"/>
    </xf>
    <xf numFmtId="37" fontId="16" fillId="0" borderId="4" applyAlignment="1" pivotButton="0" quotePrefix="0" xfId="0">
      <alignment horizontal="left" vertical="center"/>
    </xf>
    <xf numFmtId="165" fontId="29" fillId="0" borderId="4" applyAlignment="1" pivotButton="0" quotePrefix="0" xfId="1">
      <alignment horizontal="center"/>
    </xf>
    <xf numFmtId="0" fontId="18" fillId="0" borderId="4" applyAlignment="1" pivotButton="0" quotePrefix="0" xfId="0">
      <alignment vertical="center"/>
    </xf>
    <xf numFmtId="37" fontId="44" fillId="0" borderId="4" applyAlignment="1" pivotButton="0" quotePrefix="0" xfId="0">
      <alignment horizontal="right"/>
    </xf>
    <xf numFmtId="37" fontId="17" fillId="0" borderId="0" pivotButton="0" quotePrefix="0" xfId="0"/>
    <xf numFmtId="165" fontId="14" fillId="0" borderId="14" pivotButton="0" quotePrefix="0" xfId="1"/>
    <xf numFmtId="165" fontId="14" fillId="0" borderId="5" pivotButton="0" quotePrefix="0" xfId="1"/>
    <xf numFmtId="165" fontId="14" fillId="0" borderId="4" pivotButton="0" quotePrefix="0" xfId="1"/>
    <xf numFmtId="165" fontId="14" fillId="0" borderId="44" pivotButton="0" quotePrefix="0" xfId="1"/>
    <xf numFmtId="165" fontId="14" fillId="0" borderId="6" pivotButton="0" quotePrefix="0" xfId="1"/>
    <xf numFmtId="165" fontId="14" fillId="0" borderId="47" pivotButton="0" quotePrefix="0" xfId="1"/>
    <xf numFmtId="165" fontId="21" fillId="0" borderId="59" pivotButton="0" quotePrefix="0" xfId="1"/>
    <xf numFmtId="165" fontId="21" fillId="0" borderId="37" pivotButton="0" quotePrefix="0" xfId="1"/>
    <xf numFmtId="165" fontId="21" fillId="0" borderId="38" pivotButton="0" quotePrefix="0" xfId="1"/>
    <xf numFmtId="165" fontId="14" fillId="0" borderId="0" pivotButton="0" quotePrefix="0" xfId="0"/>
    <xf numFmtId="165" fontId="14" fillId="0" borderId="4" pivotButton="0" quotePrefix="0" xfId="0"/>
    <xf numFmtId="165" fontId="21" fillId="0" borderId="16" pivotButton="0" quotePrefix="0" xfId="0"/>
    <xf numFmtId="165" fontId="14" fillId="0" borderId="32" pivotButton="0" quotePrefix="0" xfId="1"/>
    <xf numFmtId="165" fontId="21" fillId="0" borderId="53" pivotButton="0" quotePrefix="0" xfId="1"/>
    <xf numFmtId="0" fontId="14" fillId="0" borderId="0" applyAlignment="1" pivotButton="0" quotePrefix="0" xfId="0">
      <alignment horizontal="right"/>
    </xf>
    <xf numFmtId="0" fontId="14" fillId="0" borderId="4" pivotButton="0" quotePrefix="0" xfId="0"/>
    <xf numFmtId="37" fontId="14" fillId="0" borderId="4" pivotButton="0" quotePrefix="0" xfId="0"/>
    <xf numFmtId="37" fontId="21" fillId="0" borderId="4" pivotButton="0" quotePrefix="0" xfId="0"/>
    <xf numFmtId="43" fontId="21" fillId="0" borderId="0" pivotButton="0" quotePrefix="0" xfId="0"/>
    <xf numFmtId="0" fontId="21" fillId="0" borderId="46" pivotButton="0" quotePrefix="0" xfId="0"/>
    <xf numFmtId="43" fontId="14" fillId="0" borderId="6" pivotButton="0" quotePrefix="0" xfId="0"/>
    <xf numFmtId="43" fontId="14" fillId="0" borderId="21" pivotButton="0" quotePrefix="0" xfId="0"/>
    <xf numFmtId="0" fontId="14" fillId="0" borderId="62" pivotButton="0" quotePrefix="0" xfId="0"/>
    <xf numFmtId="165" fontId="14" fillId="0" borderId="62" pivotButton="0" quotePrefix="0" xfId="1"/>
    <xf numFmtId="37" fontId="30" fillId="0" borderId="0" applyAlignment="1" pivotButton="0" quotePrefix="0" xfId="0">
      <alignment wrapText="1"/>
    </xf>
    <xf numFmtId="164" fontId="32" fillId="0" borderId="0" applyAlignment="1" pivotButton="0" quotePrefix="0" xfId="1">
      <alignment vertical="top" wrapText="1"/>
    </xf>
    <xf numFmtId="165" fontId="29" fillId="0" borderId="0" applyAlignment="1" pivotButton="0" quotePrefix="0" xfId="0">
      <alignment horizontal="center" wrapText="1"/>
    </xf>
    <xf numFmtId="165" fontId="21" fillId="0" borderId="0" pivotButton="0" quotePrefix="0" xfId="0"/>
    <xf numFmtId="165" fontId="21" fillId="0" borderId="0" pivotButton="0" quotePrefix="0" xfId="1"/>
    <xf numFmtId="37" fontId="21" fillId="0" borderId="0" pivotButton="0" quotePrefix="0" xfId="0"/>
    <xf numFmtId="164" fontId="14" fillId="0" borderId="0" pivotButton="0" quotePrefix="0" xfId="0"/>
    <xf numFmtId="0" fontId="21" fillId="0" borderId="4" applyAlignment="1" pivotButton="0" quotePrefix="0" xfId="0">
      <alignment horizontal="right"/>
    </xf>
    <xf numFmtId="37" fontId="9" fillId="0" borderId="17" applyAlignment="1" pivotButton="0" quotePrefix="0" xfId="0">
      <alignment horizontal="center"/>
    </xf>
    <xf numFmtId="39" fontId="0" fillId="0" borderId="20" pivotButton="0" quotePrefix="0" xfId="0"/>
    <xf numFmtId="39" fontId="9" fillId="0" borderId="64" pivotButton="0" quotePrefix="0" xfId="0"/>
    <xf numFmtId="0" fontId="29" fillId="0" borderId="25" pivotButton="0" quotePrefix="0" xfId="0"/>
    <xf numFmtId="166" fontId="29" fillId="0" borderId="23" pivotButton="0" quotePrefix="0" xfId="0"/>
    <xf numFmtId="166" fontId="29" fillId="0" borderId="43" pivotButton="0" quotePrefix="0" xfId="0"/>
    <xf numFmtId="165" fontId="29" fillId="0" borderId="25" pivotButton="0" quotePrefix="0" xfId="0"/>
    <xf numFmtId="37" fontId="16" fillId="0" borderId="4" applyAlignment="1" pivotButton="0" quotePrefix="0" xfId="0">
      <alignment horizontal="left" vertical="center" wrapText="1"/>
    </xf>
    <xf numFmtId="39" fontId="9" fillId="0" borderId="48" pivotButton="0" quotePrefix="0" xfId="1"/>
    <xf numFmtId="37" fontId="9" fillId="0" borderId="12" applyAlignment="1" pivotButton="0" quotePrefix="0" xfId="0">
      <alignment horizontal="left"/>
    </xf>
    <xf numFmtId="37" fontId="30" fillId="0" borderId="3" applyAlignment="1" pivotButton="0" quotePrefix="0" xfId="0">
      <alignment wrapText="1"/>
    </xf>
    <xf numFmtId="39" fontId="9" fillId="0" borderId="65" pivotButton="0" quotePrefix="0" xfId="1"/>
    <xf numFmtId="43" fontId="18" fillId="0" borderId="0" applyAlignment="1" pivotButton="0" quotePrefix="0" xfId="0">
      <alignment vertical="center"/>
    </xf>
    <xf numFmtId="0" fontId="21" fillId="0" borderId="18" pivotButton="0" quotePrefix="0" xfId="0"/>
    <xf numFmtId="0" fontId="22" fillId="0" borderId="18" pivotButton="0" quotePrefix="0" xfId="0"/>
    <xf numFmtId="0" fontId="14" fillId="0" borderId="23" pivotButton="0" quotePrefix="0" xfId="0"/>
    <xf numFmtId="37" fontId="47" fillId="0" borderId="0" applyAlignment="1" pivotButton="0" quotePrefix="0" xfId="0">
      <alignment horizontal="center" wrapText="1"/>
    </xf>
    <xf numFmtId="17" fontId="23" fillId="0" borderId="0" pivotButton="0" quotePrefix="0" xfId="0"/>
    <xf numFmtId="49" fontId="25" fillId="0" borderId="0" pivotButton="0" quotePrefix="0" xfId="1"/>
    <xf numFmtId="166" fontId="25" fillId="0" borderId="21" applyAlignment="1" pivotButton="0" quotePrefix="0" xfId="1">
      <alignment vertical="center"/>
    </xf>
    <xf numFmtId="39" fontId="14" fillId="0" borderId="0" pivotButton="0" quotePrefix="0" xfId="0"/>
    <xf numFmtId="37" fontId="0" fillId="0" borderId="21" pivotButton="0" quotePrefix="0" xfId="0"/>
    <xf numFmtId="0" fontId="2" fillId="0" borderId="9" applyAlignment="1" pivotButton="0" quotePrefix="0" xfId="0">
      <alignment horizontal="left"/>
    </xf>
    <xf numFmtId="37" fontId="3" fillId="0" borderId="13" applyAlignment="1" pivotButton="0" quotePrefix="0" xfId="0">
      <alignment horizontal="left"/>
    </xf>
    <xf numFmtId="164" fontId="2" fillId="0" borderId="9" applyAlignment="1" pivotButton="0" quotePrefix="0" xfId="1">
      <alignment horizontal="right"/>
    </xf>
    <xf numFmtId="37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164" fontId="6" fillId="0" borderId="9" applyAlignment="1" pivotButton="0" quotePrefix="0" xfId="1">
      <alignment horizontal="right"/>
    </xf>
    <xf numFmtId="37" fontId="0" fillId="0" borderId="62" pivotButton="0" quotePrefix="0" xfId="0"/>
    <xf numFmtId="37" fontId="9" fillId="0" borderId="11" pivotButton="0" quotePrefix="0" xfId="0"/>
    <xf numFmtId="175" fontId="0" fillId="0" borderId="0" pivotButton="0" quotePrefix="0" xfId="0"/>
    <xf numFmtId="176" fontId="0" fillId="0" borderId="0" pivotButton="0" quotePrefix="0" xfId="0"/>
    <xf numFmtId="37" fontId="43" fillId="0" borderId="25" applyAlignment="1" pivotButton="0" quotePrefix="0" xfId="0">
      <alignment horizontal="right"/>
    </xf>
    <xf numFmtId="4" fontId="29" fillId="0" borderId="0" pivotButton="0" quotePrefix="0" xfId="0"/>
    <xf numFmtId="43" fontId="29" fillId="0" borderId="0" applyAlignment="1" pivotButton="0" quotePrefix="0" xfId="0">
      <alignment horizontal="right"/>
    </xf>
    <xf numFmtId="166" fontId="23" fillId="0" borderId="4" pivotButton="0" quotePrefix="0" xfId="0"/>
    <xf numFmtId="0" fontId="29" fillId="0" borderId="4" pivotButton="0" quotePrefix="0" xfId="0"/>
    <xf numFmtId="165" fontId="29" fillId="0" borderId="20" pivotButton="0" quotePrefix="0" xfId="0"/>
    <xf numFmtId="166" fontId="29" fillId="0" borderId="20" pivotButton="0" quotePrefix="0" xfId="0"/>
    <xf numFmtId="0" fontId="31" fillId="0" borderId="0" pivotButton="0" quotePrefix="0" xfId="0"/>
    <xf numFmtId="37" fontId="25" fillId="0" borderId="0" applyAlignment="1" pivotButton="0" quotePrefix="0" xfId="0">
      <alignment horizontal="center"/>
    </xf>
    <xf numFmtId="2" fontId="14" fillId="0" borderId="18" pivotButton="0" quotePrefix="0" xfId="0"/>
    <xf numFmtId="165" fontId="43" fillId="0" borderId="4" pivotButton="0" quotePrefix="0" xfId="1"/>
    <xf numFmtId="37" fontId="9" fillId="0" borderId="4" applyAlignment="1" pivotButton="0" quotePrefix="0" xfId="0">
      <alignment horizontal="center"/>
    </xf>
    <xf numFmtId="37" fontId="26" fillId="0" borderId="12" pivotButton="0" quotePrefix="0" xfId="0"/>
    <xf numFmtId="37" fontId="26" fillId="0" borderId="1" applyAlignment="1" pivotButton="0" quotePrefix="0" xfId="0">
      <alignment horizontal="center"/>
    </xf>
    <xf numFmtId="37" fontId="26" fillId="0" borderId="15" applyAlignment="1" pivotButton="0" quotePrefix="0" xfId="0">
      <alignment horizontal="center"/>
    </xf>
    <xf numFmtId="4" fontId="0" fillId="0" borderId="0" applyAlignment="1" pivotButton="0" quotePrefix="0" xfId="0">
      <alignment vertical="top"/>
    </xf>
    <xf numFmtId="0" fontId="42" fillId="0" borderId="0" pivotButton="0" quotePrefix="0" xfId="0"/>
    <xf numFmtId="177" fontId="0" fillId="0" borderId="0" pivotButton="0" quotePrefix="0" xfId="0"/>
    <xf numFmtId="0" fontId="25" fillId="0" borderId="0" pivotButton="0" quotePrefix="0" xfId="1"/>
    <xf numFmtId="0" fontId="18" fillId="0" borderId="0" pivotButton="0" quotePrefix="0" xfId="1"/>
    <xf numFmtId="178" fontId="45" fillId="0" borderId="0" applyAlignment="1" pivotButton="0" quotePrefix="0" xfId="0">
      <alignment horizontal="left" vertical="top" wrapText="1"/>
    </xf>
    <xf numFmtId="37" fontId="43" fillId="0" borderId="4" applyAlignment="1" pivotButton="0" quotePrefix="0" xfId="0">
      <alignment horizontal="left"/>
    </xf>
    <xf numFmtId="37" fontId="6" fillId="0" borderId="69" applyAlignment="1" pivotButton="0" quotePrefix="0" xfId="0">
      <alignment wrapText="1"/>
    </xf>
    <xf numFmtId="0" fontId="22" fillId="0" borderId="19" pivotButton="0" quotePrefix="0" xfId="0"/>
    <xf numFmtId="0" fontId="14" fillId="0" borderId="30" pivotButton="0" quotePrefix="0" xfId="0"/>
    <xf numFmtId="37" fontId="44" fillId="0" borderId="0" applyAlignment="1" pivotButton="0" quotePrefix="0" xfId="0">
      <alignment horizontal="right"/>
    </xf>
    <xf numFmtId="43" fontId="25" fillId="0" borderId="0" pivotButton="0" quotePrefix="0" xfId="1"/>
    <xf numFmtId="2" fontId="0" fillId="0" borderId="0" pivotButton="0" quotePrefix="0" xfId="0"/>
    <xf numFmtId="37" fontId="9" fillId="0" borderId="24" applyAlignment="1" pivotButton="0" quotePrefix="0" xfId="0">
      <alignment horizontal="center"/>
    </xf>
    <xf numFmtId="0" fontId="14" fillId="0" borderId="17" pivotButton="0" quotePrefix="0" xfId="0"/>
    <xf numFmtId="165" fontId="21" fillId="0" borderId="17" pivotButton="0" quotePrefix="0" xfId="0"/>
    <xf numFmtId="166" fontId="14" fillId="0" borderId="17" pivotButton="0" quotePrefix="0" xfId="0"/>
    <xf numFmtId="166" fontId="14" fillId="0" borderId="17" applyAlignment="1" pivotButton="0" quotePrefix="0" xfId="0">
      <alignment horizontal="right"/>
    </xf>
    <xf numFmtId="0" fontId="57" fillId="0" borderId="0" applyAlignment="1" pivotButton="0" quotePrefix="0" xfId="1">
      <alignment horizontal="left" vertical="top" wrapText="1"/>
    </xf>
    <xf numFmtId="0" fontId="25" fillId="0" borderId="21" applyAlignment="1" pivotButton="0" quotePrefix="0" xfId="1">
      <alignment horizontal="left" vertical="top" wrapText="1"/>
    </xf>
    <xf numFmtId="0" fontId="25" fillId="0" borderId="0" applyAlignment="1" pivotButton="0" quotePrefix="0" xfId="1">
      <alignment horizontal="left" vertical="top" wrapText="1"/>
    </xf>
    <xf numFmtId="37" fontId="9" fillId="0" borderId="4" applyAlignment="1" pivotButton="0" quotePrefix="0" xfId="0">
      <alignment horizontal="left"/>
    </xf>
    <xf numFmtId="37" fontId="9" fillId="0" borderId="0" applyAlignment="1" pivotButton="0" quotePrefix="0" xfId="0">
      <alignment horizontal="left"/>
    </xf>
    <xf numFmtId="39" fontId="9" fillId="0" borderId="0" pivotButton="0" quotePrefix="0" xfId="0"/>
    <xf numFmtId="179" fontId="0" fillId="0" borderId="0" pivotButton="0" quotePrefix="0" xfId="0"/>
    <xf numFmtId="0" fontId="0" fillId="0" borderId="0" applyAlignment="1" pivotButton="0" quotePrefix="0" xfId="0">
      <alignment wrapText="1"/>
    </xf>
    <xf numFmtId="37" fontId="0" fillId="0" borderId="4" applyAlignment="1" pivotButton="0" quotePrefix="0" xfId="0">
      <alignment horizontal="left"/>
    </xf>
    <xf numFmtId="37" fontId="0" fillId="0" borderId="4" applyAlignment="1" pivotButton="0" quotePrefix="0" xfId="0">
      <alignment horizontal="right"/>
    </xf>
    <xf numFmtId="0" fontId="58" fillId="0" borderId="4" pivotButton="0" quotePrefix="0" xfId="0"/>
    <xf numFmtId="177" fontId="35" fillId="0" borderId="0" pivotButton="0" quotePrefix="0" xfId="0"/>
    <xf numFmtId="0" fontId="56" fillId="0" borderId="0" applyAlignment="1" pivotButton="0" quotePrefix="0" xfId="0">
      <alignment vertical="center"/>
    </xf>
    <xf numFmtId="13" fontId="2" fillId="0" borderId="0" pivotButton="0" quotePrefix="0" xfId="1"/>
    <xf numFmtId="37" fontId="30" fillId="0" borderId="0" applyAlignment="1" pivotButton="0" quotePrefix="0" xfId="0">
      <alignment horizontal="right"/>
    </xf>
    <xf numFmtId="165" fontId="18" fillId="0" borderId="24" pivotButton="0" quotePrefix="0" xfId="1"/>
    <xf numFmtId="37" fontId="9" fillId="0" borderId="4" applyAlignment="1" pivotButton="0" quotePrefix="0" xfId="0">
      <alignment horizontal="right"/>
    </xf>
    <xf numFmtId="37" fontId="9" fillId="0" borderId="25" applyAlignment="1" pivotButton="0" quotePrefix="0" xfId="0">
      <alignment horizontal="center"/>
    </xf>
    <xf numFmtId="165" fontId="25" fillId="0" borderId="17" pivotButton="0" quotePrefix="0" xfId="1"/>
    <xf numFmtId="37" fontId="12" fillId="0" borderId="67" pivotButton="0" quotePrefix="0" xfId="0"/>
    <xf numFmtId="164" fontId="6" fillId="0" borderId="75" applyAlignment="1" pivotButton="0" quotePrefix="0" xfId="1">
      <alignment horizontal="right"/>
    </xf>
    <xf numFmtId="166" fontId="29" fillId="0" borderId="29" pivotButton="0" quotePrefix="0" xfId="1"/>
    <xf numFmtId="0" fontId="61" fillId="2" borderId="0" pivotButton="0" quotePrefix="0" xfId="0"/>
    <xf numFmtId="37" fontId="6" fillId="0" borderId="17" applyAlignment="1" pivotButton="0" quotePrefix="0" xfId="0">
      <alignment horizontal="center" vertical="center" wrapText="1"/>
    </xf>
    <xf numFmtId="37" fontId="6" fillId="0" borderId="36" applyAlignment="1" pivotButton="0" quotePrefix="0" xfId="0">
      <alignment horizontal="left" wrapText="1"/>
    </xf>
    <xf numFmtId="37" fontId="6" fillId="0" borderId="38" applyAlignment="1" pivotButton="0" quotePrefix="0" xfId="0">
      <alignment vertical="center" wrapText="1"/>
    </xf>
    <xf numFmtId="0" fontId="60" fillId="0" borderId="20" pivotButton="0" quotePrefix="0" xfId="0"/>
    <xf numFmtId="0" fontId="62" fillId="0" borderId="0" pivotButton="0" quotePrefix="0" xfId="0"/>
    <xf numFmtId="0" fontId="60" fillId="0" borderId="0" pivotButton="0" quotePrefix="0" xfId="0"/>
    <xf numFmtId="0" fontId="62" fillId="0" borderId="17" pivotButton="0" quotePrefix="0" xfId="0"/>
    <xf numFmtId="0" fontId="62" fillId="0" borderId="22" pivotButton="0" quotePrefix="0" xfId="0"/>
    <xf numFmtId="0" fontId="60" fillId="0" borderId="20" applyAlignment="1" pivotButton="0" quotePrefix="0" xfId="0">
      <alignment horizontal="center" vertical="center"/>
    </xf>
    <xf numFmtId="43" fontId="60" fillId="0" borderId="0" pivotButton="0" quotePrefix="0" xfId="1"/>
    <xf numFmtId="43" fontId="60" fillId="0" borderId="20" pivotButton="0" quotePrefix="0" xfId="1"/>
    <xf numFmtId="0" fontId="60" fillId="0" borderId="18" applyAlignment="1" pivotButton="0" quotePrefix="0" xfId="0">
      <alignment horizontal="center" vertical="center"/>
    </xf>
    <xf numFmtId="0" fontId="60" fillId="0" borderId="18" pivotButton="0" quotePrefix="0" xfId="0"/>
    <xf numFmtId="43" fontId="60" fillId="0" borderId="23" pivotButton="0" quotePrefix="0" xfId="1"/>
    <xf numFmtId="43" fontId="60" fillId="0" borderId="18" pivotButton="0" quotePrefix="0" xfId="1"/>
    <xf numFmtId="37" fontId="0" fillId="2" borderId="0" pivotButton="0" quotePrefix="0" xfId="0"/>
    <xf numFmtId="3" fontId="47" fillId="2" borderId="37" applyAlignment="1" pivotButton="0" quotePrefix="0" xfId="1">
      <alignment vertical="center"/>
    </xf>
    <xf numFmtId="0" fontId="48" fillId="0" borderId="0" pivotButton="0" quotePrefix="0" xfId="0"/>
    <xf numFmtId="0" fontId="28" fillId="0" borderId="0" applyAlignment="1" pivotButton="0" quotePrefix="0" xfId="0">
      <alignment horizontal="left" vertical="center" wrapText="1" indent="8"/>
    </xf>
    <xf numFmtId="0" fontId="56" fillId="0" borderId="4" applyAlignment="1" pivotButton="0" quotePrefix="0" xfId="0">
      <alignment vertical="center"/>
    </xf>
    <xf numFmtId="37" fontId="21" fillId="0" borderId="26" pivotButton="0" quotePrefix="0" xfId="0"/>
    <xf numFmtId="166" fontId="21" fillId="0" borderId="24" pivotButton="0" quotePrefix="0" xfId="0"/>
    <xf numFmtId="0" fontId="21" fillId="0" borderId="24" pivotButton="0" quotePrefix="0" xfId="0"/>
    <xf numFmtId="0" fontId="14" fillId="0" borderId="25" pivotButton="0" quotePrefix="0" xfId="0"/>
    <xf numFmtId="166" fontId="21" fillId="0" borderId="26" pivotButton="0" quotePrefix="0" xfId="0"/>
    <xf numFmtId="165" fontId="21" fillId="0" borderId="26" pivotButton="0" quotePrefix="0" xfId="0"/>
    <xf numFmtId="37" fontId="66" fillId="0" borderId="4" applyAlignment="1" pivotButton="0" quotePrefix="0" xfId="0">
      <alignment vertical="center"/>
    </xf>
    <xf numFmtId="37" fontId="66" fillId="0" borderId="4" pivotButton="0" quotePrefix="0" xfId="0"/>
    <xf numFmtId="37" fontId="9" fillId="0" borderId="41" applyAlignment="1" pivotButton="0" quotePrefix="0" xfId="0">
      <alignment horizontal="center"/>
    </xf>
    <xf numFmtId="0" fontId="59" fillId="0" borderId="0" applyAlignment="1" pivotButton="0" quotePrefix="0" xfId="0">
      <alignment horizontal="center" vertical="center"/>
    </xf>
    <xf numFmtId="37" fontId="6" fillId="0" borderId="0" applyAlignment="1" pivotButton="0" quotePrefix="0" xfId="0">
      <alignment horizontal="left" wrapText="1"/>
    </xf>
    <xf numFmtId="37" fontId="6" fillId="0" borderId="0" applyAlignment="1" pivotButton="0" quotePrefix="0" xfId="0">
      <alignment vertical="center" wrapText="1"/>
    </xf>
    <xf numFmtId="37" fontId="6" fillId="0" borderId="52" applyAlignment="1" pivotButton="0" quotePrefix="0" xfId="0">
      <alignment horizontal="left"/>
    </xf>
    <xf numFmtId="37" fontId="6" fillId="0" borderId="68" pivotButton="0" quotePrefix="0" xfId="0"/>
    <xf numFmtId="37" fontId="6" fillId="0" borderId="5" applyAlignment="1" pivotButton="0" quotePrefix="0" xfId="0">
      <alignment horizontal="center" vertical="center" wrapText="1"/>
    </xf>
    <xf numFmtId="37" fontId="6" fillId="0" borderId="5" applyAlignment="1" pivotButton="0" quotePrefix="0" xfId="0">
      <alignment horizontal="center" vertical="center"/>
    </xf>
    <xf numFmtId="165" fontId="5" fillId="0" borderId="5" applyAlignment="1" pivotButton="0" quotePrefix="0" xfId="1">
      <alignment horizontal="center" vertical="center"/>
    </xf>
    <xf numFmtId="0" fontId="52" fillId="0" borderId="5" applyAlignment="1" pivotButton="0" quotePrefix="0" xfId="0">
      <alignment horizontal="center"/>
    </xf>
    <xf numFmtId="165" fontId="51" fillId="0" borderId="5" applyAlignment="1" pivotButton="0" quotePrefix="0" xfId="1">
      <alignment horizontal="center"/>
    </xf>
    <xf numFmtId="37" fontId="6" fillId="0" borderId="76" applyAlignment="1" pivotButton="0" quotePrefix="0" xfId="0">
      <alignment vertical="center"/>
    </xf>
    <xf numFmtId="37" fontId="6" fillId="0" borderId="72" applyAlignment="1" pivotButton="0" quotePrefix="0" xfId="0">
      <alignment horizontal="right"/>
    </xf>
    <xf numFmtId="37" fontId="6" fillId="0" borderId="31" applyAlignment="1" pivotButton="0" quotePrefix="0" xfId="0">
      <alignment vertical="center"/>
    </xf>
    <xf numFmtId="165" fontId="21" fillId="0" borderId="76" applyAlignment="1" pivotButton="0" quotePrefix="0" xfId="1">
      <alignment horizontal="right"/>
    </xf>
    <xf numFmtId="165" fontId="21" fillId="0" borderId="31" applyAlignment="1" pivotButton="0" quotePrefix="0" xfId="1">
      <alignment horizontal="right"/>
    </xf>
    <xf numFmtId="165" fontId="21" fillId="0" borderId="31" pivotButton="0" quotePrefix="0" xfId="1"/>
    <xf numFmtId="165" fontId="18" fillId="0" borderId="20" pivotButton="0" quotePrefix="0" xfId="1"/>
    <xf numFmtId="37" fontId="12" fillId="0" borderId="72" pivotButton="0" quotePrefix="0" xfId="0"/>
    <xf numFmtId="180" fontId="25" fillId="0" borderId="0" applyAlignment="1" pivotButton="0" quotePrefix="0" xfId="1">
      <alignment horizontal="left" vertical="top" wrapText="1"/>
    </xf>
    <xf numFmtId="165" fontId="54" fillId="0" borderId="0" pivotButton="0" quotePrefix="0" xfId="1"/>
    <xf numFmtId="165" fontId="44" fillId="0" borderId="0" pivotButton="0" quotePrefix="0" xfId="1"/>
    <xf numFmtId="165" fontId="21" fillId="0" borderId="67" applyAlignment="1" pivotButton="0" quotePrefix="0" xfId="1">
      <alignment horizontal="right"/>
    </xf>
    <xf numFmtId="165" fontId="21" fillId="0" borderId="72" applyAlignment="1" pivotButton="0" quotePrefix="0" xfId="1">
      <alignment horizontal="right"/>
    </xf>
    <xf numFmtId="165" fontId="14" fillId="0" borderId="4" applyAlignment="1" pivotButton="0" quotePrefix="0" xfId="1">
      <alignment horizontal="right"/>
    </xf>
    <xf numFmtId="165" fontId="14" fillId="0" borderId="32" applyAlignment="1" pivotButton="0" quotePrefix="0" xfId="1">
      <alignment horizontal="right"/>
    </xf>
    <xf numFmtId="165" fontId="21" fillId="0" borderId="4" applyAlignment="1" pivotButton="0" quotePrefix="0" xfId="1">
      <alignment horizontal="right"/>
    </xf>
    <xf numFmtId="165" fontId="21" fillId="0" borderId="4" pivotButton="0" quotePrefix="0" xfId="1"/>
    <xf numFmtId="165" fontId="21" fillId="0" borderId="32" pivotButton="0" quotePrefix="0" xfId="1"/>
    <xf numFmtId="4" fontId="68" fillId="0" borderId="0" applyAlignment="1" pivotButton="0" quotePrefix="0" xfId="0">
      <alignment horizontal="right" vertical="top"/>
    </xf>
    <xf numFmtId="0" fontId="9" fillId="0" borderId="4" applyAlignment="1" pivotButton="0" quotePrefix="0" xfId="0">
      <alignment horizontal="center" vertical="center"/>
    </xf>
    <xf numFmtId="166" fontId="19" fillId="0" borderId="4" pivotButton="0" quotePrefix="0" xfId="1"/>
    <xf numFmtId="0" fontId="14" fillId="0" borderId="20" applyAlignment="1" pivotButton="0" quotePrefix="0" xfId="0">
      <alignment horizontal="left" indent="10"/>
    </xf>
    <xf numFmtId="0" fontId="14" fillId="0" borderId="0" applyAlignment="1" pivotButton="0" quotePrefix="0" xfId="0">
      <alignment wrapText="1"/>
    </xf>
    <xf numFmtId="39" fontId="2" fillId="0" borderId="0" pivotButton="0" quotePrefix="0" xfId="1"/>
    <xf numFmtId="37" fontId="2" fillId="0" borderId="4" applyAlignment="1" pivotButton="0" quotePrefix="1" xfId="0">
      <alignment horizontal="center" vertical="center"/>
    </xf>
    <xf numFmtId="37" fontId="2" fillId="0" borderId="4" applyAlignment="1" pivotButton="0" quotePrefix="0" xfId="0">
      <alignment horizontal="center" vertical="center"/>
    </xf>
    <xf numFmtId="0" fontId="6" fillId="0" borderId="7" pivotButton="0" quotePrefix="0" xfId="0"/>
    <xf numFmtId="0" fontId="6" fillId="0" borderId="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2" pivotButton="0" quotePrefix="0" xfId="0"/>
    <xf numFmtId="0" fontId="3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37" fontId="6" fillId="0" borderId="3" applyAlignment="1" pivotButton="0" quotePrefix="0" xfId="0">
      <alignment horizontal="right"/>
    </xf>
    <xf numFmtId="39" fontId="6" fillId="0" borderId="3" pivotButton="0" quotePrefix="0" xfId="1"/>
    <xf numFmtId="165" fontId="25" fillId="0" borderId="20" pivotButton="0" quotePrefix="0" xfId="1"/>
    <xf numFmtId="4" fontId="72" fillId="0" borderId="0" pivotButton="0" quotePrefix="0" xfId="0"/>
    <xf numFmtId="166" fontId="29" fillId="0" borderId="4" pivotButton="0" quotePrefix="0" xfId="0"/>
    <xf numFmtId="0" fontId="65" fillId="0" borderId="4" applyAlignment="1" pivotButton="0" quotePrefix="0" xfId="11">
      <alignment horizontal="left" vertical="center"/>
    </xf>
    <xf numFmtId="0" fontId="65" fillId="0" borderId="4" applyAlignment="1" pivotButton="0" quotePrefix="0" xfId="11">
      <alignment horizontal="right" vertical="center"/>
    </xf>
    <xf numFmtId="0" fontId="14" fillId="0" borderId="20" applyAlignment="1" pivotButton="0" quotePrefix="0" xfId="0">
      <alignment horizontal="left" indent="9"/>
    </xf>
    <xf numFmtId="39" fontId="2" fillId="0" borderId="4" applyAlignment="1" pivotButton="0" quotePrefix="0" xfId="0">
      <alignment horizontal="right"/>
    </xf>
    <xf numFmtId="37" fontId="2" fillId="0" borderId="0" applyAlignment="1" pivotButton="0" quotePrefix="0" xfId="0">
      <alignment horizontal="center"/>
    </xf>
    <xf numFmtId="39" fontId="36" fillId="0" borderId="0" pivotButton="0" quotePrefix="0" xfId="1"/>
    <xf numFmtId="0" fontId="19" fillId="0" borderId="0" pivotButton="0" quotePrefix="0" xfId="0"/>
    <xf numFmtId="165" fontId="29" fillId="0" borderId="0" applyAlignment="1" pivotButton="0" quotePrefix="0" xfId="1">
      <alignment horizontal="center"/>
    </xf>
    <xf numFmtId="14" fontId="0" fillId="0" borderId="0" pivotButton="0" quotePrefix="0" xfId="0"/>
    <xf numFmtId="37" fontId="45" fillId="0" borderId="37" applyAlignment="1" pivotButton="0" quotePrefix="0" xfId="0">
      <alignment horizontal="center"/>
    </xf>
    <xf numFmtId="37" fontId="45" fillId="0" borderId="38" applyAlignment="1" pivotButton="0" quotePrefix="0" xfId="0">
      <alignment horizontal="center"/>
    </xf>
    <xf numFmtId="37" fontId="25" fillId="0" borderId="15" applyAlignment="1" pivotButton="0" quotePrefix="0" xfId="0">
      <alignment horizontal="left"/>
    </xf>
    <xf numFmtId="37" fontId="25" fillId="0" borderId="15" applyAlignment="1" pivotButton="0" quotePrefix="0" xfId="0">
      <alignment wrapText="1"/>
    </xf>
    <xf numFmtId="37" fontId="31" fillId="0" borderId="0" applyAlignment="1" pivotButton="0" quotePrefix="0" xfId="0">
      <alignment wrapText="1"/>
    </xf>
    <xf numFmtId="165" fontId="18" fillId="0" borderId="4" pivotButton="0" quotePrefix="0" xfId="1"/>
    <xf numFmtId="0" fontId="88" fillId="0" borderId="0" pivotButton="0" quotePrefix="0" xfId="0"/>
    <xf numFmtId="181" fontId="87" fillId="0" borderId="0" applyAlignment="1" pivotButton="0" quotePrefix="0" xfId="0">
      <alignment vertical="top" wrapText="1" readingOrder="1"/>
    </xf>
    <xf numFmtId="43" fontId="2" fillId="0" borderId="5" applyAlignment="1" pivotButton="0" quotePrefix="1" xfId="1">
      <alignment horizontal="center"/>
    </xf>
    <xf numFmtId="166" fontId="2" fillId="0" borderId="7" applyAlignment="1" pivotButton="0" quotePrefix="0" xfId="2">
      <alignment horizontal="right"/>
    </xf>
    <xf numFmtId="0" fontId="45" fillId="0" borderId="0" applyAlignment="1" pivotButton="0" quotePrefix="0" xfId="0">
      <alignment horizontal="right"/>
    </xf>
    <xf numFmtId="165" fontId="25" fillId="0" borderId="20" applyAlignment="1" pivotButton="0" quotePrefix="0" xfId="1">
      <alignment horizontal="right"/>
    </xf>
    <xf numFmtId="166" fontId="0" fillId="0" borderId="4" pivotButton="0" quotePrefix="0" xfId="1"/>
    <xf numFmtId="166" fontId="9" fillId="0" borderId="4" pivotButton="0" quotePrefix="0" xfId="1"/>
    <xf numFmtId="0" fontId="9" fillId="0" borderId="4" applyAlignment="1" pivotButton="0" quotePrefix="0" xfId="0">
      <alignment vertical="center"/>
    </xf>
    <xf numFmtId="3" fontId="29" fillId="0" borderId="4" pivotButton="0" quotePrefix="0" xfId="0"/>
    <xf numFmtId="0" fontId="9" fillId="0" borderId="4" applyAlignment="1" pivotButton="0" quotePrefix="0" xfId="0">
      <alignment wrapText="1"/>
    </xf>
    <xf numFmtId="0" fontId="19" fillId="0" borderId="4" applyAlignment="1" pivotButton="0" quotePrefix="0" xfId="0">
      <alignment wrapText="1"/>
    </xf>
    <xf numFmtId="14" fontId="19" fillId="0" borderId="4" pivotButton="0" quotePrefix="0" xfId="0"/>
    <xf numFmtId="0" fontId="0" fillId="0" borderId="4" pivotButton="0" quotePrefix="0" xfId="0"/>
    <xf numFmtId="14" fontId="0" fillId="0" borderId="4" applyAlignment="1" pivotButton="0" quotePrefix="0" xfId="0">
      <alignment wrapText="1"/>
    </xf>
    <xf numFmtId="37" fontId="70" fillId="0" borderId="0" applyAlignment="1" pivotButton="0" quotePrefix="0" xfId="0">
      <alignment vertical="center"/>
    </xf>
    <xf numFmtId="165" fontId="71" fillId="0" borderId="0" applyAlignment="1" pivotButton="0" quotePrefix="0" xfId="1">
      <alignment vertical="center" wrapText="1"/>
    </xf>
    <xf numFmtId="166" fontId="28" fillId="0" borderId="0" pivotButton="0" quotePrefix="0" xfId="0"/>
    <xf numFmtId="0" fontId="25" fillId="0" borderId="0" pivotButton="0" quotePrefix="0" xfId="1"/>
    <xf numFmtId="0" fontId="14" fillId="0" borderId="2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0" fontId="14" fillId="0" borderId="20" applyAlignment="1" pivotButton="0" quotePrefix="0" xfId="0">
      <alignment horizontal="left"/>
    </xf>
    <xf numFmtId="49" fontId="0" fillId="0" borderId="4" pivotButton="0" quotePrefix="0" xfId="0"/>
    <xf numFmtId="165" fontId="43" fillId="2" borderId="4" pivotButton="0" quotePrefix="0" xfId="1"/>
    <xf numFmtId="182" fontId="0" fillId="0" borderId="0" pivotButton="0" quotePrefix="0" xfId="0"/>
    <xf numFmtId="37" fontId="20" fillId="0" borderId="1" applyAlignment="1" pivotButton="0" quotePrefix="0" xfId="0">
      <alignment horizontal="left"/>
    </xf>
    <xf numFmtId="0" fontId="58" fillId="0" borderId="4" applyAlignment="1" pivotButton="0" quotePrefix="0" xfId="0">
      <alignment vertical="center"/>
    </xf>
    <xf numFmtId="0" fontId="70" fillId="0" borderId="0" applyAlignment="1" pivotButton="0" quotePrefix="0" xfId="0">
      <alignment wrapText="1"/>
    </xf>
    <xf numFmtId="0" fontId="70" fillId="0" borderId="0" applyAlignment="1" pivotButton="0" quotePrefix="0" xfId="0">
      <alignment vertical="center" wrapText="1"/>
    </xf>
    <xf numFmtId="0" fontId="91" fillId="0" borderId="0" applyAlignment="1" pivotButton="0" quotePrefix="0" xfId="0">
      <alignment vertical="center" wrapText="1"/>
    </xf>
    <xf numFmtId="43" fontId="54" fillId="0" borderId="0" pivotButton="0" quotePrefix="0" xfId="0"/>
    <xf numFmtId="183" fontId="0" fillId="0" borderId="0" pivotButton="0" quotePrefix="0" xfId="0"/>
    <xf numFmtId="0" fontId="9" fillId="0" borderId="22" applyAlignment="1" pivotButton="0" quotePrefix="0" xfId="0">
      <alignment horizontal="center"/>
    </xf>
    <xf numFmtId="37" fontId="9" fillId="0" borderId="28" pivotButton="0" quotePrefix="0" xfId="0"/>
    <xf numFmtId="37" fontId="9" fillId="0" borderId="22" pivotButton="0" quotePrefix="0" xfId="0"/>
    <xf numFmtId="167" fontId="35" fillId="0" borderId="0" pivotButton="0" quotePrefix="0" xfId="0"/>
    <xf numFmtId="39" fontId="19" fillId="0" borderId="0" pivotButton="0" quotePrefix="0" xfId="0"/>
    <xf numFmtId="37" fontId="9" fillId="0" borderId="4" applyAlignment="1" pivotButton="0" quotePrefix="0" xfId="0">
      <alignment wrapText="1"/>
    </xf>
    <xf numFmtId="37" fontId="0" fillId="0" borderId="5" pivotButton="0" quotePrefix="0" xfId="0"/>
    <xf numFmtId="37" fontId="2" fillId="0" borderId="9" applyAlignment="1" pivotButton="0" quotePrefix="0" xfId="0">
      <alignment horizontal="center"/>
    </xf>
    <xf numFmtId="184" fontId="0" fillId="0" borderId="0" pivotButton="0" quotePrefix="0" xfId="0"/>
    <xf numFmtId="165" fontId="29" fillId="0" borderId="17" pivotButton="0" quotePrefix="0" xfId="1"/>
    <xf numFmtId="165" fontId="25" fillId="0" borderId="0" applyAlignment="1" pivotButton="0" quotePrefix="0" xfId="1">
      <alignment horizontal="left" vertical="top" wrapText="1"/>
    </xf>
    <xf numFmtId="185" fontId="0" fillId="0" borderId="0" pivotButton="0" quotePrefix="0" xfId="0"/>
    <xf numFmtId="0" fontId="2" fillId="0" borderId="0" pivotButton="0" quotePrefix="0" xfId="0"/>
    <xf numFmtId="39" fontId="9" fillId="0" borderId="1" applyAlignment="1" pivotButton="0" quotePrefix="0" xfId="0">
      <alignment horizontal="center"/>
    </xf>
    <xf numFmtId="39" fontId="9" fillId="0" borderId="0" applyAlignment="1" pivotButton="0" quotePrefix="0" xfId="0">
      <alignment horizontal="right"/>
    </xf>
    <xf numFmtId="37" fontId="9" fillId="0" borderId="21" pivotButton="0" quotePrefix="0" xfId="0"/>
    <xf numFmtId="39" fontId="9" fillId="0" borderId="1" pivotButton="0" quotePrefix="0" xfId="0"/>
    <xf numFmtId="39" fontId="17" fillId="0" borderId="4" pivotButton="0" quotePrefix="0" xfId="1"/>
    <xf numFmtId="37" fontId="6" fillId="0" borderId="53" applyAlignment="1" pivotButton="0" quotePrefix="0" xfId="0">
      <alignment horizontal="right"/>
    </xf>
    <xf numFmtId="39" fontId="6" fillId="0" borderId="4" pivotButton="0" quotePrefix="0" xfId="2"/>
    <xf numFmtId="4" fontId="6" fillId="0" borderId="4" pivotButton="0" quotePrefix="0" xfId="1"/>
    <xf numFmtId="4" fontId="6" fillId="0" borderId="4" pivotButton="0" quotePrefix="0" xfId="0"/>
    <xf numFmtId="39" fontId="93" fillId="0" borderId="0" pivotButton="0" quotePrefix="0" xfId="0"/>
    <xf numFmtId="165" fontId="44" fillId="0" borderId="53" pivotButton="0" quotePrefix="0" xfId="1"/>
    <xf numFmtId="0" fontId="61" fillId="0" borderId="0" applyAlignment="1" pivotButton="0" quotePrefix="0" xfId="0">
      <alignment vertical="center" wrapText="1"/>
    </xf>
    <xf numFmtId="0" fontId="14" fillId="0" borderId="20" applyAlignment="1" pivotButton="0" quotePrefix="0" xfId="0">
      <alignment horizontal="left" indent="12"/>
    </xf>
    <xf numFmtId="0" fontId="94" fillId="0" borderId="0" pivotButton="0" quotePrefix="0" xfId="0"/>
    <xf numFmtId="37" fontId="14" fillId="0" borderId="20" pivotButton="0" quotePrefix="0" xfId="0"/>
    <xf numFmtId="0" fontId="14" fillId="0" borderId="20" applyAlignment="1" pivotButton="0" quotePrefix="0" xfId="0">
      <alignment horizontal="left" indent="1"/>
    </xf>
    <xf numFmtId="0" fontId="14" fillId="0" borderId="20" applyAlignment="1" pivotButton="0" quotePrefix="0" xfId="0">
      <alignment horizontal="left" indent="20"/>
    </xf>
    <xf numFmtId="172" fontId="14" fillId="0" borderId="20" pivotButton="0" quotePrefix="0" xfId="1"/>
    <xf numFmtId="0" fontId="14" fillId="0" borderId="20" applyAlignment="1" pivotButton="0" quotePrefix="0" xfId="0">
      <alignment horizontal="left" indent="11"/>
    </xf>
    <xf numFmtId="0" fontId="14" fillId="0" borderId="24" applyAlignment="1" pivotButton="0" quotePrefix="0" xfId="0">
      <alignment horizontal="left" indent="11"/>
    </xf>
    <xf numFmtId="43" fontId="14" fillId="0" borderId="20" applyAlignment="1" pivotButton="0" quotePrefix="0" xfId="1">
      <alignment horizontal="left" indent="2"/>
    </xf>
    <xf numFmtId="37" fontId="14" fillId="0" borderId="18" pivotButton="0" quotePrefix="0" xfId="0"/>
    <xf numFmtId="0" fontId="14" fillId="0" borderId="0" applyAlignment="1" pivotButton="0" quotePrefix="0" xfId="0">
      <alignment horizontal="center" vertical="center"/>
    </xf>
    <xf numFmtId="39" fontId="5" fillId="0" borderId="4" pivotButton="0" quotePrefix="0" xfId="0"/>
    <xf numFmtId="0" fontId="5" fillId="0" borderId="5" applyAlignment="1" pivotButton="0" quotePrefix="0" xfId="0">
      <alignment horizontal="center"/>
    </xf>
    <xf numFmtId="37" fontId="3" fillId="0" borderId="5" applyAlignment="1" pivotButton="0" quotePrefix="0" xfId="0">
      <alignment horizontal="left"/>
    </xf>
    <xf numFmtId="37" fontId="6" fillId="0" borderId="28" applyAlignment="1" pivotButton="0" quotePrefix="0" xfId="0">
      <alignment horizontal="center" vertical="center" wrapText="1"/>
    </xf>
    <xf numFmtId="165" fontId="16" fillId="0" borderId="4" applyAlignment="1" pivotButton="0" quotePrefix="0" xfId="1">
      <alignment horizontal="right"/>
    </xf>
    <xf numFmtId="0" fontId="11" fillId="0" borderId="0" applyAlignment="1" pivotButton="0" quotePrefix="0" xfId="0">
      <alignment vertical="center"/>
    </xf>
    <xf numFmtId="0" fontId="95" fillId="0" borderId="26" applyAlignment="1" pivotButton="0" quotePrefix="0" xfId="0">
      <alignment horizontal="left" vertical="center"/>
    </xf>
    <xf numFmtId="166" fontId="25" fillId="0" borderId="0" applyAlignment="1" pivotButton="0" quotePrefix="0" xfId="1">
      <alignment horizontal="left" vertical="top" wrapText="1"/>
    </xf>
    <xf numFmtId="165" fontId="25" fillId="0" borderId="21" applyAlignment="1" pivotButton="0" quotePrefix="0" xfId="1">
      <alignment horizontal="left" vertical="top" wrapText="1"/>
    </xf>
    <xf numFmtId="165" fontId="25" fillId="0" borderId="20" pivotButton="0" quotePrefix="0" xfId="1"/>
    <xf numFmtId="0" fontId="28" fillId="0" borderId="3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37" fontId="2" fillId="0" borderId="4" applyAlignment="1" pivotButton="0" quotePrefix="1" xfId="0">
      <alignment horizontal="left" indent="2"/>
    </xf>
    <xf numFmtId="166" fontId="18" fillId="0" borderId="0" pivotButton="0" quotePrefix="0" xfId="1"/>
    <xf numFmtId="43" fontId="25" fillId="0" borderId="0" pivotButton="0" quotePrefix="0" xfId="0"/>
    <xf numFmtId="166" fontId="18" fillId="0" borderId="2" pivotButton="0" quotePrefix="0" xfId="1"/>
    <xf numFmtId="166" fontId="18" fillId="0" borderId="29" pivotButton="0" quotePrefix="0" xfId="1"/>
    <xf numFmtId="166" fontId="29" fillId="0" borderId="26" pivotButton="0" quotePrefix="0" xfId="1"/>
    <xf numFmtId="166" fontId="18" fillId="0" borderId="26" pivotButton="0" quotePrefix="0" xfId="1"/>
    <xf numFmtId="166" fontId="29" fillId="0" borderId="42" pivotButton="0" quotePrefix="0" xfId="1"/>
    <xf numFmtId="39" fontId="9" fillId="0" borderId="4" applyAlignment="1" pivotButton="0" quotePrefix="0" xfId="0">
      <alignment vertical="center"/>
    </xf>
    <xf numFmtId="166" fontId="96" fillId="0" borderId="4" pivotButton="0" quotePrefix="0" xfId="1"/>
    <xf numFmtId="0" fontId="29" fillId="0" borderId="0" applyAlignment="1" pivotButton="0" quotePrefix="0" xfId="0">
      <alignment horizontal="center" vertical="center"/>
    </xf>
    <xf numFmtId="165" fontId="28" fillId="0" borderId="0" pivotButton="0" quotePrefix="0" xfId="1"/>
    <xf numFmtId="39" fontId="93" fillId="0" borderId="20" pivotButton="0" quotePrefix="0" xfId="0"/>
    <xf numFmtId="3" fontId="41" fillId="0" borderId="0" pivotButton="0" quotePrefix="0" xfId="0"/>
    <xf numFmtId="166" fontId="21" fillId="0" borderId="0" pivotButton="0" quotePrefix="0" xfId="0"/>
    <xf numFmtId="0" fontId="25" fillId="0" borderId="17" applyAlignment="1" pivotButton="0" quotePrefix="0" xfId="0">
      <alignment horizontal="center"/>
    </xf>
    <xf numFmtId="165" fontId="25" fillId="0" borderId="20" pivotButton="0" quotePrefix="0" xfId="0"/>
    <xf numFmtId="2" fontId="14" fillId="0" borderId="50" pivotButton="0" quotePrefix="0" xfId="0"/>
    <xf numFmtId="2" fontId="14" fillId="0" borderId="26" pivotButton="0" quotePrefix="0" xfId="0"/>
    <xf numFmtId="2" fontId="14" fillId="0" borderId="43" pivotButton="0" quotePrefix="0" xfId="0"/>
    <xf numFmtId="2" fontId="14" fillId="0" borderId="19" pivotButton="0" quotePrefix="0" xfId="0"/>
    <xf numFmtId="37" fontId="19" fillId="0" borderId="0" applyAlignment="1" pivotButton="0" quotePrefix="0" xfId="0">
      <alignment vertical="center" wrapText="1"/>
    </xf>
    <xf numFmtId="0" fontId="14" fillId="0" borderId="20" applyAlignment="1" pivotButton="0" quotePrefix="0" xfId="0">
      <alignment horizontal="right"/>
    </xf>
    <xf numFmtId="165" fontId="54" fillId="0" borderId="0" applyAlignment="1" pivotButton="0" quotePrefix="0" xfId="1">
      <alignment vertical="center" wrapText="1"/>
    </xf>
    <xf numFmtId="186" fontId="0" fillId="0" borderId="0" pivotButton="0" quotePrefix="0" xfId="0"/>
    <xf numFmtId="187" fontId="2" fillId="0" borderId="0" pivotButton="0" quotePrefix="0" xfId="1"/>
    <xf numFmtId="43" fontId="6" fillId="0" borderId="0" pivotButton="0" quotePrefix="0" xfId="1"/>
    <xf numFmtId="164" fontId="16" fillId="0" borderId="4" applyAlignment="1" pivotButton="0" quotePrefix="0" xfId="1">
      <alignment horizontal="right"/>
    </xf>
    <xf numFmtId="37" fontId="62" fillId="0" borderId="24" applyAlignment="1" pivotButton="0" quotePrefix="0" xfId="0">
      <alignment horizontal="left"/>
    </xf>
    <xf numFmtId="37" fontId="62" fillId="0" borderId="26" applyAlignment="1" pivotButton="0" quotePrefix="0" xfId="0">
      <alignment horizontal="left"/>
    </xf>
    <xf numFmtId="37" fontId="24" fillId="0" borderId="5" applyAlignment="1" pivotButton="0" quotePrefix="0" xfId="0">
      <alignment horizontal="right"/>
    </xf>
    <xf numFmtId="37" fontId="2" fillId="0" borderId="11" applyAlignment="1" pivotButton="0" quotePrefix="0" xfId="0">
      <alignment horizontal="right"/>
    </xf>
    <xf numFmtId="37" fontId="24" fillId="0" borderId="4" applyAlignment="1" pivotButton="0" quotePrefix="0" xfId="0">
      <alignment horizontal="right"/>
    </xf>
    <xf numFmtId="37" fontId="2" fillId="0" borderId="12" applyAlignment="1" pivotButton="0" quotePrefix="0" xfId="0">
      <alignment horizontal="right"/>
    </xf>
    <xf numFmtId="37" fontId="12" fillId="0" borderId="16" applyAlignment="1" pivotButton="0" quotePrefix="0" xfId="0">
      <alignment horizontal="right"/>
    </xf>
    <xf numFmtId="37" fontId="12" fillId="0" borderId="53" applyAlignment="1" pivotButton="0" quotePrefix="0" xfId="0">
      <alignment horizontal="right"/>
    </xf>
    <xf numFmtId="37" fontId="43" fillId="0" borderId="57" pivotButton="0" quotePrefix="0" xfId="0"/>
    <xf numFmtId="37" fontId="44" fillId="0" borderId="70" pivotButton="0" quotePrefix="0" xfId="0"/>
    <xf numFmtId="37" fontId="44" fillId="0" borderId="23" pivotButton="0" quotePrefix="0" xfId="0"/>
    <xf numFmtId="14" fontId="0" fillId="0" borderId="0" applyAlignment="1" pivotButton="0" quotePrefix="0" xfId="0">
      <alignment wrapText="1"/>
    </xf>
    <xf numFmtId="166" fontId="70" fillId="0" borderId="0" applyAlignment="1" pivotButton="0" quotePrefix="0" xfId="0">
      <alignment vertical="center" wrapText="1"/>
    </xf>
    <xf numFmtId="0" fontId="103" fillId="0" borderId="0" applyAlignment="1" pivotButton="0" quotePrefix="0" xfId="0">
      <alignment vertical="center"/>
    </xf>
    <xf numFmtId="0" fontId="33" fillId="0" borderId="17" applyAlignment="1" pivotButton="0" quotePrefix="0" xfId="0">
      <alignment vertical="center"/>
    </xf>
    <xf numFmtId="37" fontId="45" fillId="0" borderId="59" applyAlignment="1" pivotButton="0" quotePrefix="0" xfId="0">
      <alignment horizontal="center"/>
    </xf>
    <xf numFmtId="165" fontId="45" fillId="0" borderId="17" pivotButton="0" quotePrefix="0" xfId="1"/>
    <xf numFmtId="0" fontId="21" fillId="0" borderId="23" pivotButton="0" quotePrefix="0" xfId="0"/>
    <xf numFmtId="2" fontId="21" fillId="0" borderId="20" pivotButton="0" quotePrefix="0" xfId="0"/>
    <xf numFmtId="2" fontId="21" fillId="0" borderId="18" pivotButton="0" quotePrefix="0" xfId="0"/>
    <xf numFmtId="0" fontId="14" fillId="0" borderId="18" applyAlignment="1" pivotButton="0" quotePrefix="0" xfId="0">
      <alignment wrapText="1"/>
    </xf>
    <xf numFmtId="2" fontId="14" fillId="0" borderId="30" pivotButton="0" quotePrefix="0" xfId="0"/>
    <xf numFmtId="2" fontId="14" fillId="0" borderId="23" pivotButton="0" quotePrefix="0" xfId="0"/>
    <xf numFmtId="0" fontId="14" fillId="0" borderId="19" applyAlignment="1" pivotButton="0" quotePrefix="0" xfId="0">
      <alignment vertical="center"/>
    </xf>
    <xf numFmtId="0" fontId="56" fillId="0" borderId="10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37" fontId="28" fillId="0" borderId="0" applyAlignment="1" pivotButton="0" quotePrefix="0" xfId="0">
      <alignment vertical="center" wrapText="1"/>
    </xf>
    <xf numFmtId="166" fontId="9" fillId="0" borderId="4" pivotButton="0" quotePrefix="0" xfId="1"/>
    <xf numFmtId="37" fontId="30" fillId="0" borderId="0" applyAlignment="1" pivotButton="0" quotePrefix="0" xfId="0">
      <alignment vertical="center" wrapText="1"/>
    </xf>
    <xf numFmtId="166" fontId="0" fillId="0" borderId="0" pivotButton="0" quotePrefix="0" xfId="1"/>
    <xf numFmtId="0" fontId="9" fillId="0" borderId="31" applyAlignment="1" pivotButton="0" quotePrefix="0" xfId="0">
      <alignment vertical="center"/>
    </xf>
    <xf numFmtId="0" fontId="9" fillId="0" borderId="32" applyAlignment="1" pivotButton="0" quotePrefix="0" xfId="0">
      <alignment horizontal="center" vertical="center"/>
    </xf>
    <xf numFmtId="14" fontId="9" fillId="0" borderId="31" pivotButton="0" quotePrefix="0" xfId="0"/>
    <xf numFmtId="166" fontId="9" fillId="0" borderId="32" pivotButton="0" quotePrefix="0" xfId="1"/>
    <xf numFmtId="0" fontId="19" fillId="0" borderId="31" pivotButton="0" quotePrefix="0" xfId="0"/>
    <xf numFmtId="166" fontId="19" fillId="0" borderId="32" pivotButton="0" quotePrefix="0" xfId="1"/>
    <xf numFmtId="0" fontId="0" fillId="0" borderId="31" pivotButton="0" quotePrefix="0" xfId="0"/>
    <xf numFmtId="166" fontId="0" fillId="0" borderId="32" pivotButton="0" quotePrefix="0" xfId="1"/>
    <xf numFmtId="166" fontId="9" fillId="0" borderId="16" pivotButton="0" quotePrefix="0" xfId="1"/>
    <xf numFmtId="166" fontId="9" fillId="0" borderId="53" pivotButton="0" quotePrefix="0" xfId="1"/>
    <xf numFmtId="165" fontId="25" fillId="0" borderId="0" applyAlignment="1" pivotButton="0" quotePrefix="0" xfId="1">
      <alignment horizontal="right"/>
    </xf>
    <xf numFmtId="166" fontId="70" fillId="0" borderId="0" applyAlignment="1" pivotButton="0" quotePrefix="0" xfId="0">
      <alignment wrapText="1"/>
    </xf>
    <xf numFmtId="4" fontId="23" fillId="0" borderId="0" pivotButton="0" quotePrefix="0" xfId="0"/>
    <xf numFmtId="37" fontId="10" fillId="0" borderId="4" pivotButton="0" quotePrefix="0" xfId="0"/>
    <xf numFmtId="0" fontId="56" fillId="0" borderId="24" applyAlignment="1" pivotButton="0" quotePrefix="0" xfId="0">
      <alignment vertical="center"/>
    </xf>
    <xf numFmtId="37" fontId="9" fillId="0" borderId="5" pivotButton="0" quotePrefix="0" xfId="0"/>
    <xf numFmtId="37" fontId="0" fillId="0" borderId="6" pivotButton="0" quotePrefix="0" xfId="0"/>
    <xf numFmtId="37" fontId="9" fillId="0" borderId="6" pivotButton="0" quotePrefix="0" xfId="0"/>
    <xf numFmtId="39" fontId="9" fillId="0" borderId="5" pivotButton="0" quotePrefix="0" xfId="0"/>
    <xf numFmtId="37" fontId="9" fillId="0" borderId="0" applyAlignment="1" pivotButton="0" quotePrefix="0" xfId="0">
      <alignment horizontal="center"/>
    </xf>
    <xf numFmtId="37" fontId="9" fillId="0" borderId="24" pivotButton="0" quotePrefix="0" xfId="0"/>
    <xf numFmtId="37" fontId="9" fillId="0" borderId="26" applyAlignment="1" pivotButton="0" quotePrefix="0" xfId="0">
      <alignment horizontal="center"/>
    </xf>
    <xf numFmtId="165" fontId="25" fillId="0" borderId="15" pivotButton="0" quotePrefix="0" xfId="0"/>
    <xf numFmtId="37" fontId="0" fillId="0" borderId="9" pivotButton="0" quotePrefix="0" xfId="0"/>
    <xf numFmtId="164" fontId="2" fillId="36" borderId="4" applyAlignment="1" pivotButton="0" quotePrefix="0" xfId="1">
      <alignment horizontal="right"/>
    </xf>
    <xf numFmtId="37" fontId="15" fillId="0" borderId="24" applyAlignment="1" pivotButton="0" quotePrefix="0" xfId="0">
      <alignment horizontal="left"/>
    </xf>
    <xf numFmtId="37" fontId="9" fillId="0" borderId="14" pivotButton="0" quotePrefix="0" xfId="0"/>
    <xf numFmtId="166" fontId="108" fillId="3" borderId="4" pivotButton="0" quotePrefix="0" xfId="1"/>
    <xf numFmtId="166" fontId="108" fillId="0" borderId="4" pivotButton="0" quotePrefix="0" xfId="1"/>
    <xf numFmtId="2" fontId="29" fillId="0" borderId="0" pivotButton="0" quotePrefix="0" xfId="0"/>
    <xf numFmtId="0" fontId="29" fillId="0" borderId="24" applyAlignment="1" pivotButton="0" quotePrefix="0" xfId="0">
      <alignment horizontal="right"/>
    </xf>
    <xf numFmtId="166" fontId="1" fillId="0" borderId="4" applyAlignment="1" pivotButton="0" quotePrefix="0" xfId="1">
      <alignment horizontal="center" vertical="center"/>
    </xf>
    <xf numFmtId="166" fontId="45" fillId="0" borderId="21" applyAlignment="1" pivotButton="0" quotePrefix="0" xfId="1">
      <alignment vertical="center" wrapText="1"/>
    </xf>
    <xf numFmtId="37" fontId="6" fillId="0" borderId="9" pivotButton="0" quotePrefix="0" xfId="0"/>
    <xf numFmtId="165" fontId="25" fillId="0" borderId="0" applyAlignment="1" pivotButton="0" quotePrefix="0" xfId="1">
      <alignment horizontal="left" vertical="top" wrapText="1"/>
    </xf>
    <xf numFmtId="0" fontId="30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37" fontId="25" fillId="0" borderId="0" pivotButton="0" quotePrefix="0" xfId="0"/>
    <xf numFmtId="37" fontId="18" fillId="2" borderId="4" pivotButton="0" quotePrefix="0" xfId="0"/>
    <xf numFmtId="188" fontId="92" fillId="0" borderId="0" applyAlignment="1" pivotButton="0" quotePrefix="0" xfId="0">
      <alignment vertical="top" wrapText="1" readingOrder="1"/>
    </xf>
    <xf numFmtId="166" fontId="96" fillId="2" borderId="4" pivotButton="0" quotePrefix="0" xfId="1"/>
    <xf numFmtId="0" fontId="18" fillId="0" borderId="4" pivotButton="0" quotePrefix="0" xfId="0"/>
    <xf numFmtId="165" fontId="45" fillId="0" borderId="27" pivotButton="0" quotePrefix="0" xfId="1"/>
    <xf numFmtId="189" fontId="64" fillId="0" borderId="86" applyAlignment="1" pivotButton="0" quotePrefix="0" xfId="0">
      <alignment horizontal="right" vertical="center"/>
    </xf>
    <xf numFmtId="189" fontId="104" fillId="0" borderId="19" applyAlignment="1" pivotButton="0" quotePrefix="0" xfId="0">
      <alignment horizontal="right" vertical="center"/>
    </xf>
    <xf numFmtId="189" fontId="64" fillId="0" borderId="17" applyAlignment="1" pivotButton="0" quotePrefix="0" xfId="0">
      <alignment horizontal="right" vertical="center"/>
    </xf>
    <xf numFmtId="37" fontId="2" fillId="0" borderId="9" pivotButton="0" quotePrefix="0" xfId="0"/>
    <xf numFmtId="0" fontId="110" fillId="0" borderId="20" pivotButton="0" quotePrefix="0" xfId="0"/>
    <xf numFmtId="166" fontId="45" fillId="0" borderId="0" applyAlignment="1" pivotButton="0" quotePrefix="0" xfId="1">
      <alignment vertical="center" wrapText="1"/>
    </xf>
    <xf numFmtId="0" fontId="14" fillId="2" borderId="20" applyAlignment="1" pivotButton="0" quotePrefix="0" xfId="0">
      <alignment horizontal="center"/>
    </xf>
    <xf numFmtId="39" fontId="3" fillId="0" borderId="1" applyAlignment="1" pivotButton="0" quotePrefix="0" xfId="0">
      <alignment horizontal="left"/>
    </xf>
    <xf numFmtId="166" fontId="1" fillId="0" borderId="4" pivotButton="0" quotePrefix="0" xfId="1"/>
    <xf numFmtId="0" fontId="99" fillId="0" borderId="0" applyAlignment="1" pivotButton="0" quotePrefix="0" xfId="0">
      <alignment vertical="center"/>
    </xf>
    <xf numFmtId="165" fontId="97" fillId="0" borderId="0" applyAlignment="1" pivotButton="0" quotePrefix="0" xfId="1">
      <alignment vertical="center" wrapText="1"/>
    </xf>
    <xf numFmtId="4" fontId="55" fillId="0" borderId="66" applyAlignment="1" pivotButton="0" quotePrefix="0" xfId="0">
      <alignment horizontal="right" vertical="top" wrapText="1"/>
    </xf>
    <xf numFmtId="0" fontId="55" fillId="0" borderId="66" applyAlignment="1" pivotButton="0" quotePrefix="0" xfId="0">
      <alignment horizontal="right" vertical="top" wrapText="1"/>
    </xf>
    <xf numFmtId="166" fontId="25" fillId="0" borderId="47" pivotButton="0" quotePrefix="0" xfId="1"/>
    <xf numFmtId="166" fontId="25" fillId="0" borderId="0" pivotButton="0" quotePrefix="0" xfId="1"/>
    <xf numFmtId="37" fontId="31" fillId="0" borderId="0" pivotButton="0" quotePrefix="0" xfId="0"/>
    <xf numFmtId="0" fontId="66" fillId="0" borderId="0" applyAlignment="1" pivotButton="0" quotePrefix="0" xfId="0">
      <alignment vertical="center" wrapText="1"/>
    </xf>
    <xf numFmtId="43" fontId="14" fillId="0" borderId="0" applyAlignment="1" pivotButton="0" quotePrefix="0" xfId="1">
      <alignment vertical="center" wrapText="1"/>
    </xf>
    <xf numFmtId="0" fontId="100" fillId="0" borderId="0" applyAlignment="1" pivotButton="0" quotePrefix="0" xfId="0">
      <alignment vertical="center" wrapText="1"/>
    </xf>
    <xf numFmtId="166" fontId="21" fillId="0" borderId="17" pivotButton="0" quotePrefix="0" xfId="0"/>
    <xf numFmtId="190" fontId="0" fillId="0" borderId="0" pivotButton="0" quotePrefix="0" xfId="0"/>
    <xf numFmtId="43" fontId="112" fillId="0" borderId="0" applyAlignment="1" pivotButton="0" quotePrefix="0" xfId="1">
      <alignment vertical="center" wrapText="1"/>
    </xf>
    <xf numFmtId="0" fontId="114" fillId="0" borderId="20" pivotButton="0" quotePrefix="0" xfId="0"/>
    <xf numFmtId="43" fontId="114" fillId="0" borderId="0" pivotButton="0" quotePrefix="0" xfId="1"/>
    <xf numFmtId="43" fontId="114" fillId="0" borderId="20" pivotButton="0" quotePrefix="0" xfId="1"/>
    <xf numFmtId="164" fontId="14" fillId="0" borderId="0" pivotButton="0" quotePrefix="0" xfId="1"/>
    <xf numFmtId="43" fontId="21" fillId="0" borderId="0" applyAlignment="1" pivotButton="0" quotePrefix="0" xfId="1">
      <alignment vertical="center" wrapText="1"/>
    </xf>
    <xf numFmtId="0" fontId="14" fillId="0" borderId="20" applyAlignment="1" pivotButton="0" quotePrefix="0" xfId="0">
      <alignment horizontal="left" indent="15"/>
    </xf>
    <xf numFmtId="39" fontId="6" fillId="0" borderId="4" pivotButton="0" quotePrefix="0" xfId="1"/>
    <xf numFmtId="191" fontId="0" fillId="0" borderId="0" pivotButton="0" quotePrefix="0" xfId="0"/>
    <xf numFmtId="164" fontId="31" fillId="0" borderId="0" pivotButton="0" quotePrefix="0" xfId="1"/>
    <xf numFmtId="37" fontId="30" fillId="0" borderId="4" applyAlignment="1" pivotButton="0" quotePrefix="0" xfId="0">
      <alignment wrapText="1"/>
    </xf>
    <xf numFmtId="165" fontId="18" fillId="2" borderId="4" pivotButton="0" quotePrefix="0" xfId="1"/>
    <xf numFmtId="169" fontId="2" fillId="0" borderId="0" pivotButton="0" quotePrefix="0" xfId="0"/>
    <xf numFmtId="2" fontId="9" fillId="0" borderId="32" applyAlignment="1" pivotButton="0" quotePrefix="0" xfId="0">
      <alignment horizontal="center" vertical="center"/>
    </xf>
    <xf numFmtId="165" fontId="113" fillId="0" borderId="0" applyAlignment="1" pivotButton="0" quotePrefix="0" xfId="1">
      <alignment vertical="center" wrapText="1"/>
    </xf>
    <xf numFmtId="37" fontId="6" fillId="0" borderId="32" applyAlignment="1" pivotButton="0" quotePrefix="0" xfId="0">
      <alignment horizontal="right"/>
    </xf>
    <xf numFmtId="3" fontId="47" fillId="0" borderId="37" applyAlignment="1" pivotButton="0" quotePrefix="0" xfId="1">
      <alignment vertical="center"/>
    </xf>
    <xf numFmtId="0" fontId="14" fillId="0" borderId="23" applyAlignment="1" pivotButton="0" quotePrefix="0" xfId="0">
      <alignment vertical="center"/>
    </xf>
    <xf numFmtId="0" fontId="14" fillId="0" borderId="0" applyAlignment="1" pivotButton="0" quotePrefix="0" xfId="0">
      <alignment horizontal="left"/>
    </xf>
    <xf numFmtId="37" fontId="116" fillId="0" borderId="0" pivotButton="0" quotePrefix="0" xfId="0"/>
    <xf numFmtId="37" fontId="118" fillId="0" borderId="0" applyAlignment="1" pivotButton="0" quotePrefix="0" xfId="0">
      <alignment vertical="center"/>
    </xf>
    <xf numFmtId="37" fontId="117" fillId="0" borderId="0" pivotButton="0" quotePrefix="0" xfId="0"/>
    <xf numFmtId="37" fontId="9" fillId="0" borderId="4" applyAlignment="1" pivotButton="0" quotePrefix="0" xfId="0">
      <alignment horizontal="center" vertical="center" wrapText="1"/>
    </xf>
    <xf numFmtId="37" fontId="119" fillId="0" borderId="2" pivotButton="0" quotePrefix="0" xfId="0"/>
    <xf numFmtId="37" fontId="120" fillId="0" borderId="0" pivotButton="0" quotePrefix="0" xfId="0"/>
    <xf numFmtId="39" fontId="120" fillId="0" borderId="4" pivotButton="0" quotePrefix="0" xfId="0"/>
    <xf numFmtId="37" fontId="120" fillId="0" borderId="1" applyAlignment="1" pivotButton="0" quotePrefix="0" xfId="0">
      <alignment horizontal="left"/>
    </xf>
    <xf numFmtId="39" fontId="121" fillId="0" borderId="4" pivotButton="0" quotePrefix="0" xfId="0"/>
    <xf numFmtId="39" fontId="119" fillId="0" borderId="4" pivotButton="0" quotePrefix="0" xfId="0"/>
    <xf numFmtId="39" fontId="119" fillId="0" borderId="4" pivotButton="0" quotePrefix="0" xfId="1"/>
    <xf numFmtId="37" fontId="119" fillId="0" borderId="0" applyAlignment="1" pivotButton="0" quotePrefix="0" xfId="0">
      <alignment horizontal="right"/>
    </xf>
    <xf numFmtId="39" fontId="119" fillId="0" borderId="0" pivotButton="0" quotePrefix="0" xfId="1"/>
    <xf numFmtId="37" fontId="119" fillId="0" borderId="0" pivotButton="0" quotePrefix="0" xfId="0"/>
    <xf numFmtId="165" fontId="119" fillId="0" borderId="4" pivotButton="0" quotePrefix="0" xfId="1"/>
    <xf numFmtId="165" fontId="120" fillId="0" borderId="4" pivotButton="0" quotePrefix="0" xfId="1"/>
    <xf numFmtId="37" fontId="122" fillId="0" borderId="0" pivotButton="0" quotePrefix="0" xfId="0"/>
    <xf numFmtId="0" fontId="9" fillId="0" borderId="1" pivotButton="0" quotePrefix="0" xfId="0"/>
    <xf numFmtId="0" fontId="106" fillId="0" borderId="0" applyAlignment="1" pivotButton="0" quotePrefix="0" xfId="0">
      <alignment vertical="center"/>
    </xf>
    <xf numFmtId="39" fontId="9" fillId="0" borderId="42" pivotButton="0" quotePrefix="0" xfId="1"/>
    <xf numFmtId="1" fontId="120" fillId="0" borderId="4" applyAlignment="1" pivotButton="0" quotePrefix="1" xfId="0">
      <alignment horizontal="center"/>
    </xf>
    <xf numFmtId="37" fontId="120" fillId="0" borderId="4" applyAlignment="1" pivotButton="0" quotePrefix="0" xfId="0">
      <alignment horizontal="left"/>
    </xf>
    <xf numFmtId="164" fontId="120" fillId="0" borderId="4" applyAlignment="1" pivotButton="0" quotePrefix="1" xfId="1">
      <alignment horizontal="center"/>
    </xf>
    <xf numFmtId="164" fontId="120" fillId="0" borderId="4" applyAlignment="1" pivotButton="0" quotePrefix="0" xfId="1">
      <alignment horizontal="right"/>
    </xf>
    <xf numFmtId="43" fontId="120" fillId="0" borderId="4" applyAlignment="1" pivotButton="0" quotePrefix="1" xfId="1">
      <alignment horizontal="center"/>
    </xf>
    <xf numFmtId="49" fontId="120" fillId="0" borderId="4" applyAlignment="1" pivotButton="0" quotePrefix="1" xfId="1">
      <alignment horizontal="center"/>
    </xf>
    <xf numFmtId="37" fontId="120" fillId="0" borderId="9" applyAlignment="1" pivotButton="0" quotePrefix="0" xfId="0">
      <alignment horizontal="left"/>
    </xf>
    <xf numFmtId="37" fontId="120" fillId="0" borderId="13" applyAlignment="1" pivotButton="0" quotePrefix="0" xfId="0">
      <alignment horizontal="left"/>
    </xf>
    <xf numFmtId="164" fontId="120" fillId="0" borderId="9" applyAlignment="1" pivotButton="0" quotePrefix="0" xfId="1">
      <alignment horizontal="right"/>
    </xf>
    <xf numFmtId="37" fontId="119" fillId="0" borderId="7" pivotButton="0" quotePrefix="0" xfId="0"/>
    <xf numFmtId="37" fontId="119" fillId="0" borderId="8" applyAlignment="1" pivotButton="0" quotePrefix="0" xfId="0">
      <alignment horizontal="right"/>
    </xf>
    <xf numFmtId="164" fontId="119" fillId="0" borderId="7" applyAlignment="1" pivotButton="0" quotePrefix="0" xfId="1">
      <alignment horizontal="right"/>
    </xf>
    <xf numFmtId="37" fontId="119" fillId="0" borderId="5" applyAlignment="1" pivotButton="0" quotePrefix="0" xfId="0">
      <alignment horizontal="center"/>
    </xf>
    <xf numFmtId="37" fontId="120" fillId="0" borderId="2" applyAlignment="1" pivotButton="0" quotePrefix="0" xfId="0">
      <alignment horizontal="right"/>
    </xf>
    <xf numFmtId="164" fontId="120" fillId="0" borderId="6" applyAlignment="1" pivotButton="0" quotePrefix="0" xfId="1">
      <alignment horizontal="right"/>
    </xf>
    <xf numFmtId="37" fontId="120" fillId="0" borderId="5" pivotButton="0" quotePrefix="0" xfId="0"/>
    <xf numFmtId="164" fontId="119" fillId="0" borderId="4" applyAlignment="1" pivotButton="0" quotePrefix="0" xfId="1">
      <alignment horizontal="right"/>
    </xf>
    <xf numFmtId="165" fontId="115" fillId="0" borderId="0" applyAlignment="1" pivotButton="0" quotePrefix="0" xfId="1">
      <alignment vertical="center" wrapText="1"/>
    </xf>
    <xf numFmtId="165" fontId="28" fillId="0" borderId="0" applyAlignment="1" pivotButton="0" quotePrefix="0" xfId="1">
      <alignment vertical="center" wrapText="1"/>
    </xf>
    <xf numFmtId="166" fontId="18" fillId="0" borderId="4" pivotButton="0" quotePrefix="0" xfId="0"/>
    <xf numFmtId="3" fontId="18" fillId="0" borderId="4" pivotButton="0" quotePrefix="0" xfId="0"/>
    <xf numFmtId="4" fontId="18" fillId="0" borderId="4" pivotButton="0" quotePrefix="0" xfId="0"/>
    <xf numFmtId="0" fontId="9" fillId="0" borderId="5" applyAlignment="1" pivotButton="0" quotePrefix="0" xfId="0">
      <alignment vertical="center"/>
    </xf>
    <xf numFmtId="3" fontId="29" fillId="0" borderId="5" pivotButton="0" quotePrefix="0" xfId="0"/>
    <xf numFmtId="166" fontId="29" fillId="0" borderId="5" pivotButton="0" quotePrefix="0" xfId="0"/>
    <xf numFmtId="0" fontId="29" fillId="0" borderId="5" pivotButton="0" quotePrefix="0" xfId="0"/>
    <xf numFmtId="0" fontId="9" fillId="0" borderId="5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14" fontId="9" fillId="0" borderId="9" pivotButton="0" quotePrefix="0" xfId="0"/>
    <xf numFmtId="0" fontId="9" fillId="0" borderId="9" pivotButton="0" quotePrefix="0" xfId="0"/>
    <xf numFmtId="0" fontId="9" fillId="0" borderId="9" applyAlignment="1" pivotButton="0" quotePrefix="0" xfId="0">
      <alignment vertical="center"/>
    </xf>
    <xf numFmtId="166" fontId="9" fillId="0" borderId="9" pivotButton="0" quotePrefix="0" xfId="1"/>
    <xf numFmtId="165" fontId="18" fillId="0" borderId="33" pivotButton="0" quotePrefix="0" xfId="1"/>
    <xf numFmtId="49" fontId="42" fillId="0" borderId="31" pivotButton="0" quotePrefix="0" xfId="11"/>
    <xf numFmtId="165" fontId="113" fillId="0" borderId="40" applyAlignment="1" pivotButton="0" quotePrefix="0" xfId="1">
      <alignment vertical="center" wrapText="1"/>
    </xf>
    <xf numFmtId="166" fontId="9" fillId="0" borderId="87" pivotButton="0" quotePrefix="0" xfId="1"/>
    <xf numFmtId="14" fontId="0" fillId="0" borderId="24" pivotButton="0" quotePrefix="0" xfId="0"/>
    <xf numFmtId="0" fontId="18" fillId="0" borderId="4" applyAlignment="1" pivotButton="0" quotePrefix="0" xfId="0">
      <alignment horizontal="right" vertical="center"/>
    </xf>
    <xf numFmtId="0" fontId="124" fillId="0" borderId="0" applyAlignment="1" pivotButton="0" quotePrefix="0" xfId="0">
      <alignment vertical="center"/>
    </xf>
    <xf numFmtId="39" fontId="6" fillId="0" borderId="0" applyAlignment="1" pivotButton="0" quotePrefix="0" xfId="0">
      <alignment horizontal="right" wrapText="1"/>
    </xf>
    <xf numFmtId="165" fontId="2" fillId="2" borderId="4" applyAlignment="1" pivotButton="0" quotePrefix="0" xfId="1">
      <alignment horizontal="right" vertical="center" wrapText="1"/>
    </xf>
    <xf numFmtId="0" fontId="14" fillId="0" borderId="19" applyAlignment="1" pivotButton="0" quotePrefix="0" xfId="0">
      <alignment horizontal="center"/>
    </xf>
    <xf numFmtId="0" fontId="14" fillId="0" borderId="18" applyAlignment="1" pivotButton="0" quotePrefix="0" xfId="0">
      <alignment horizontal="center"/>
    </xf>
    <xf numFmtId="0" fontId="94" fillId="0" borderId="0" applyAlignment="1" pivotButton="0" quotePrefix="0" xfId="0">
      <alignment wrapText="1"/>
    </xf>
    <xf numFmtId="0" fontId="107" fillId="0" borderId="4" applyAlignment="1" pivotButton="0" quotePrefix="0" xfId="0">
      <alignment vertical="center"/>
    </xf>
    <xf numFmtId="192" fontId="107" fillId="0" borderId="4" applyAlignment="1" pivotButton="0" quotePrefix="0" xfId="0">
      <alignment vertical="center"/>
    </xf>
    <xf numFmtId="189" fontId="107" fillId="0" borderId="4" applyAlignment="1" pivotButton="0" quotePrefix="0" xfId="0">
      <alignment horizontal="right" vertical="center"/>
    </xf>
    <xf numFmtId="0" fontId="106" fillId="0" borderId="4" applyAlignment="1" pivotButton="0" quotePrefix="0" xfId="0">
      <alignment vertical="center"/>
    </xf>
    <xf numFmtId="192" fontId="106" fillId="0" borderId="4" applyAlignment="1" pivotButton="0" quotePrefix="0" xfId="0">
      <alignment vertical="center"/>
    </xf>
    <xf numFmtId="164" fontId="31" fillId="0" borderId="0" pivotButton="0" quotePrefix="0" xfId="1"/>
    <xf numFmtId="165" fontId="18" fillId="0" borderId="5" pivotButton="0" quotePrefix="0" xfId="1"/>
    <xf numFmtId="165" fontId="29" fillId="0" borderId="32" pivotButton="0" quotePrefix="0" xfId="1"/>
    <xf numFmtId="165" fontId="18" fillId="0" borderId="16" pivotButton="0" quotePrefix="0" xfId="1"/>
    <xf numFmtId="165" fontId="29" fillId="0" borderId="53" pivotButton="0" quotePrefix="0" xfId="1"/>
    <xf numFmtId="43" fontId="55" fillId="0" borderId="0" pivotButton="0" quotePrefix="0" xfId="0"/>
    <xf numFmtId="3" fontId="48" fillId="2" borderId="45" applyAlignment="1" pivotButton="0" quotePrefix="0" xfId="1">
      <alignment vertical="center"/>
    </xf>
    <xf numFmtId="37" fontId="2" fillId="0" borderId="4" applyAlignment="1" pivotButton="0" quotePrefix="0" xfId="0">
      <alignment vertical="center"/>
    </xf>
    <xf numFmtId="37" fontId="63" fillId="2" borderId="4" pivotButton="0" quotePrefix="0" xfId="0"/>
    <xf numFmtId="165" fontId="53" fillId="0" borderId="4" applyAlignment="1" pivotButton="0" quotePrefix="0" xfId="1">
      <alignment vertical="center"/>
    </xf>
    <xf numFmtId="37" fontId="45" fillId="0" borderId="44" pivotButton="0" quotePrefix="0" xfId="1"/>
    <xf numFmtId="37" fontId="45" fillId="0" borderId="32" pivotButton="0" quotePrefix="0" xfId="1"/>
    <xf numFmtId="37" fontId="2" fillId="0" borderId="16" pivotButton="0" quotePrefix="0" xfId="0"/>
    <xf numFmtId="37" fontId="45" fillId="0" borderId="53" pivotButton="0" quotePrefix="0" xfId="1"/>
    <xf numFmtId="37" fontId="45" fillId="0" borderId="61" pivotButton="0" quotePrefix="0" xfId="1"/>
    <xf numFmtId="37" fontId="45" fillId="0" borderId="0" pivotButton="0" quotePrefix="0" xfId="1"/>
    <xf numFmtId="1" fontId="18" fillId="0" borderId="0" pivotButton="0" quotePrefix="0" xfId="0"/>
    <xf numFmtId="0" fontId="65" fillId="0" borderId="31" applyAlignment="1" pivotButton="0" quotePrefix="0" xfId="11">
      <alignment horizontal="left" vertical="center"/>
    </xf>
    <xf numFmtId="0" fontId="65" fillId="0" borderId="32" applyAlignment="1" pivotButton="0" quotePrefix="0" xfId="11">
      <alignment horizontal="right" vertical="center"/>
    </xf>
    <xf numFmtId="189" fontId="107" fillId="0" borderId="32" applyAlignment="1" pivotButton="0" quotePrefix="0" xfId="0">
      <alignment horizontal="right" vertical="center"/>
    </xf>
    <xf numFmtId="193" fontId="18" fillId="2" borderId="4" pivotButton="0" quotePrefix="0" xfId="0"/>
    <xf numFmtId="165" fontId="25" fillId="2" borderId="0" pivotButton="0" quotePrefix="0" xfId="1"/>
    <xf numFmtId="43" fontId="127" fillId="0" borderId="0" applyAlignment="1" pivotButton="0" quotePrefix="0" xfId="1">
      <alignment vertical="center" wrapText="1"/>
    </xf>
    <xf numFmtId="183" fontId="18" fillId="2" borderId="4" pivotButton="0" quotePrefix="0" xfId="0"/>
    <xf numFmtId="0" fontId="109" fillId="0" borderId="0" applyAlignment="1" pivotButton="0" quotePrefix="0" xfId="0">
      <alignment vertical="center" wrapText="1"/>
    </xf>
    <xf numFmtId="2" fontId="14" fillId="0" borderId="20" applyAlignment="1" pivotButton="0" quotePrefix="0" xfId="0">
      <alignment horizontal="center"/>
    </xf>
    <xf numFmtId="2" fontId="14" fillId="0" borderId="26" applyAlignment="1" pivotButton="0" quotePrefix="0" xfId="0">
      <alignment horizontal="center"/>
    </xf>
    <xf numFmtId="43" fontId="2" fillId="0" borderId="9" applyAlignment="1" pivotButton="0" quotePrefix="0" xfId="1">
      <alignment horizontal="right"/>
    </xf>
    <xf numFmtId="43" fontId="6" fillId="0" borderId="7" applyAlignment="1" pivotButton="0" quotePrefix="0" xfId="1">
      <alignment horizontal="right"/>
    </xf>
    <xf numFmtId="43" fontId="63" fillId="0" borderId="4" applyAlignment="1" pivotButton="0" quotePrefix="0" xfId="1">
      <alignment horizontal="right"/>
    </xf>
    <xf numFmtId="39" fontId="93" fillId="0" borderId="0" pivotButton="0" quotePrefix="0" xfId="83"/>
    <xf numFmtId="37" fontId="63" fillId="2" borderId="9" pivotButton="0" quotePrefix="0" xfId="0"/>
    <xf numFmtId="191" fontId="113" fillId="0" borderId="0" applyAlignment="1" pivotButton="0" quotePrefix="0" xfId="0">
      <alignment vertical="center" wrapText="1"/>
    </xf>
    <xf numFmtId="0" fontId="113" fillId="0" borderId="0" applyAlignment="1" pivotButton="0" quotePrefix="0" xfId="0">
      <alignment vertical="center" wrapText="1"/>
    </xf>
    <xf numFmtId="37" fontId="5" fillId="0" borderId="76" applyAlignment="1" pivotButton="0" quotePrefix="0" xfId="0">
      <alignment horizontal="center" vertical="center"/>
    </xf>
    <xf numFmtId="37" fontId="5" fillId="0" borderId="67" applyAlignment="1" pivotButton="0" quotePrefix="0" xfId="0">
      <alignment horizontal="center" vertical="center"/>
    </xf>
    <xf numFmtId="37" fontId="8" fillId="0" borderId="67" applyAlignment="1" pivotButton="0" quotePrefix="0" xfId="0">
      <alignment horizontal="center" vertical="center" wrapText="1"/>
    </xf>
    <xf numFmtId="194" fontId="18" fillId="0" borderId="0" pivotButton="0" quotePrefix="0" xfId="1"/>
    <xf numFmtId="37" fontId="125" fillId="0" borderId="0" applyAlignment="1" pivotButton="0" quotePrefix="0" xfId="0">
      <alignment vertical="center" wrapText="1"/>
    </xf>
    <xf numFmtId="165" fontId="18" fillId="0" borderId="0" applyAlignment="1" pivotButton="0" quotePrefix="0" xfId="0">
      <alignment horizontal="left" indent="2"/>
    </xf>
    <xf numFmtId="2" fontId="38" fillId="0" borderId="0" applyAlignment="1" pivotButton="0" quotePrefix="0" xfId="1">
      <alignment vertical="center" wrapText="1"/>
    </xf>
    <xf numFmtId="2" fontId="115" fillId="0" borderId="0" applyAlignment="1" pivotButton="0" quotePrefix="0" xfId="1">
      <alignment vertical="center" wrapText="1"/>
    </xf>
    <xf numFmtId="2" fontId="14" fillId="0" borderId="18" applyAlignment="1" pivotButton="0" quotePrefix="0" xfId="0">
      <alignment horizontal="center"/>
    </xf>
    <xf numFmtId="166" fontId="2" fillId="0" borderId="6" applyAlignment="1" pivotButton="0" quotePrefix="0" xfId="1">
      <alignment horizontal="right"/>
    </xf>
    <xf numFmtId="165" fontId="29" fillId="0" borderId="26" pivotButton="0" quotePrefix="0" xfId="0"/>
    <xf numFmtId="49" fontId="129" fillId="0" borderId="31" pivotButton="0" quotePrefix="0" xfId="11"/>
    <xf numFmtId="0" fontId="18" fillId="0" borderId="4" applyAlignment="1" pivotButton="0" quotePrefix="0" xfId="0">
      <alignment horizontal="center" vertical="center"/>
    </xf>
    <xf numFmtId="2" fontId="18" fillId="0" borderId="32" applyAlignment="1" pivotButton="0" quotePrefix="0" xfId="0">
      <alignment horizontal="center" vertical="center"/>
    </xf>
    <xf numFmtId="2" fontId="18" fillId="0" borderId="4" pivotButton="0" quotePrefix="0" xfId="0"/>
    <xf numFmtId="166" fontId="29" fillId="0" borderId="17" pivotButton="0" quotePrefix="0" xfId="1"/>
    <xf numFmtId="39" fontId="54" fillId="0" borderId="0" pivotButton="0" quotePrefix="0" xfId="1"/>
    <xf numFmtId="37" fontId="93" fillId="0" borderId="4" pivotButton="0" quotePrefix="0" xfId="0"/>
    <xf numFmtId="39" fontId="93" fillId="0" borderId="4" pivotButton="0" quotePrefix="0" xfId="0"/>
    <xf numFmtId="166" fontId="2" fillId="0" borderId="4" applyAlignment="1" pivotButton="0" quotePrefix="1" xfId="1">
      <alignment horizontal="center"/>
    </xf>
    <xf numFmtId="166" fontId="120" fillId="0" borderId="4" applyAlignment="1" pivotButton="0" quotePrefix="1" xfId="1">
      <alignment horizontal="center"/>
    </xf>
    <xf numFmtId="166" fontId="18" fillId="0" borderId="4" pivotButton="0" quotePrefix="0" xfId="1"/>
    <xf numFmtId="166" fontId="0" fillId="0" borderId="0" pivotButton="0" quotePrefix="0" xfId="1"/>
    <xf numFmtId="165" fontId="25" fillId="0" borderId="4" pivotButton="0" quotePrefix="0" xfId="0"/>
    <xf numFmtId="37" fontId="63" fillId="0" borderId="3" applyAlignment="1" pivotButton="0" quotePrefix="0" xfId="0">
      <alignment wrapText="1"/>
    </xf>
    <xf numFmtId="37" fontId="63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top"/>
    </xf>
    <xf numFmtId="37" fontId="63" fillId="0" borderId="0" pivotButton="0" quotePrefix="0" xfId="0"/>
    <xf numFmtId="39" fontId="31" fillId="0" borderId="3" pivotButton="0" quotePrefix="0" xfId="1"/>
    <xf numFmtId="37" fontId="130" fillId="0" borderId="0" pivotButton="0" quotePrefix="0" xfId="0"/>
    <xf numFmtId="0" fontId="68" fillId="0" borderId="0" applyAlignment="1" pivotButton="0" quotePrefix="0" xfId="0">
      <alignment horizontal="right" vertical="top" wrapText="1"/>
    </xf>
    <xf numFmtId="4" fontId="68" fillId="0" borderId="0" applyAlignment="1" pivotButton="0" quotePrefix="0" xfId="0">
      <alignment horizontal="right" vertical="top" wrapText="1"/>
    </xf>
    <xf numFmtId="195" fontId="68" fillId="0" borderId="0" applyAlignment="1" pivotButton="0" quotePrefix="0" xfId="0">
      <alignment horizontal="right" vertical="top" wrapText="1"/>
    </xf>
    <xf numFmtId="43" fontId="14" fillId="0" borderId="50" pivotButton="0" quotePrefix="0" xfId="1"/>
    <xf numFmtId="192" fontId="30" fillId="0" borderId="0" applyAlignment="1" pivotButton="0" quotePrefix="0" xfId="0">
      <alignment wrapText="1"/>
    </xf>
    <xf numFmtId="196" fontId="30" fillId="0" borderId="0" applyAlignment="1" pivotButton="0" quotePrefix="0" xfId="0">
      <alignment wrapText="1"/>
    </xf>
    <xf numFmtId="0" fontId="68" fillId="0" borderId="0" applyAlignment="1" pivotButton="0" quotePrefix="0" xfId="0">
      <alignment horizontal="center" vertical="top" wrapText="1"/>
    </xf>
    <xf numFmtId="197" fontId="68" fillId="0" borderId="0" applyAlignment="1" pivotButton="0" quotePrefix="0" xfId="0">
      <alignment horizontal="center" vertical="top" wrapText="1"/>
    </xf>
    <xf numFmtId="37" fontId="0" fillId="37" borderId="0" pivotButton="0" quotePrefix="0" xfId="0"/>
    <xf numFmtId="192" fontId="0" fillId="0" borderId="0" applyAlignment="1" pivotButton="0" quotePrefix="0" xfId="0">
      <alignment horizontal="left" vertical="top"/>
    </xf>
    <xf numFmtId="43" fontId="29" fillId="0" borderId="0" pivotButton="0" quotePrefix="0" xfId="1"/>
    <xf numFmtId="166" fontId="44" fillId="0" borderId="16" pivotButton="0" quotePrefix="0" xfId="1"/>
    <xf numFmtId="165" fontId="45" fillId="0" borderId="0" pivotButton="0" quotePrefix="0" xfId="1"/>
    <xf numFmtId="165" fontId="45" fillId="0" borderId="0" pivotButton="0" quotePrefix="0" xfId="1"/>
    <xf numFmtId="37" fontId="132" fillId="0" borderId="0" applyAlignment="1" pivotButton="0" quotePrefix="0" xfId="0">
      <alignment vertical="center" wrapText="1"/>
    </xf>
    <xf numFmtId="0" fontId="123" fillId="0" borderId="0" applyAlignment="1" pivotButton="0" quotePrefix="0" xfId="0">
      <alignment wrapText="1"/>
    </xf>
    <xf numFmtId="0" fontId="133" fillId="0" borderId="0" applyAlignment="1" pivotButton="0" quotePrefix="0" xfId="0">
      <alignment vertical="top" wrapText="1"/>
    </xf>
    <xf numFmtId="2" fontId="28" fillId="0" borderId="0" applyAlignment="1" pivotButton="0" quotePrefix="0" xfId="1">
      <alignment vertical="center" wrapText="1"/>
    </xf>
    <xf numFmtId="0" fontId="111" fillId="0" borderId="0" applyAlignment="1" pivotButton="0" quotePrefix="0" xfId="0">
      <alignment vertical="center" wrapText="1"/>
    </xf>
    <xf numFmtId="0" fontId="14" fillId="0" borderId="24" applyAlignment="1" pivotButton="0" quotePrefix="0" xfId="0">
      <alignment horizontal="center"/>
    </xf>
    <xf numFmtId="0" fontId="14" fillId="0" borderId="24" applyAlignment="1" pivotButton="0" quotePrefix="0" xfId="0">
      <alignment horizontal="center" vertical="center"/>
    </xf>
    <xf numFmtId="0" fontId="109" fillId="0" borderId="24" applyAlignment="1" pivotButton="0" quotePrefix="0" xfId="0">
      <alignment vertical="center" wrapText="1"/>
    </xf>
    <xf numFmtId="2" fontId="21" fillId="0" borderId="19" pivotButton="0" quotePrefix="0" xfId="0"/>
    <xf numFmtId="0" fontId="21" fillId="0" borderId="20" applyAlignment="1" pivotButton="0" quotePrefix="0" xfId="0">
      <alignment horizontal="center"/>
    </xf>
    <xf numFmtId="0" fontId="21" fillId="0" borderId="18" applyAlignment="1" pivotButton="0" quotePrefix="0" xfId="0">
      <alignment horizontal="center"/>
    </xf>
    <xf numFmtId="0" fontId="21" fillId="0" borderId="19" applyAlignment="1" pivotButton="0" quotePrefix="0" xfId="0">
      <alignment horizontal="center"/>
    </xf>
    <xf numFmtId="0" fontId="14" fillId="0" borderId="41" applyAlignment="1" pivotButton="0" quotePrefix="0" xfId="0">
      <alignment horizontal="center"/>
    </xf>
    <xf numFmtId="166" fontId="29" fillId="0" borderId="4" applyAlignment="1" pivotButton="0" quotePrefix="0" xfId="1">
      <alignment horizontal="center"/>
    </xf>
    <xf numFmtId="43" fontId="14" fillId="0" borderId="0" applyAlignment="1" pivotButton="0" quotePrefix="0" xfId="1">
      <alignment wrapText="1"/>
    </xf>
    <xf numFmtId="37" fontId="136" fillId="0" borderId="0" pivotButton="0" quotePrefix="0" xfId="0"/>
    <xf numFmtId="181" fontId="89" fillId="0" borderId="0" applyAlignment="1" pivotButton="0" quotePrefix="0" xfId="0">
      <alignment vertical="top" wrapText="1" readingOrder="1"/>
    </xf>
    <xf numFmtId="0" fontId="90" fillId="0" borderId="0" applyAlignment="1" pivotButton="0" quotePrefix="0" xfId="0">
      <alignment readingOrder="1"/>
    </xf>
    <xf numFmtId="37" fontId="30" fillId="0" borderId="41" applyAlignment="1" pivotButton="0" quotePrefix="0" xfId="0">
      <alignment wrapText="1"/>
    </xf>
    <xf numFmtId="37" fontId="30" fillId="0" borderId="30" applyAlignment="1" pivotButton="0" quotePrefix="0" xfId="0">
      <alignment wrapText="1"/>
    </xf>
    <xf numFmtId="37" fontId="30" fillId="0" borderId="50" applyAlignment="1" pivotButton="0" quotePrefix="0" xfId="0">
      <alignment wrapText="1"/>
    </xf>
    <xf numFmtId="37" fontId="30" fillId="0" borderId="25" applyAlignment="1" pivotButton="0" quotePrefix="0" xfId="0">
      <alignment wrapText="1"/>
    </xf>
    <xf numFmtId="37" fontId="30" fillId="0" borderId="23" applyAlignment="1" pivotButton="0" quotePrefix="0" xfId="0">
      <alignment wrapText="1"/>
    </xf>
    <xf numFmtId="37" fontId="30" fillId="0" borderId="43" applyAlignment="1" pivotButton="0" quotePrefix="0" xfId="0">
      <alignment wrapText="1"/>
    </xf>
    <xf numFmtId="37" fontId="9" fillId="0" borderId="36" pivotButton="0" quotePrefix="0" xfId="0"/>
    <xf numFmtId="37" fontId="9" fillId="0" borderId="38" pivotButton="0" quotePrefix="0" xfId="0"/>
    <xf numFmtId="0" fontId="9" fillId="0" borderId="4" applyAlignment="1" pivotButton="0" quotePrefix="0" xfId="0">
      <alignment horizontal="center"/>
    </xf>
    <xf numFmtId="4" fontId="0" fillId="0" borderId="0" pivotButton="0" quotePrefix="0" xfId="1"/>
    <xf numFmtId="166" fontId="1" fillId="0" borderId="4" pivotButton="0" quotePrefix="0" xfId="1"/>
    <xf numFmtId="0" fontId="101" fillId="0" borderId="4" applyAlignment="1" pivotButton="0" quotePrefix="0" xfId="0">
      <alignment vertical="center"/>
    </xf>
    <xf numFmtId="37" fontId="3" fillId="0" borderId="4" applyAlignment="1" pivotButton="0" quotePrefix="0" xfId="0">
      <alignment horizontal="left" vertical="top" wrapText="1"/>
    </xf>
    <xf numFmtId="37" fontId="5" fillId="0" borderId="0" applyAlignment="1" pivotButton="0" quotePrefix="0" xfId="0">
      <alignment horizontal="right" vertical="center"/>
    </xf>
    <xf numFmtId="168" fontId="63" fillId="0" borderId="0" pivotButton="0" quotePrefix="0" xfId="0"/>
    <xf numFmtId="39" fontId="5" fillId="0" borderId="0" applyAlignment="1" pivotButton="0" quotePrefix="0" xfId="0">
      <alignment horizontal="right" wrapText="1"/>
    </xf>
    <xf numFmtId="165" fontId="29" fillId="0" borderId="52" applyAlignment="1" pivotButton="0" quotePrefix="0" xfId="0">
      <alignment horizontal="center" wrapText="1"/>
    </xf>
    <xf numFmtId="165" fontId="29" fillId="0" borderId="16" applyAlignment="1" pivotButton="0" quotePrefix="0" xfId="0">
      <alignment horizontal="center" wrapText="1"/>
    </xf>
    <xf numFmtId="165" fontId="29" fillId="0" borderId="53" applyAlignment="1" pivotButton="0" quotePrefix="0" xfId="0">
      <alignment horizontal="center" wrapText="1"/>
    </xf>
    <xf numFmtId="165" fontId="18" fillId="0" borderId="5" applyAlignment="1" pivotButton="0" quotePrefix="0" xfId="0">
      <alignment horizontal="left" wrapText="1"/>
    </xf>
    <xf numFmtId="0" fontId="28" fillId="0" borderId="4" pivotButton="0" quotePrefix="0" xfId="0"/>
    <xf numFmtId="166" fontId="54" fillId="0" borderId="4" applyAlignment="1" pivotButton="0" quotePrefix="0" xfId="0">
      <alignment horizontal="center" wrapText="1"/>
    </xf>
    <xf numFmtId="166" fontId="54" fillId="0" borderId="5" applyAlignment="1" pivotButton="0" quotePrefix="0" xfId="0">
      <alignment horizontal="center" wrapText="1"/>
    </xf>
    <xf numFmtId="166" fontId="29" fillId="0" borderId="50" pivotButton="0" quotePrefix="0" xfId="1"/>
    <xf numFmtId="0" fontId="45" fillId="0" borderId="0" applyAlignment="1" pivotButton="0" quotePrefix="0" xfId="0">
      <alignment horizontal="left"/>
    </xf>
    <xf numFmtId="166" fontId="18" fillId="0" borderId="2" pivotButton="0" quotePrefix="0" xfId="1"/>
    <xf numFmtId="1" fontId="65" fillId="0" borderId="31" applyAlignment="1" pivotButton="0" quotePrefix="0" xfId="11">
      <alignment horizontal="right" vertical="center"/>
    </xf>
    <xf numFmtId="1" fontId="65" fillId="0" borderId="40" applyAlignment="1" pivotButton="0" quotePrefix="0" xfId="11">
      <alignment horizontal="right" vertical="center"/>
    </xf>
    <xf numFmtId="0" fontId="65" fillId="0" borderId="56" applyAlignment="1" pivotButton="0" quotePrefix="0" xfId="11">
      <alignment horizontal="right" vertical="center"/>
    </xf>
    <xf numFmtId="0" fontId="65" fillId="0" borderId="17" applyAlignment="1" pivotButton="0" quotePrefix="0" xfId="11">
      <alignment horizontal="right" vertical="center"/>
    </xf>
    <xf numFmtId="37" fontId="25" fillId="0" borderId="23" applyAlignment="1" pivotButton="0" quotePrefix="0" xfId="0">
      <alignment horizontal="center"/>
    </xf>
    <xf numFmtId="0" fontId="25" fillId="0" borderId="23" applyAlignment="1" pivotButton="0" quotePrefix="0" xfId="0">
      <alignment horizontal="center"/>
    </xf>
    <xf numFmtId="178" fontId="25" fillId="0" borderId="0" pivotButton="0" quotePrefix="0" xfId="0"/>
    <xf numFmtId="39" fontId="25" fillId="0" borderId="23" applyAlignment="1" pivotButton="0" quotePrefix="0" xfId="0">
      <alignment horizontal="center"/>
    </xf>
    <xf numFmtId="189" fontId="64" fillId="0" borderId="4" applyAlignment="1" pivotButton="0" quotePrefix="0" xfId="0">
      <alignment horizontal="right" vertical="center"/>
    </xf>
    <xf numFmtId="0" fontId="64" fillId="0" borderId="4" applyAlignment="1" pivotButton="0" quotePrefix="0" xfId="0">
      <alignment vertical="center"/>
    </xf>
    <xf numFmtId="192" fontId="64" fillId="0" borderId="4" applyAlignment="1" pivotButton="0" quotePrefix="0" xfId="0">
      <alignment vertical="center"/>
    </xf>
    <xf numFmtId="39" fontId="6" fillId="0" borderId="0" pivotButton="0" quotePrefix="0" xfId="1"/>
    <xf numFmtId="0" fontId="115" fillId="0" borderId="0" applyAlignment="1" pivotButton="0" quotePrefix="0" xfId="0">
      <alignment vertical="top" wrapText="1"/>
    </xf>
    <xf numFmtId="165" fontId="38" fillId="0" borderId="0" applyAlignment="1" pivotButton="0" quotePrefix="0" xfId="1">
      <alignment vertical="center" wrapText="1"/>
    </xf>
    <xf numFmtId="37" fontId="134" fillId="0" borderId="0" applyAlignment="1" pivotButton="0" quotePrefix="0" xfId="0">
      <alignment vertical="center" wrapText="1"/>
    </xf>
    <xf numFmtId="37" fontId="6" fillId="0" borderId="0" applyAlignment="1" pivotButton="0" quotePrefix="0" xfId="0">
      <alignment wrapText="1"/>
    </xf>
    <xf numFmtId="165" fontId="29" fillId="0" borderId="0" pivotButton="0" quotePrefix="0" xfId="1"/>
    <xf numFmtId="165" fontId="25" fillId="0" borderId="0" pivotButton="0" quotePrefix="0" xfId="1"/>
    <xf numFmtId="0" fontId="18" fillId="0" borderId="0" applyAlignment="1" pivotButton="0" quotePrefix="0" xfId="0">
      <alignment horizontal="center"/>
    </xf>
    <xf numFmtId="166" fontId="18" fillId="0" borderId="0" applyAlignment="1" pivotButton="0" quotePrefix="0" xfId="1">
      <alignment horizontal="center"/>
    </xf>
    <xf numFmtId="166" fontId="29" fillId="0" borderId="0" applyAlignment="1" pivotButton="0" quotePrefix="0" xfId="1">
      <alignment horizontal="center"/>
    </xf>
    <xf numFmtId="0" fontId="28" fillId="0" borderId="0" applyAlignment="1" pivotButton="0" quotePrefix="0" xfId="0">
      <alignment vertical="top" wrapText="1"/>
    </xf>
    <xf numFmtId="166" fontId="25" fillId="0" borderId="4" pivotButton="0" quotePrefix="0" xfId="1"/>
    <xf numFmtId="166" fontId="54" fillId="0" borderId="4" pivotButton="0" quotePrefix="0" xfId="1"/>
    <xf numFmtId="166" fontId="43" fillId="0" borderId="4" pivotButton="0" quotePrefix="0" xfId="1"/>
    <xf numFmtId="166" fontId="43" fillId="2" borderId="4" pivotButton="0" quotePrefix="0" xfId="1"/>
    <xf numFmtId="39" fontId="6" fillId="0" borderId="4" applyAlignment="1" pivotButton="0" quotePrefix="0" xfId="0">
      <alignment horizontal="right"/>
    </xf>
    <xf numFmtId="0" fontId="62" fillId="0" borderId="0" applyAlignment="1" pivotButton="0" quotePrefix="0" xfId="0">
      <alignment vertical="center" wrapText="1"/>
    </xf>
    <xf numFmtId="43" fontId="21" fillId="0" borderId="24" applyAlignment="1" pivotButton="0" quotePrefix="0" xfId="1">
      <alignment wrapText="1"/>
    </xf>
    <xf numFmtId="166" fontId="53" fillId="0" borderId="4" applyAlignment="1" pivotButton="0" quotePrefix="0" xfId="1">
      <alignment vertical="center"/>
    </xf>
    <xf numFmtId="166" fontId="53" fillId="0" borderId="4" applyAlignment="1" pivotButton="0" quotePrefix="0" xfId="1">
      <alignment vertical="center"/>
    </xf>
    <xf numFmtId="0" fontId="30" fillId="0" borderId="0" applyAlignment="1" pivotButton="0" quotePrefix="0" xfId="0">
      <alignment wrapText="1"/>
    </xf>
    <xf numFmtId="39" fontId="2" fillId="0" borderId="15" pivotButton="0" quotePrefix="0" xfId="0"/>
    <xf numFmtId="37" fontId="3" fillId="0" borderId="9" applyAlignment="1" pivotButton="0" quotePrefix="0" xfId="0">
      <alignment horizontal="right"/>
    </xf>
    <xf numFmtId="37" fontId="3" fillId="0" borderId="4" applyAlignment="1" pivotButton="0" quotePrefix="0" xfId="0">
      <alignment horizontal="right"/>
    </xf>
    <xf numFmtId="39" fontId="17" fillId="0" borderId="4" pivotButton="0" quotePrefix="0" xfId="0"/>
    <xf numFmtId="37" fontId="54" fillId="0" borderId="0" pivotButton="0" quotePrefix="0" xfId="0"/>
    <xf numFmtId="37" fontId="3" fillId="0" borderId="4" applyAlignment="1" pivotButton="0" quotePrefix="0" xfId="0">
      <alignment horizontal="left" vertical="top"/>
    </xf>
    <xf numFmtId="0" fontId="0" fillId="0" borderId="2" pivotButton="0" quotePrefix="0" xfId="0"/>
    <xf numFmtId="0" fontId="0" fillId="0" borderId="1" pivotButton="0" quotePrefix="0" xfId="0"/>
    <xf numFmtId="198" fontId="2" fillId="0" borderId="0" pivotButton="0" quotePrefix="0" xfId="0"/>
    <xf numFmtId="37" fontId="2" fillId="0" borderId="5" applyAlignment="1" pivotButton="0" quotePrefix="0" xfId="0">
      <alignment horizontal="left"/>
    </xf>
    <xf numFmtId="43" fontId="119" fillId="0" borderId="7" applyAlignment="1" pivotButton="0" quotePrefix="0" xfId="1">
      <alignment horizontal="right"/>
    </xf>
    <xf numFmtId="165" fontId="48" fillId="0" borderId="0" pivotButton="0" quotePrefix="0" xfId="1"/>
    <xf numFmtId="37" fontId="25" fillId="0" borderId="20" pivotButton="0" quotePrefix="0" xfId="0"/>
    <xf numFmtId="191" fontId="25" fillId="0" borderId="17" pivotButton="0" quotePrefix="0" xfId="0"/>
    <xf numFmtId="178" fontId="25" fillId="0" borderId="17" pivotButton="0" quotePrefix="0" xfId="0"/>
    <xf numFmtId="37" fontId="7" fillId="0" borderId="0" applyAlignment="1" pivotButton="0" quotePrefix="0" xfId="0">
      <alignment wrapText="1"/>
    </xf>
    <xf numFmtId="37" fontId="2" fillId="0" borderId="32" pivotButton="0" quotePrefix="0" xfId="0"/>
    <xf numFmtId="37" fontId="63" fillId="2" borderId="32" pivotButton="0" quotePrefix="0" xfId="0"/>
    <xf numFmtId="37" fontId="6" fillId="0" borderId="31" applyAlignment="1" pivotButton="0" quotePrefix="0" xfId="0">
      <alignment horizontal="left"/>
    </xf>
    <xf numFmtId="37" fontId="6" fillId="0" borderId="87" pivotButton="0" quotePrefix="0" xfId="0"/>
    <xf numFmtId="0" fontId="25" fillId="0" borderId="32" pivotButton="0" quotePrefix="0" xfId="0"/>
    <xf numFmtId="37" fontId="25" fillId="0" borderId="69" applyAlignment="1" pivotButton="0" quotePrefix="0" xfId="0">
      <alignment horizontal="left"/>
    </xf>
    <xf numFmtId="37" fontId="2" fillId="0" borderId="44" pivotButton="0" quotePrefix="0" xfId="0"/>
    <xf numFmtId="37" fontId="25" fillId="0" borderId="69" applyAlignment="1" pivotButton="0" quotePrefix="0" xfId="0">
      <alignment wrapText="1"/>
    </xf>
    <xf numFmtId="37" fontId="54" fillId="0" borderId="69" applyAlignment="1" pivotButton="0" quotePrefix="0" xfId="0">
      <alignment wrapText="1"/>
    </xf>
    <xf numFmtId="37" fontId="2" fillId="0" borderId="32" applyAlignment="1" pivotButton="0" quotePrefix="0" xfId="0">
      <alignment vertical="center"/>
    </xf>
    <xf numFmtId="165" fontId="43" fillId="0" borderId="32" pivotButton="0" quotePrefix="0" xfId="1"/>
    <xf numFmtId="0" fontId="29" fillId="0" borderId="26" pivotButton="0" quotePrefix="0" xfId="0"/>
    <xf numFmtId="165" fontId="43" fillId="0" borderId="16" pivotButton="0" quotePrefix="0" xfId="1"/>
    <xf numFmtId="165" fontId="43" fillId="0" borderId="53" pivotButton="0" quotePrefix="0" xfId="1"/>
    <xf numFmtId="0" fontId="138" fillId="0" borderId="0" pivotButton="0" quotePrefix="0" xfId="0"/>
    <xf numFmtId="191" fontId="139" fillId="0" borderId="0" applyAlignment="1" pivotButton="0" quotePrefix="0" xfId="0">
      <alignment vertical="center"/>
    </xf>
    <xf numFmtId="39" fontId="16" fillId="0" borderId="4" applyAlignment="1" pivotButton="0" quotePrefix="0" xfId="0">
      <alignment horizontal="right"/>
    </xf>
    <xf numFmtId="0" fontId="21" fillId="0" borderId="0" applyAlignment="1" pivotButton="0" quotePrefix="0" xfId="0">
      <alignment vertical="center" wrapText="1"/>
    </xf>
    <xf numFmtId="0" fontId="61" fillId="0" borderId="0" applyAlignment="1" pivotButton="0" quotePrefix="0" xfId="0">
      <alignment vertical="center" wrapText="1"/>
    </xf>
    <xf numFmtId="0" fontId="61" fillId="0" borderId="24" applyAlignment="1" pivotButton="0" quotePrefix="0" xfId="0">
      <alignment wrapText="1"/>
    </xf>
    <xf numFmtId="0" fontId="61" fillId="0" borderId="0" applyAlignment="1" pivotButton="0" quotePrefix="0" xfId="0">
      <alignment wrapText="1"/>
    </xf>
    <xf numFmtId="0" fontId="102" fillId="0" borderId="0" applyAlignment="1" pivotButton="0" quotePrefix="0" xfId="0">
      <alignment wrapText="1"/>
    </xf>
    <xf numFmtId="0" fontId="21" fillId="0" borderId="24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43" fontId="21" fillId="0" borderId="0" applyAlignment="1" pivotButton="0" quotePrefix="0" xfId="1">
      <alignment wrapText="1"/>
    </xf>
    <xf numFmtId="166" fontId="14" fillId="0" borderId="4" pivotButton="0" quotePrefix="0" xfId="1"/>
    <xf numFmtId="166" fontId="120" fillId="0" borderId="9" applyAlignment="1" pivotButton="0" quotePrefix="0" xfId="1">
      <alignment horizontal="right"/>
    </xf>
    <xf numFmtId="189" fontId="56" fillId="0" borderId="0" applyAlignment="1" pivotButton="0" quotePrefix="0" xfId="0">
      <alignment horizontal="right" vertical="center"/>
    </xf>
    <xf numFmtId="37" fontId="0" fillId="0" borderId="4" pivotButton="0" quotePrefix="0" xfId="0"/>
    <xf numFmtId="0" fontId="2" fillId="0" borderId="4" applyAlignment="1" pivotButton="0" quotePrefix="0" xfId="0">
      <alignment horizontal="center"/>
    </xf>
    <xf numFmtId="37" fontId="3" fillId="0" borderId="4" applyAlignment="1" pivotButton="0" quotePrefix="0" xfId="0">
      <alignment horizontal="left"/>
    </xf>
    <xf numFmtId="3" fontId="60" fillId="0" borderId="0" pivotButton="0" quotePrefix="0" xfId="0"/>
    <xf numFmtId="37" fontId="0" fillId="0" borderId="4" pivotButton="0" quotePrefix="0" xfId="0"/>
    <xf numFmtId="37" fontId="0" fillId="0" borderId="0" pivotButton="0" quotePrefix="0" xfId="0"/>
    <xf numFmtId="37" fontId="30" fillId="0" borderId="0" applyAlignment="1" pivotButton="0" quotePrefix="0" xfId="0">
      <alignment vertical="top" wrapText="1"/>
    </xf>
    <xf numFmtId="37" fontId="9" fillId="0" borderId="0" applyAlignment="1" pivotButton="0" quotePrefix="0" xfId="0">
      <alignment horizontal="left"/>
    </xf>
    <xf numFmtId="37" fontId="9" fillId="0" borderId="0" pivotButton="0" quotePrefix="0" xfId="0"/>
    <xf numFmtId="39" fontId="9" fillId="0" borderId="0" pivotButton="0" quotePrefix="0" xfId="0"/>
    <xf numFmtId="37" fontId="3" fillId="0" borderId="4" applyAlignment="1" pivotButton="0" quotePrefix="0" xfId="0">
      <alignment horizontal="left"/>
    </xf>
    <xf numFmtId="37" fontId="0" fillId="0" borderId="4" pivotButton="0" quotePrefix="0" xfId="0"/>
    <xf numFmtId="37" fontId="93" fillId="0" borderId="0" pivotButton="0" quotePrefix="0" xfId="0"/>
    <xf numFmtId="37" fontId="0" fillId="0" borderId="4" pivotButton="0" quotePrefix="0" xfId="0"/>
    <xf numFmtId="37" fontId="9" fillId="0" borderId="4" applyAlignment="1" pivotButton="0" quotePrefix="0" xfId="0">
      <alignment horizontal="center" vertical="center" wrapText="1"/>
    </xf>
    <xf numFmtId="164" fontId="2" fillId="0" borderId="12" applyAlignment="1" pivotButton="0" quotePrefix="0" xfId="1">
      <alignment horizontal="right"/>
    </xf>
    <xf numFmtId="164" fontId="6" fillId="0" borderId="12" pivotButton="0" quotePrefix="0" xfId="1"/>
    <xf numFmtId="164" fontId="2" fillId="0" borderId="4" pivotButton="0" quotePrefix="0" xfId="1"/>
    <xf numFmtId="172" fontId="2" fillId="0" borderId="4" applyAlignment="1" pivotButton="0" quotePrefix="0" xfId="1">
      <alignment horizontal="right"/>
    </xf>
    <xf numFmtId="43" fontId="2" fillId="0" borderId="4" pivotButton="0" quotePrefix="0" xfId="1"/>
    <xf numFmtId="199" fontId="67" fillId="0" borderId="4" applyAlignment="1" pivotButton="0" quotePrefix="0" xfId="0">
      <alignment vertical="top" wrapText="1" readingOrder="1"/>
    </xf>
    <xf numFmtId="164" fontId="2" fillId="0" borderId="4" pivotButton="0" quotePrefix="0" xfId="1"/>
    <xf numFmtId="37" fontId="9" fillId="0" borderId="15" applyAlignment="1" pivotButton="0" quotePrefix="0" xfId="0">
      <alignment horizontal="center" vertical="center" wrapText="1"/>
    </xf>
    <xf numFmtId="165" fontId="18" fillId="0" borderId="72" pivotButton="0" quotePrefix="0" xfId="1"/>
    <xf numFmtId="165" fontId="28" fillId="0" borderId="32" pivotButton="0" quotePrefix="0" xfId="1"/>
    <xf numFmtId="0" fontId="28" fillId="0" borderId="0" applyAlignment="1" pivotButton="0" quotePrefix="0" xfId="0">
      <alignment horizontal="center" vertical="center" wrapText="1"/>
    </xf>
    <xf numFmtId="2" fontId="116" fillId="0" borderId="0" applyAlignment="1" pivotButton="0" quotePrefix="0" xfId="1">
      <alignment vertical="center" wrapText="1"/>
    </xf>
    <xf numFmtId="166" fontId="141" fillId="0" borderId="0" applyAlignment="1" pivotButton="0" quotePrefix="0" xfId="1">
      <alignment horizontal="left" vertical="top" wrapText="1"/>
    </xf>
    <xf numFmtId="191" fontId="25" fillId="0" borderId="0" pivotButton="0" quotePrefix="0" xfId="0"/>
    <xf numFmtId="49" fontId="42" fillId="0" borderId="40" pivotButton="0" quotePrefix="0" xfId="11"/>
    <xf numFmtId="0" fontId="0" fillId="0" borderId="9" pivotButton="0" quotePrefix="0" xfId="0"/>
    <xf numFmtId="3" fontId="18" fillId="0" borderId="9" pivotButton="0" quotePrefix="0" xfId="0"/>
    <xf numFmtId="166" fontId="18" fillId="0" borderId="9" pivotButton="0" quotePrefix="0" xfId="0"/>
    <xf numFmtId="0" fontId="18" fillId="0" borderId="9" pivotButton="0" quotePrefix="0" xfId="0"/>
    <xf numFmtId="0" fontId="18" fillId="0" borderId="9" applyAlignment="1" pivotButton="0" quotePrefix="0" xfId="0">
      <alignment horizontal="right" vertical="center"/>
    </xf>
    <xf numFmtId="0" fontId="9" fillId="0" borderId="9" applyAlignment="1" pivotButton="0" quotePrefix="0" xfId="0">
      <alignment horizontal="center" vertical="center"/>
    </xf>
    <xf numFmtId="2" fontId="9" fillId="0" borderId="87" applyAlignment="1" pivotButton="0" quotePrefix="0" xfId="0">
      <alignment horizontal="center" vertical="center"/>
    </xf>
    <xf numFmtId="166" fontId="18" fillId="0" borderId="4" applyAlignment="1" pivotButton="0" quotePrefix="0" xfId="0">
      <alignment horizontal="center" wrapText="1"/>
    </xf>
    <xf numFmtId="166" fontId="54" fillId="0" borderId="4" applyAlignment="1" pivotButton="0" quotePrefix="0" xfId="0">
      <alignment horizontal="center" wrapText="1"/>
    </xf>
    <xf numFmtId="4" fontId="28" fillId="0" borderId="0" pivotButton="0" quotePrefix="0" xfId="0"/>
    <xf numFmtId="165" fontId="18" fillId="0" borderId="24" pivotButton="0" quotePrefix="0" xfId="0"/>
    <xf numFmtId="166" fontId="18" fillId="0" borderId="2" pivotButton="0" quotePrefix="0" xfId="1"/>
    <xf numFmtId="166" fontId="18" fillId="0" borderId="29" pivotButton="0" quotePrefix="0" xfId="1"/>
    <xf numFmtId="165" fontId="29" fillId="0" borderId="24" pivotButton="0" quotePrefix="0" xfId="0"/>
    <xf numFmtId="166" fontId="29" fillId="0" borderId="0" pivotButton="0" quotePrefix="0" xfId="1"/>
    <xf numFmtId="166" fontId="29" fillId="0" borderId="30" pivotButton="0" quotePrefix="0" xfId="0"/>
    <xf numFmtId="166" fontId="29" fillId="0" borderId="50" pivotButton="0" quotePrefix="0" xfId="0"/>
    <xf numFmtId="166" fontId="29" fillId="0" borderId="0" pivotButton="0" quotePrefix="0" xfId="0"/>
    <xf numFmtId="166" fontId="29" fillId="0" borderId="26" pivotButton="0" quotePrefix="0" xfId="0"/>
    <xf numFmtId="166" fontId="18" fillId="0" borderId="5" applyAlignment="1" pivotButton="0" quotePrefix="0" xfId="0">
      <alignment horizontal="center" wrapText="1"/>
    </xf>
    <xf numFmtId="165" fontId="18" fillId="0" borderId="5" applyAlignment="1" pivotButton="0" quotePrefix="0" xfId="0">
      <alignment horizontal="center" wrapText="1"/>
    </xf>
    <xf numFmtId="166" fontId="6" fillId="0" borderId="0" applyAlignment="1" pivotButton="0" quotePrefix="0" xfId="1">
      <alignment horizontal="right" vertical="center" wrapText="1"/>
    </xf>
    <xf numFmtId="37" fontId="109" fillId="0" borderId="0" pivotButton="0" quotePrefix="0" xfId="0"/>
    <xf numFmtId="0" fontId="14" fillId="0" borderId="20" applyAlignment="1" pivotButton="0" quotePrefix="0" xfId="0">
      <alignment horizontal="center"/>
    </xf>
    <xf numFmtId="0" fontId="14" fillId="0" borderId="24" pivotButton="0" quotePrefix="0" xfId="0"/>
    <xf numFmtId="0" fontId="14" fillId="0" borderId="0" pivotButton="0" quotePrefix="0" xfId="0"/>
    <xf numFmtId="165" fontId="21" fillId="0" borderId="52" applyAlignment="1" pivotButton="0" quotePrefix="0" xfId="1">
      <alignment horizontal="right"/>
    </xf>
    <xf numFmtId="37" fontId="21" fillId="0" borderId="0" pivotButton="0" quotePrefix="0" xfId="0"/>
    <xf numFmtId="0" fontId="14" fillId="0" borderId="17" pivotButton="0" quotePrefix="0" xfId="0"/>
    <xf numFmtId="166" fontId="14" fillId="0" borderId="0" applyAlignment="1" pivotButton="0" quotePrefix="0" xfId="0">
      <alignment horizontal="right"/>
    </xf>
    <xf numFmtId="37" fontId="21" fillId="0" borderId="26" pivotButton="0" quotePrefix="0" xfId="0"/>
    <xf numFmtId="166" fontId="14" fillId="0" borderId="0" pivotButton="0" quotePrefix="0" xfId="0"/>
    <xf numFmtId="166" fontId="14" fillId="0" borderId="17" pivotButton="0" quotePrefix="0" xfId="0"/>
    <xf numFmtId="0" fontId="21" fillId="0" borderId="17" pivotButton="0" quotePrefix="0" xfId="0"/>
    <xf numFmtId="0" fontId="14" fillId="0" borderId="28" pivotButton="0" quotePrefix="0" xfId="0"/>
    <xf numFmtId="0" fontId="21" fillId="0" borderId="0" pivotButton="0" quotePrefix="0" xfId="0"/>
    <xf numFmtId="165" fontId="14" fillId="0" borderId="17" pivotButton="0" quotePrefix="0" xfId="0"/>
    <xf numFmtId="166" fontId="14" fillId="0" borderId="27" pivotButton="0" quotePrefix="0" xfId="0"/>
    <xf numFmtId="165" fontId="21" fillId="0" borderId="76" applyAlignment="1" pivotButton="0" quotePrefix="0" xfId="1">
      <alignment horizontal="center"/>
    </xf>
    <xf numFmtId="43" fontId="14" fillId="0" borderId="67" applyAlignment="1" pivotButton="0" quotePrefix="0" xfId="0">
      <alignment horizontal="right"/>
    </xf>
    <xf numFmtId="43" fontId="14" fillId="0" borderId="72" applyAlignment="1" pivotButton="0" quotePrefix="0" xfId="0">
      <alignment horizontal="right"/>
    </xf>
    <xf numFmtId="0" fontId="21" fillId="0" borderId="30" applyAlignment="1" pivotButton="0" quotePrefix="0" xfId="0">
      <alignment vertical="center" wrapText="1"/>
    </xf>
    <xf numFmtId="43" fontId="14" fillId="0" borderId="4" pivotButton="0" quotePrefix="0" xfId="0"/>
    <xf numFmtId="43" fontId="14" fillId="0" borderId="32" pivotButton="0" quotePrefix="0" xfId="0"/>
    <xf numFmtId="0" fontId="14" fillId="0" borderId="18" applyAlignment="1" pivotButton="0" quotePrefix="0" xfId="0">
      <alignment horizontal="center"/>
    </xf>
    <xf numFmtId="0" fontId="14" fillId="0" borderId="18" pivotButton="0" quotePrefix="0" xfId="0"/>
    <xf numFmtId="166" fontId="21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31" pivotButton="0" quotePrefix="0" xfId="0"/>
    <xf numFmtId="165" fontId="21" fillId="0" borderId="4" pivotButton="0" quotePrefix="0" xfId="0"/>
    <xf numFmtId="165" fontId="21" fillId="0" borderId="32" pivotButton="0" quotePrefix="0" xfId="0"/>
    <xf numFmtId="0" fontId="14" fillId="0" borderId="41" applyAlignment="1" pivotButton="0" quotePrefix="0" xfId="0">
      <alignment horizontal="center"/>
    </xf>
    <xf numFmtId="0" fontId="14" fillId="0" borderId="19" pivotButton="0" quotePrefix="0" xfId="0"/>
    <xf numFmtId="0" fontId="21" fillId="0" borderId="52" pivotButton="0" quotePrefix="0" xfId="0"/>
    <xf numFmtId="1" fontId="61" fillId="0" borderId="16" applyAlignment="1" pivotButton="0" quotePrefix="0" xfId="0">
      <alignment horizontal="right"/>
    </xf>
    <xf numFmtId="37" fontId="61" fillId="0" borderId="16" pivotButton="0" quotePrefix="0" xfId="0"/>
    <xf numFmtId="0" fontId="14" fillId="0" borderId="24" applyAlignment="1" pivotButton="0" quotePrefix="0" xfId="0">
      <alignment horizontal="center"/>
    </xf>
    <xf numFmtId="0" fontId="14" fillId="0" borderId="20" pivotButton="0" quotePrefix="0" xfId="0"/>
    <xf numFmtId="0" fontId="21" fillId="0" borderId="0" pivotButton="0" quotePrefix="0" xfId="0"/>
    <xf numFmtId="1" fontId="61" fillId="0" borderId="0" applyAlignment="1" pivotButton="0" quotePrefix="0" xfId="0">
      <alignment horizontal="right"/>
    </xf>
    <xf numFmtId="37" fontId="61" fillId="0" borderId="0" pivotButton="0" quotePrefix="0" xfId="0"/>
    <xf numFmtId="0" fontId="14" fillId="0" borderId="20" applyAlignment="1" pivotButton="0" quotePrefix="0" xfId="0">
      <alignment vertical="center"/>
    </xf>
    <xf numFmtId="0" fontId="14" fillId="0" borderId="25" pivotButton="0" quotePrefix="0" xfId="0"/>
    <xf numFmtId="0" fontId="14" fillId="0" borderId="18" applyAlignment="1" pivotButton="0" quotePrefix="0" xfId="0">
      <alignment vertical="center"/>
    </xf>
    <xf numFmtId="2" fontId="14" fillId="0" borderId="0" pivotButton="0" quotePrefix="0" xfId="0"/>
    <xf numFmtId="0" fontId="14" fillId="0" borderId="20" applyAlignment="1" pivotButton="0" quotePrefix="0" xfId="0">
      <alignment horizontal="left" indent="11"/>
    </xf>
    <xf numFmtId="0" fontId="14" fillId="0" borderId="24" applyAlignment="1" pivotButton="0" quotePrefix="0" xfId="0">
      <alignment horizontal="left" indent="11"/>
    </xf>
    <xf numFmtId="166" fontId="14" fillId="38" borderId="16" applyAlignment="1" pivotButton="0" quotePrefix="0" xfId="0">
      <alignment horizontal="right"/>
    </xf>
    <xf numFmtId="166" fontId="14" fillId="38" borderId="53" applyAlignment="1" pivotButton="0" quotePrefix="0" xfId="0">
      <alignment horizontal="right"/>
    </xf>
    <xf numFmtId="165" fontId="14" fillId="0" borderId="12" applyAlignment="1" pivotButton="0" quotePrefix="0" xfId="1">
      <alignment horizontal="right"/>
    </xf>
    <xf numFmtId="165" fontId="14" fillId="0" borderId="88" applyAlignment="1" pivotButton="0" quotePrefix="0" xfId="1">
      <alignment horizontal="right"/>
    </xf>
    <xf numFmtId="39" fontId="14" fillId="0" borderId="20" pivotButton="0" quotePrefix="0" xfId="0"/>
    <xf numFmtId="37" fontId="3" fillId="0" borderId="4" applyAlignment="1" pivotButton="0" quotePrefix="0" xfId="0">
      <alignment horizontal="left"/>
    </xf>
    <xf numFmtId="37" fontId="0" fillId="0" borderId="4" pivotButton="0" quotePrefix="0" xfId="0"/>
    <xf numFmtId="37" fontId="120" fillId="0" borderId="4" applyAlignment="1" pivotButton="0" quotePrefix="0" xfId="0">
      <alignment horizontal="center"/>
    </xf>
    <xf numFmtId="37" fontId="120" fillId="0" borderId="4" applyAlignment="1" pivotButton="0" quotePrefix="0" xfId="0">
      <alignment horizontal="left"/>
    </xf>
    <xf numFmtId="37" fontId="120" fillId="0" borderId="4" applyAlignment="1" pivotButton="0" quotePrefix="1" xfId="0">
      <alignment horizontal="center"/>
    </xf>
    <xf numFmtId="0" fontId="120" fillId="0" borderId="4" applyAlignment="1" pivotButton="0" quotePrefix="1" xfId="0">
      <alignment horizontal="center"/>
    </xf>
    <xf numFmtId="37" fontId="2" fillId="0" borderId="4" applyAlignment="1" pivotButton="0" quotePrefix="1" xfId="0">
      <alignment horizontal="center"/>
    </xf>
    <xf numFmtId="37" fontId="119" fillId="0" borderId="4" applyAlignment="1" pivotButton="0" quotePrefix="0" xfId="0">
      <alignment horizontal="center"/>
    </xf>
    <xf numFmtId="200" fontId="25" fillId="0" borderId="20" applyAlignment="1" pivotButton="0" quotePrefix="0" xfId="1">
      <alignment horizontal="right"/>
    </xf>
    <xf numFmtId="0" fontId="45" fillId="0" borderId="27" applyAlignment="1" pivotButton="0" quotePrefix="0" xfId="0">
      <alignment horizontal="center"/>
    </xf>
    <xf numFmtId="0" fontId="45" fillId="0" borderId="22" applyAlignment="1" pivotButton="0" quotePrefix="0" xfId="0">
      <alignment horizontal="center"/>
    </xf>
    <xf numFmtId="0" fontId="45" fillId="0" borderId="28" applyAlignment="1" pivotButton="0" quotePrefix="0" xfId="0">
      <alignment horizontal="center"/>
    </xf>
    <xf numFmtId="37" fontId="9" fillId="0" borderId="3" applyAlignment="1" pivotButton="0" quotePrefix="0" xfId="0">
      <alignment horizontal="center"/>
    </xf>
    <xf numFmtId="4" fontId="29" fillId="0" borderId="0" pivotButton="0" quotePrefix="0" xfId="0"/>
    <xf numFmtId="43" fontId="28" fillId="0" borderId="0" pivotButton="0" quotePrefix="0" xfId="0"/>
    <xf numFmtId="4" fontId="142" fillId="0" borderId="0" pivotButton="0" quotePrefix="0" xfId="0"/>
    <xf numFmtId="0" fontId="28" fillId="0" borderId="0" pivotButton="0" quotePrefix="0" xfId="0"/>
    <xf numFmtId="166" fontId="18" fillId="0" borderId="0" applyAlignment="1" pivotButton="0" quotePrefix="0" xfId="0">
      <alignment horizontal="left" indent="2"/>
    </xf>
    <xf numFmtId="39" fontId="25" fillId="0" borderId="2" pivotButton="0" quotePrefix="0" xfId="0"/>
    <xf numFmtId="43" fontId="29" fillId="0" borderId="0" pivotButton="0" quotePrefix="0" xfId="0"/>
    <xf numFmtId="43" fontId="29" fillId="0" borderId="26" pivotButton="0" quotePrefix="0" xfId="0"/>
    <xf numFmtId="166" fontId="29" fillId="0" borderId="26" pivotButton="0" quotePrefix="0" xfId="1"/>
    <xf numFmtId="37" fontId="0" fillId="0" borderId="2" applyAlignment="1" pivotButton="0" quotePrefix="0" xfId="0">
      <alignment horizontal="right"/>
    </xf>
    <xf numFmtId="37" fontId="0" fillId="0" borderId="3" applyAlignment="1" pivotButton="0" quotePrefix="0" xfId="0">
      <alignment horizontal="right"/>
    </xf>
    <xf numFmtId="37" fontId="0" fillId="0" borderId="4" applyAlignment="1" pivotButton="0" quotePrefix="0" xfId="0">
      <alignment horizontal="center"/>
    </xf>
    <xf numFmtId="37" fontId="2" fillId="0" borderId="4" applyAlignment="1" pivotButton="0" quotePrefix="0" xfId="0">
      <alignment horizontal="left" vertical="center" wrapText="1"/>
    </xf>
    <xf numFmtId="37" fontId="115" fillId="0" borderId="0" applyAlignment="1" pivotButton="0" quotePrefix="0" xfId="0">
      <alignment vertical="top" wrapText="1"/>
    </xf>
    <xf numFmtId="0" fontId="14" fillId="0" borderId="0" pivotButton="0" quotePrefix="0" xfId="0"/>
    <xf numFmtId="37" fontId="9" fillId="0" borderId="4" applyAlignment="1" pivotButton="0" quotePrefix="0" xfId="0">
      <alignment horizontal="center" wrapText="1"/>
    </xf>
    <xf numFmtId="37" fontId="5" fillId="0" borderId="0" applyAlignment="1" pivotButton="0" quotePrefix="0" xfId="0">
      <alignment horizontal="center"/>
    </xf>
    <xf numFmtId="37" fontId="5" fillId="0" borderId="9" applyAlignment="1" pivotButton="0" quotePrefix="0" xfId="0">
      <alignment horizontal="center" wrapText="1"/>
    </xf>
    <xf numFmtId="37" fontId="5" fillId="0" borderId="5" applyAlignment="1" pivotButton="0" quotePrefix="0" xfId="0">
      <alignment horizontal="center" wrapText="1"/>
    </xf>
    <xf numFmtId="37" fontId="5" fillId="0" borderId="4" applyAlignment="1" pivotButton="0" quotePrefix="0" xfId="0">
      <alignment horizontal="center" vertical="center"/>
    </xf>
    <xf numFmtId="37" fontId="6" fillId="0" borderId="0" applyAlignment="1" pivotButton="0" quotePrefix="0" xfId="0">
      <alignment horizontal="center"/>
    </xf>
    <xf numFmtId="37" fontId="6" fillId="0" borderId="2" applyAlignment="1" pivotButton="0" quotePrefix="0" xfId="0">
      <alignment horizontal="center"/>
    </xf>
    <xf numFmtId="37" fontId="5" fillId="0" borderId="9" applyAlignment="1" pivotButton="0" quotePrefix="0" xfId="0">
      <alignment horizontal="center" vertical="center"/>
    </xf>
    <xf numFmtId="37" fontId="5" fillId="0" borderId="5" applyAlignment="1" pivotButton="0" quotePrefix="0" xfId="0">
      <alignment horizontal="center" vertical="center"/>
    </xf>
    <xf numFmtId="37" fontId="9" fillId="0" borderId="4" applyAlignment="1" pivotButton="0" quotePrefix="0" xfId="0">
      <alignment horizontal="center"/>
    </xf>
    <xf numFmtId="37" fontId="9" fillId="0" borderId="4" applyAlignment="1" pivotButton="0" quotePrefix="0" xfId="0">
      <alignment horizontal="right"/>
    </xf>
    <xf numFmtId="37" fontId="3" fillId="0" borderId="4" applyAlignment="1" pivotButton="0" quotePrefix="0" xfId="0">
      <alignment horizontal="left"/>
    </xf>
    <xf numFmtId="37" fontId="6" fillId="0" borderId="4" applyAlignment="1" pivotButton="0" quotePrefix="0" xfId="0">
      <alignment horizontal="right"/>
    </xf>
    <xf numFmtId="37" fontId="5" fillId="0" borderId="10" applyAlignment="1" pivotButton="0" quotePrefix="0" xfId="0">
      <alignment horizontal="center" vertical="center" wrapText="1"/>
    </xf>
    <xf numFmtId="37" fontId="5" fillId="0" borderId="3" applyAlignment="1" pivotButton="0" quotePrefix="0" xfId="0">
      <alignment horizontal="center" vertical="center" wrapText="1"/>
    </xf>
    <xf numFmtId="37" fontId="5" fillId="0" borderId="13" applyAlignment="1" pivotButton="0" quotePrefix="0" xfId="0">
      <alignment horizontal="center" vertical="center" wrapText="1"/>
    </xf>
    <xf numFmtId="37" fontId="5" fillId="0" borderId="11" applyAlignment="1" pivotButton="0" quotePrefix="0" xfId="0">
      <alignment horizontal="center" vertical="center" wrapText="1"/>
    </xf>
    <xf numFmtId="37" fontId="5" fillId="0" borderId="2" applyAlignment="1" pivotButton="0" quotePrefix="0" xfId="0">
      <alignment horizontal="center" vertical="center" wrapText="1"/>
    </xf>
    <xf numFmtId="37" fontId="5" fillId="0" borderId="14" applyAlignment="1" pivotButton="0" quotePrefix="0" xfId="0">
      <alignment horizontal="center" vertical="center" wrapText="1"/>
    </xf>
    <xf numFmtId="37" fontId="0" fillId="0" borderId="4" pivotButton="0" quotePrefix="0" xfId="0"/>
    <xf numFmtId="37" fontId="0" fillId="0" borderId="12" pivotButton="0" quotePrefix="0" xfId="0"/>
    <xf numFmtId="37" fontId="0" fillId="0" borderId="1" pivotButton="0" quotePrefix="0" xfId="0"/>
    <xf numFmtId="37" fontId="0" fillId="0" borderId="15" pivotButton="0" quotePrefix="0" xfId="0"/>
    <xf numFmtId="37" fontId="9" fillId="0" borderId="12" applyAlignment="1" pivotButton="0" quotePrefix="0" xfId="0">
      <alignment horizontal="center"/>
    </xf>
    <xf numFmtId="37" fontId="9" fillId="0" borderId="1" applyAlignment="1" pivotButton="0" quotePrefix="0" xfId="0">
      <alignment horizontal="center"/>
    </xf>
    <xf numFmtId="37" fontId="9" fillId="0" borderId="15" applyAlignment="1" pivotButton="0" quotePrefix="0" xfId="0">
      <alignment horizontal="center"/>
    </xf>
    <xf numFmtId="37" fontId="9" fillId="0" borderId="4" applyAlignment="1" pivotButton="0" quotePrefix="0" xfId="0">
      <alignment horizontal="center" vertical="center" wrapText="1"/>
    </xf>
    <xf numFmtId="37" fontId="28" fillId="0" borderId="41" applyAlignment="1" pivotButton="0" quotePrefix="0" xfId="0">
      <alignment horizontal="center" wrapText="1"/>
    </xf>
    <xf numFmtId="37" fontId="28" fillId="0" borderId="30" applyAlignment="1" pivotButton="0" quotePrefix="0" xfId="0">
      <alignment horizontal="center" wrapText="1"/>
    </xf>
    <xf numFmtId="37" fontId="28" fillId="0" borderId="50" applyAlignment="1" pivotButton="0" quotePrefix="0" xfId="0">
      <alignment horizontal="center" wrapText="1"/>
    </xf>
    <xf numFmtId="37" fontId="28" fillId="0" borderId="25" applyAlignment="1" pivotButton="0" quotePrefix="0" xfId="0">
      <alignment horizontal="center" wrapText="1"/>
    </xf>
    <xf numFmtId="37" fontId="28" fillId="0" borderId="23" applyAlignment="1" pivotButton="0" quotePrefix="0" xfId="0">
      <alignment horizontal="center" wrapText="1"/>
    </xf>
    <xf numFmtId="37" fontId="28" fillId="0" borderId="43" applyAlignment="1" pivotButton="0" quotePrefix="0" xfId="0">
      <alignment horizontal="center" wrapText="1"/>
    </xf>
    <xf numFmtId="37" fontId="3" fillId="0" borderId="12" applyAlignment="1" pivotButton="0" quotePrefix="0" xfId="0">
      <alignment horizontal="left"/>
    </xf>
    <xf numFmtId="37" fontId="3" fillId="0" borderId="1" applyAlignment="1" pivotButton="0" quotePrefix="0" xfId="0">
      <alignment horizontal="left"/>
    </xf>
    <xf numFmtId="37" fontId="3" fillId="0" borderId="15" applyAlignment="1" pivotButton="0" quotePrefix="0" xfId="0">
      <alignment horizontal="left"/>
    </xf>
    <xf numFmtId="37" fontId="5" fillId="0" borderId="10" applyAlignment="1" pivotButton="0" quotePrefix="0" xfId="0">
      <alignment horizontal="center" vertical="center"/>
    </xf>
    <xf numFmtId="37" fontId="5" fillId="0" borderId="3" applyAlignment="1" pivotButton="0" quotePrefix="0" xfId="0">
      <alignment horizontal="center" vertical="center"/>
    </xf>
    <xf numFmtId="37" fontId="5" fillId="0" borderId="13" applyAlignment="1" pivotButton="0" quotePrefix="0" xfId="0">
      <alignment horizontal="center" vertical="center"/>
    </xf>
    <xf numFmtId="37" fontId="5" fillId="0" borderId="11" applyAlignment="1" pivotButton="0" quotePrefix="0" xfId="0">
      <alignment horizontal="center" vertical="center"/>
    </xf>
    <xf numFmtId="37" fontId="5" fillId="0" borderId="2" applyAlignment="1" pivotButton="0" quotePrefix="0" xfId="0">
      <alignment horizontal="center" vertical="center"/>
    </xf>
    <xf numFmtId="37" fontId="5" fillId="0" borderId="14" applyAlignment="1" pivotButton="0" quotePrefix="0" xfId="0">
      <alignment horizontal="center" vertical="center"/>
    </xf>
    <xf numFmtId="37" fontId="6" fillId="0" borderId="12" applyAlignment="1" pivotButton="0" quotePrefix="0" xfId="0">
      <alignment horizontal="right"/>
    </xf>
    <xf numFmtId="37" fontId="6" fillId="0" borderId="1" applyAlignment="1" pivotButton="0" quotePrefix="0" xfId="0">
      <alignment horizontal="right"/>
    </xf>
    <xf numFmtId="37" fontId="6" fillId="0" borderId="15" applyAlignment="1" pivotButton="0" quotePrefix="0" xfId="0">
      <alignment horizontal="right"/>
    </xf>
    <xf numFmtId="37" fontId="5" fillId="0" borderId="9" applyAlignment="1" pivotButton="0" quotePrefix="0" xfId="0">
      <alignment horizontal="center" vertical="center" wrapText="1"/>
    </xf>
    <xf numFmtId="37" fontId="5" fillId="0" borderId="5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left" vertical="top"/>
    </xf>
    <xf numFmtId="4" fontId="68" fillId="0" borderId="0" applyAlignment="1" pivotButton="0" quotePrefix="0" xfId="0">
      <alignment horizontal="right" vertical="top" wrapText="1"/>
    </xf>
    <xf numFmtId="0" fontId="68" fillId="0" borderId="0" applyAlignment="1" pivotButton="0" quotePrefix="0" xfId="0">
      <alignment horizontal="left" vertical="top"/>
    </xf>
    <xf numFmtId="0" fontId="68" fillId="0" borderId="0" applyAlignment="1" pivotButton="0" quotePrefix="0" xfId="0">
      <alignment horizontal="right" vertical="top" wrapText="1"/>
    </xf>
    <xf numFmtId="39" fontId="9" fillId="0" borderId="4" applyAlignment="1" pivotButton="0" quotePrefix="0" xfId="0">
      <alignment horizontal="center" wrapText="1"/>
    </xf>
    <xf numFmtId="37" fontId="17" fillId="0" borderId="0" applyAlignment="1" pivotButton="0" quotePrefix="0" xfId="0">
      <alignment horizontal="center"/>
    </xf>
    <xf numFmtId="39" fontId="71" fillId="0" borderId="21" applyAlignment="1" pivotButton="0" quotePrefix="0" xfId="0">
      <alignment horizontal="center"/>
    </xf>
    <xf numFmtId="39" fontId="71" fillId="0" borderId="0" applyAlignment="1" pivotButton="0" quotePrefix="0" xfId="0">
      <alignment horizontal="center"/>
    </xf>
    <xf numFmtId="37" fontId="30" fillId="0" borderId="41" applyAlignment="1" pivotButton="0" quotePrefix="0" xfId="0">
      <alignment horizontal="center" wrapText="1"/>
    </xf>
    <xf numFmtId="37" fontId="30" fillId="0" borderId="30" applyAlignment="1" pivotButton="0" quotePrefix="0" xfId="0">
      <alignment horizontal="center" wrapText="1"/>
    </xf>
    <xf numFmtId="37" fontId="30" fillId="0" borderId="50" applyAlignment="1" pivotButton="0" quotePrefix="0" xfId="0">
      <alignment horizontal="center" wrapText="1"/>
    </xf>
    <xf numFmtId="37" fontId="30" fillId="0" borderId="25" applyAlignment="1" pivotButton="0" quotePrefix="0" xfId="0">
      <alignment horizontal="center" wrapText="1"/>
    </xf>
    <xf numFmtId="37" fontId="30" fillId="0" borderId="23" applyAlignment="1" pivotButton="0" quotePrefix="0" xfId="0">
      <alignment horizontal="center" wrapText="1"/>
    </xf>
    <xf numFmtId="37" fontId="30" fillId="0" borderId="43" applyAlignment="1" pivotButton="0" quotePrefix="0" xfId="0">
      <alignment horizontal="center" wrapText="1"/>
    </xf>
    <xf numFmtId="0" fontId="68" fillId="0" borderId="0" applyAlignment="1" pivotButton="0" quotePrefix="0" xfId="0">
      <alignment horizontal="left" vertical="top" wrapText="1"/>
    </xf>
    <xf numFmtId="4" fontId="68" fillId="0" borderId="0" applyAlignment="1" pivotButton="0" quotePrefix="0" xfId="0">
      <alignment horizontal="right" vertical="top"/>
    </xf>
    <xf numFmtId="37" fontId="9" fillId="0" borderId="2" applyAlignment="1" pivotButton="0" quotePrefix="0" xfId="0">
      <alignment horizontal="left"/>
    </xf>
    <xf numFmtId="37" fontId="9" fillId="0" borderId="27" applyAlignment="1" pivotButton="0" quotePrefix="0" xfId="0">
      <alignment horizontal="center"/>
    </xf>
    <xf numFmtId="37" fontId="9" fillId="0" borderId="22" applyAlignment="1" pivotButton="0" quotePrefix="0" xfId="0">
      <alignment horizontal="center"/>
    </xf>
    <xf numFmtId="37" fontId="9" fillId="0" borderId="28" applyAlignment="1" pivotButton="0" quotePrefix="0" xfId="0">
      <alignment horizontal="center"/>
    </xf>
    <xf numFmtId="37" fontId="0" fillId="0" borderId="21" applyAlignment="1" pivotButton="0" quotePrefix="0" xfId="0">
      <alignment horizontal="center" wrapText="1"/>
    </xf>
    <xf numFmtId="37" fontId="0" fillId="0" borderId="0" applyAlignment="1" pivotButton="0" quotePrefix="0" xfId="0">
      <alignment horizontal="center" wrapText="1"/>
    </xf>
    <xf numFmtId="37" fontId="29" fillId="0" borderId="4" applyAlignment="1" pivotButton="0" quotePrefix="0" xfId="0">
      <alignment horizontal="center" wrapText="1"/>
    </xf>
    <xf numFmtId="39" fontId="29" fillId="0" borderId="4" applyAlignment="1" pivotButton="0" quotePrefix="0" xfId="0">
      <alignment horizontal="center" wrapText="1"/>
    </xf>
    <xf numFmtId="37" fontId="8" fillId="0" borderId="9" applyAlignment="1" pivotButton="0" quotePrefix="0" xfId="0">
      <alignment horizontal="center" wrapText="1"/>
    </xf>
    <xf numFmtId="37" fontId="8" fillId="0" borderId="5" applyAlignment="1" pivotButton="0" quotePrefix="0" xfId="0">
      <alignment horizontal="center" wrapText="1"/>
    </xf>
    <xf numFmtId="37" fontId="8" fillId="0" borderId="10" applyAlignment="1" pivotButton="0" quotePrefix="0" xfId="0">
      <alignment horizontal="center" vertical="center"/>
    </xf>
    <xf numFmtId="37" fontId="8" fillId="0" borderId="3" applyAlignment="1" pivotButton="0" quotePrefix="0" xfId="0">
      <alignment horizontal="center" vertical="center"/>
    </xf>
    <xf numFmtId="37" fontId="8" fillId="0" borderId="13" applyAlignment="1" pivotButton="0" quotePrefix="0" xfId="0">
      <alignment horizontal="center" vertical="center"/>
    </xf>
    <xf numFmtId="37" fontId="8" fillId="0" borderId="11" applyAlignment="1" pivotButton="0" quotePrefix="0" xfId="0">
      <alignment horizontal="center" vertical="center"/>
    </xf>
    <xf numFmtId="37" fontId="8" fillId="0" borderId="2" applyAlignment="1" pivotButton="0" quotePrefix="0" xfId="0">
      <alignment horizontal="center" vertical="center"/>
    </xf>
    <xf numFmtId="37" fontId="8" fillId="0" borderId="14" applyAlignment="1" pivotButton="0" quotePrefix="0" xfId="0">
      <alignment horizontal="center" vertical="center"/>
    </xf>
    <xf numFmtId="37" fontId="8" fillId="0" borderId="4" applyAlignment="1" pivotButton="0" quotePrefix="0" xfId="0">
      <alignment horizontal="center" vertical="center"/>
    </xf>
    <xf numFmtId="37" fontId="8" fillId="0" borderId="9" applyAlignment="1" pivotButton="0" quotePrefix="0" xfId="0">
      <alignment horizontal="center" vertical="center"/>
    </xf>
    <xf numFmtId="37" fontId="8" fillId="0" borderId="5" applyAlignment="1" pivotButton="0" quotePrefix="0" xfId="0">
      <alignment horizontal="center" vertical="center"/>
    </xf>
    <xf numFmtId="37" fontId="120" fillId="0" borderId="12" applyAlignment="1" pivotButton="0" quotePrefix="0" xfId="0">
      <alignment horizontal="left"/>
    </xf>
    <xf numFmtId="37" fontId="120" fillId="0" borderId="1" applyAlignment="1" pivotButton="0" quotePrefix="0" xfId="0">
      <alignment horizontal="left"/>
    </xf>
    <xf numFmtId="37" fontId="120" fillId="0" borderId="15" applyAlignment="1" pivotButton="0" quotePrefix="0" xfId="0">
      <alignment horizontal="left"/>
    </xf>
    <xf numFmtId="37" fontId="119" fillId="0" borderId="12" applyAlignment="1" pivotButton="0" quotePrefix="0" xfId="0">
      <alignment horizontal="right"/>
    </xf>
    <xf numFmtId="37" fontId="119" fillId="0" borderId="1" applyAlignment="1" pivotButton="0" quotePrefix="0" xfId="0">
      <alignment horizontal="right"/>
    </xf>
    <xf numFmtId="37" fontId="119" fillId="0" borderId="15" applyAlignment="1" pivotButton="0" quotePrefix="0" xfId="0">
      <alignment horizontal="right"/>
    </xf>
    <xf numFmtId="37" fontId="8" fillId="0" borderId="10" applyAlignment="1" pivotButton="0" quotePrefix="0" xfId="0">
      <alignment horizontal="center" vertical="center" wrapText="1"/>
    </xf>
    <xf numFmtId="37" fontId="8" fillId="0" borderId="3" applyAlignment="1" pivotButton="0" quotePrefix="0" xfId="0">
      <alignment horizontal="center" vertical="center" wrapText="1"/>
    </xf>
    <xf numFmtId="37" fontId="8" fillId="0" borderId="13" applyAlignment="1" pivotButton="0" quotePrefix="0" xfId="0">
      <alignment horizontal="center" vertical="center" wrapText="1"/>
    </xf>
    <xf numFmtId="37" fontId="8" fillId="0" borderId="11" applyAlignment="1" pivotButton="0" quotePrefix="0" xfId="0">
      <alignment horizontal="center" vertical="center" wrapText="1"/>
    </xf>
    <xf numFmtId="37" fontId="8" fillId="0" borderId="2" applyAlignment="1" pivotButton="0" quotePrefix="0" xfId="0">
      <alignment horizontal="center" vertical="center" wrapText="1"/>
    </xf>
    <xf numFmtId="37" fontId="8" fillId="0" borderId="14" applyAlignment="1" pivotButton="0" quotePrefix="0" xfId="0">
      <alignment horizontal="center" vertical="center" wrapText="1"/>
    </xf>
    <xf numFmtId="37" fontId="120" fillId="0" borderId="4" applyAlignment="1" pivotButton="0" quotePrefix="0" xfId="0">
      <alignment horizontal="left"/>
    </xf>
    <xf numFmtId="37" fontId="9" fillId="0" borderId="9" applyAlignment="1" pivotButton="0" quotePrefix="0" xfId="0">
      <alignment horizontal="center" wrapText="1"/>
    </xf>
    <xf numFmtId="37" fontId="9" fillId="0" borderId="5" applyAlignment="1" pivotButton="0" quotePrefix="0" xfId="0">
      <alignment horizontal="center" wrapText="1"/>
    </xf>
    <xf numFmtId="39" fontId="9" fillId="0" borderId="9" applyAlignment="1" pivotButton="0" quotePrefix="0" xfId="0">
      <alignment horizontal="center" wrapText="1"/>
    </xf>
    <xf numFmtId="39" fontId="9" fillId="0" borderId="5" applyAlignment="1" pivotButton="0" quotePrefix="0" xfId="0">
      <alignment horizontal="center" wrapText="1"/>
    </xf>
    <xf numFmtId="37" fontId="30" fillId="0" borderId="76" applyAlignment="1" pivotButton="0" quotePrefix="0" xfId="0">
      <alignment horizontal="center" vertical="top" wrapText="1"/>
    </xf>
    <xf numFmtId="37" fontId="30" fillId="0" borderId="67" applyAlignment="1" pivotButton="0" quotePrefix="0" xfId="0">
      <alignment horizontal="center" vertical="top" wrapText="1"/>
    </xf>
    <xf numFmtId="37" fontId="30" fillId="0" borderId="72" applyAlignment="1" pivotButton="0" quotePrefix="0" xfId="0">
      <alignment horizontal="center" vertical="top" wrapText="1"/>
    </xf>
    <xf numFmtId="37" fontId="30" fillId="0" borderId="52" applyAlignment="1" pivotButton="0" quotePrefix="0" xfId="0">
      <alignment horizontal="center" vertical="top" wrapText="1"/>
    </xf>
    <xf numFmtId="37" fontId="30" fillId="0" borderId="16" applyAlignment="1" pivotButton="0" quotePrefix="0" xfId="0">
      <alignment horizontal="center" vertical="top" wrapText="1"/>
    </xf>
    <xf numFmtId="37" fontId="30" fillId="0" borderId="53" applyAlignment="1" pivotButton="0" quotePrefix="0" xfId="0">
      <alignment horizontal="center" vertical="top" wrapText="1"/>
    </xf>
    <xf numFmtId="37" fontId="26" fillId="0" borderId="12" applyAlignment="1" pivotButton="0" quotePrefix="0" xfId="0">
      <alignment horizontal="center"/>
    </xf>
    <xf numFmtId="37" fontId="26" fillId="0" borderId="1" applyAlignment="1" pivotButton="0" quotePrefix="0" xfId="0">
      <alignment horizontal="center"/>
    </xf>
    <xf numFmtId="37" fontId="26" fillId="0" borderId="15" applyAlignment="1" pivotButton="0" quotePrefix="0" xfId="0">
      <alignment horizontal="center"/>
    </xf>
    <xf numFmtId="39" fontId="0" fillId="0" borderId="9" applyAlignment="1" pivotButton="0" quotePrefix="0" xfId="0">
      <alignment horizontal="center" vertical="top" wrapText="1"/>
    </xf>
    <xf numFmtId="39" fontId="0" fillId="0" borderId="5" applyAlignment="1" pivotButton="0" quotePrefix="0" xfId="0">
      <alignment horizontal="center" vertical="top" wrapText="1"/>
    </xf>
    <xf numFmtId="37" fontId="0" fillId="0" borderId="9" applyAlignment="1" pivotButton="0" quotePrefix="0" xfId="0">
      <alignment horizontal="center" vertical="top" wrapText="1"/>
    </xf>
    <xf numFmtId="37" fontId="0" fillId="0" borderId="5" applyAlignment="1" pivotButton="0" quotePrefix="0" xfId="0">
      <alignment horizontal="center" vertical="top" wrapText="1"/>
    </xf>
    <xf numFmtId="37" fontId="28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left" wrapText="1"/>
    </xf>
    <xf numFmtId="37" fontId="9" fillId="0" borderId="0" applyAlignment="1" pivotButton="0" quotePrefix="0" xfId="0">
      <alignment horizontal="center"/>
    </xf>
    <xf numFmtId="37" fontId="28" fillId="0" borderId="0" applyAlignment="1" pivotButton="0" quotePrefix="0" xfId="0">
      <alignment horizontal="center" vertical="center" wrapText="1"/>
    </xf>
    <xf numFmtId="37" fontId="30" fillId="0" borderId="41" applyAlignment="1" pivotButton="0" quotePrefix="0" xfId="0">
      <alignment horizontal="center" vertical="center" wrapText="1"/>
    </xf>
    <xf numFmtId="37" fontId="30" fillId="0" borderId="30" applyAlignment="1" pivotButton="0" quotePrefix="0" xfId="0">
      <alignment horizontal="center" vertical="center" wrapText="1"/>
    </xf>
    <xf numFmtId="37" fontId="30" fillId="0" borderId="50" applyAlignment="1" pivotButton="0" quotePrefix="0" xfId="0">
      <alignment horizontal="center" vertical="center" wrapText="1"/>
    </xf>
    <xf numFmtId="37" fontId="30" fillId="0" borderId="25" applyAlignment="1" pivotButton="0" quotePrefix="0" xfId="0">
      <alignment horizontal="center" vertical="center" wrapText="1"/>
    </xf>
    <xf numFmtId="37" fontId="30" fillId="0" borderId="23" applyAlignment="1" pivotButton="0" quotePrefix="0" xfId="0">
      <alignment horizontal="center" vertical="center" wrapText="1"/>
    </xf>
    <xf numFmtId="37" fontId="30" fillId="0" borderId="43" applyAlignment="1" pivotButton="0" quotePrefix="0" xfId="0">
      <alignment horizontal="center" vertical="center" wrapText="1"/>
    </xf>
    <xf numFmtId="37" fontId="9" fillId="0" borderId="3" applyAlignment="1" pivotButton="0" quotePrefix="0" xfId="0">
      <alignment horizontal="center"/>
    </xf>
    <xf numFmtId="39" fontId="9" fillId="0" borderId="4" applyAlignment="1" pivotButton="0" quotePrefix="0" xfId="0">
      <alignment horizontal="center" vertical="center" wrapText="1"/>
    </xf>
    <xf numFmtId="37" fontId="7" fillId="0" borderId="12" applyAlignment="1" pivotButton="0" quotePrefix="0" xfId="0">
      <alignment horizontal="left"/>
    </xf>
    <xf numFmtId="37" fontId="7" fillId="0" borderId="1" applyAlignment="1" pivotButton="0" quotePrefix="0" xfId="0">
      <alignment horizontal="left"/>
    </xf>
    <xf numFmtId="37" fontId="7" fillId="0" borderId="15" applyAlignment="1" pivotButton="0" quotePrefix="0" xfId="0">
      <alignment horizontal="left"/>
    </xf>
    <xf numFmtId="37" fontId="5" fillId="0" borderId="9" applyAlignment="1" pivotButton="0" quotePrefix="0" xfId="0">
      <alignment vertical="center"/>
    </xf>
    <xf numFmtId="37" fontId="5" fillId="0" borderId="5" applyAlignment="1" pivotButton="0" quotePrefix="0" xfId="0">
      <alignment vertical="center"/>
    </xf>
    <xf numFmtId="37" fontId="8" fillId="0" borderId="9" applyAlignment="1" pivotButton="0" quotePrefix="0" xfId="0">
      <alignment vertical="center"/>
    </xf>
    <xf numFmtId="37" fontId="8" fillId="0" borderId="5" applyAlignment="1" pivotButton="0" quotePrefix="0" xfId="0">
      <alignment vertical="center"/>
    </xf>
    <xf numFmtId="164" fontId="5" fillId="0" borderId="9" applyAlignment="1" pivotButton="0" quotePrefix="0" xfId="1">
      <alignment horizontal="center" vertical="center"/>
    </xf>
    <xf numFmtId="164" fontId="5" fillId="0" borderId="5" applyAlignment="1" pivotButton="0" quotePrefix="0" xfId="1">
      <alignment horizontal="center" vertical="center"/>
    </xf>
    <xf numFmtId="37" fontId="30" fillId="0" borderId="4" applyAlignment="1" pivotButton="0" quotePrefix="0" xfId="0">
      <alignment horizontal="left" vertical="center" wrapText="1"/>
    </xf>
    <xf numFmtId="37" fontId="5" fillId="0" borderId="4" applyAlignment="1" pivotButton="0" quotePrefix="0" xfId="0">
      <alignment horizontal="center" wrapText="1"/>
    </xf>
    <xf numFmtId="37" fontId="5" fillId="0" borderId="4" applyAlignment="1" pivotButton="0" quotePrefix="0" xfId="0">
      <alignment horizontal="left" wrapText="1"/>
    </xf>
    <xf numFmtId="37" fontId="9" fillId="0" borderId="25" applyAlignment="1" pivotButton="0" quotePrefix="0" xfId="0">
      <alignment horizontal="center"/>
    </xf>
    <xf numFmtId="37" fontId="9" fillId="0" borderId="43" applyAlignment="1" pivotButton="0" quotePrefix="0" xfId="0">
      <alignment horizontal="center"/>
    </xf>
    <xf numFmtId="37" fontId="5" fillId="0" borderId="10" applyAlignment="1" pivotButton="0" quotePrefix="0" xfId="0">
      <alignment horizontal="center" wrapText="1"/>
    </xf>
    <xf numFmtId="37" fontId="5" fillId="0" borderId="11" applyAlignment="1" pivotButton="0" quotePrefix="0" xfId="0">
      <alignment horizontal="center" wrapText="1"/>
    </xf>
    <xf numFmtId="37" fontId="3" fillId="0" borderId="14" applyAlignment="1" pivotButton="0" quotePrefix="0" xfId="0">
      <alignment horizontal="left"/>
    </xf>
    <xf numFmtId="164" fontId="13" fillId="0" borderId="0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/>
    </xf>
    <xf numFmtId="37" fontId="117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/>
    </xf>
    <xf numFmtId="37" fontId="19" fillId="0" borderId="0" applyAlignment="1" pivotButton="0" quotePrefix="0" xfId="0">
      <alignment horizontal="left"/>
    </xf>
    <xf numFmtId="37" fontId="116" fillId="0" borderId="0" applyAlignment="1" pivotButton="0" quotePrefix="0" xfId="0">
      <alignment horizontal="left"/>
    </xf>
    <xf numFmtId="37" fontId="9" fillId="0" borderId="2" applyAlignment="1" pivotButton="0" quotePrefix="0" xfId="0">
      <alignment horizontal="center"/>
    </xf>
    <xf numFmtId="37" fontId="34" fillId="0" borderId="4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28" fillId="0" borderId="15" applyAlignment="1" pivotButton="0" quotePrefix="0" xfId="0">
      <alignment horizontal="left"/>
    </xf>
    <xf numFmtId="37" fontId="105" fillId="0" borderId="41" applyAlignment="1" pivotButton="0" quotePrefix="0" xfId="0">
      <alignment horizontal="center" vertical="center"/>
    </xf>
    <xf numFmtId="37" fontId="105" fillId="0" borderId="30" applyAlignment="1" pivotButton="0" quotePrefix="0" xfId="0">
      <alignment horizontal="center" vertical="center"/>
    </xf>
    <xf numFmtId="37" fontId="105" fillId="0" borderId="50" applyAlignment="1" pivotButton="0" quotePrefix="0" xfId="0">
      <alignment horizontal="center" vertical="center"/>
    </xf>
    <xf numFmtId="37" fontId="63" fillId="0" borderId="31" applyAlignment="1" pivotButton="0" quotePrefix="0" xfId="0">
      <alignment horizontal="left"/>
    </xf>
    <xf numFmtId="37" fontId="63" fillId="0" borderId="4" applyAlignment="1" pivotButton="0" quotePrefix="0" xfId="0">
      <alignment horizontal="left"/>
    </xf>
    <xf numFmtId="37" fontId="25" fillId="0" borderId="0" applyAlignment="1" pivotButton="0" quotePrefix="0" xfId="0">
      <alignment horizontal="center"/>
    </xf>
    <xf numFmtId="37" fontId="43" fillId="0" borderId="52" applyAlignment="1" pivotButton="0" quotePrefix="0" xfId="0">
      <alignment horizontal="right"/>
    </xf>
    <xf numFmtId="37" fontId="43" fillId="0" borderId="16" applyAlignment="1" pivotButton="0" quotePrefix="0" xfId="0">
      <alignment horizontal="right"/>
    </xf>
    <xf numFmtId="14" fontId="45" fillId="0" borderId="73" applyAlignment="1" pivotButton="0" quotePrefix="0" xfId="0">
      <alignment horizontal="center"/>
    </xf>
    <xf numFmtId="14" fontId="45" fillId="0" borderId="58" applyAlignment="1" pivotButton="0" quotePrefix="0" xfId="0">
      <alignment horizontal="center"/>
    </xf>
    <xf numFmtId="14" fontId="45" fillId="0" borderId="74" applyAlignment="1" pivotButton="0" quotePrefix="0" xfId="0">
      <alignment horizontal="center"/>
    </xf>
    <xf numFmtId="37" fontId="32" fillId="0" borderId="27" applyAlignment="1" pivotButton="0" quotePrefix="0" xfId="0">
      <alignment horizontal="center"/>
    </xf>
    <xf numFmtId="37" fontId="32" fillId="0" borderId="22" applyAlignment="1" pivotButton="0" quotePrefix="0" xfId="0">
      <alignment horizontal="center"/>
    </xf>
    <xf numFmtId="37" fontId="32" fillId="0" borderId="28" applyAlignment="1" pivotButton="0" quotePrefix="0" xfId="0">
      <alignment horizontal="center"/>
    </xf>
    <xf numFmtId="37" fontId="43" fillId="0" borderId="31" applyAlignment="1" pivotButton="0" quotePrefix="0" xfId="0">
      <alignment horizontal="right"/>
    </xf>
    <xf numFmtId="37" fontId="43" fillId="0" borderId="4" applyAlignment="1" pivotButton="0" quotePrefix="0" xfId="0">
      <alignment horizontal="right"/>
    </xf>
    <xf numFmtId="37" fontId="45" fillId="0" borderId="0" applyAlignment="1" pivotButton="0" quotePrefix="0" xfId="0">
      <alignment horizontal="left" wrapText="1"/>
    </xf>
    <xf numFmtId="37" fontId="45" fillId="0" borderId="0" applyAlignment="1" pivotButton="0" quotePrefix="0" xfId="0">
      <alignment horizontal="center"/>
    </xf>
    <xf numFmtId="165" fontId="29" fillId="0" borderId="39" applyAlignment="1" pivotButton="0" quotePrefix="0" xfId="1">
      <alignment horizontal="center" vertical="center" wrapText="1"/>
    </xf>
    <xf numFmtId="165" fontId="29" fillId="0" borderId="58" applyAlignment="1" pivotButton="0" quotePrefix="0" xfId="1">
      <alignment horizontal="center" vertical="center" wrapText="1"/>
    </xf>
    <xf numFmtId="0" fontId="45" fillId="0" borderId="27" applyAlignment="1" pivotButton="0" quotePrefix="0" xfId="0">
      <alignment horizontal="center"/>
    </xf>
    <xf numFmtId="0" fontId="45" fillId="0" borderId="22" applyAlignment="1" pivotButton="0" quotePrefix="0" xfId="0">
      <alignment horizontal="center"/>
    </xf>
    <xf numFmtId="0" fontId="45" fillId="0" borderId="28" applyAlignment="1" pivotButton="0" quotePrefix="0" xfId="0">
      <alignment horizontal="center"/>
    </xf>
    <xf numFmtId="0" fontId="29" fillId="0" borderId="76" applyAlignment="1" pivotButton="0" quotePrefix="0" xfId="0">
      <alignment horizontal="center"/>
    </xf>
    <xf numFmtId="0" fontId="29" fillId="0" borderId="67" applyAlignment="1" pivotButton="0" quotePrefix="0" xfId="0">
      <alignment horizontal="center"/>
    </xf>
    <xf numFmtId="0" fontId="29" fillId="0" borderId="72" applyAlignment="1" pivotButton="0" quotePrefix="0" xfId="0">
      <alignment horizontal="center"/>
    </xf>
    <xf numFmtId="0" fontId="123" fillId="0" borderId="27" applyAlignment="1" pivotButton="0" quotePrefix="0" xfId="0">
      <alignment horizontal="center"/>
    </xf>
    <xf numFmtId="0" fontId="123" fillId="0" borderId="22" applyAlignment="1" pivotButton="0" quotePrefix="0" xfId="0">
      <alignment horizontal="center"/>
    </xf>
    <xf numFmtId="0" fontId="123" fillId="0" borderId="28" applyAlignment="1" pivotButton="0" quotePrefix="0" xfId="0">
      <alignment horizontal="center"/>
    </xf>
    <xf numFmtId="165" fontId="25" fillId="0" borderId="0" applyAlignment="1" pivotButton="0" quotePrefix="0" xfId="1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wrapText="1"/>
    </xf>
    <xf numFmtId="165" fontId="29" fillId="0" borderId="54" applyAlignment="1" pivotButton="0" quotePrefix="0" xfId="0">
      <alignment horizontal="center" wrapText="1"/>
    </xf>
    <xf numFmtId="165" fontId="29" fillId="0" borderId="55" applyAlignment="1" pivotButton="0" quotePrefix="0" xfId="0">
      <alignment horizontal="center" wrapText="1"/>
    </xf>
    <xf numFmtId="165" fontId="29" fillId="0" borderId="39" applyAlignment="1" pivotButton="0" quotePrefix="0" xfId="0">
      <alignment horizontal="center" wrapText="1"/>
    </xf>
    <xf numFmtId="165" fontId="28" fillId="0" borderId="27" applyAlignment="1" pivotButton="0" quotePrefix="0" xfId="0">
      <alignment horizontal="center" wrapText="1"/>
    </xf>
    <xf numFmtId="165" fontId="28" fillId="0" borderId="22" applyAlignment="1" pivotButton="0" quotePrefix="0" xfId="0">
      <alignment horizontal="center" wrapText="1"/>
    </xf>
    <xf numFmtId="165" fontId="28" fillId="0" borderId="28" applyAlignment="1" pivotButton="0" quotePrefix="0" xfId="0">
      <alignment horizontal="center" wrapText="1"/>
    </xf>
    <xf numFmtId="0" fontId="28" fillId="0" borderId="27" applyAlignment="1" pivotButton="0" quotePrefix="0" xfId="0">
      <alignment horizontal="center"/>
    </xf>
    <xf numFmtId="0" fontId="28" fillId="0" borderId="22" applyAlignment="1" pivotButton="0" quotePrefix="0" xfId="0">
      <alignment horizontal="center"/>
    </xf>
    <xf numFmtId="0" fontId="28" fillId="0" borderId="28" applyAlignment="1" pivotButton="0" quotePrefix="0" xfId="0">
      <alignment horizontal="center"/>
    </xf>
    <xf numFmtId="0" fontId="98" fillId="0" borderId="0" applyAlignment="1" pivotButton="0" quotePrefix="0" xfId="0">
      <alignment horizontal="center" vertical="center"/>
    </xf>
    <xf numFmtId="165" fontId="45" fillId="0" borderId="36" applyAlignment="1" pivotButton="0" quotePrefix="0" xfId="1">
      <alignment horizontal="center"/>
    </xf>
    <xf numFmtId="165" fontId="45" fillId="0" borderId="37" applyAlignment="1" pivotButton="0" quotePrefix="0" xfId="1">
      <alignment horizontal="center"/>
    </xf>
    <xf numFmtId="165" fontId="45" fillId="0" borderId="38" applyAlignment="1" pivotButton="0" quotePrefix="0" xfId="1">
      <alignment horizontal="center"/>
    </xf>
    <xf numFmtId="0" fontId="18" fillId="0" borderId="0" applyAlignment="1" pivotButton="0" quotePrefix="0" xfId="0">
      <alignment horizontal="center"/>
    </xf>
    <xf numFmtId="37" fontId="32" fillId="0" borderId="36" applyAlignment="1" pivotButton="0" quotePrefix="0" xfId="0">
      <alignment horizontal="center"/>
    </xf>
    <xf numFmtId="37" fontId="32" fillId="0" borderId="37" applyAlignment="1" pivotButton="0" quotePrefix="0" xfId="0">
      <alignment horizontal="center"/>
    </xf>
    <xf numFmtId="37" fontId="32" fillId="0" borderId="38" applyAlignment="1" pivotButton="0" quotePrefix="0" xfId="0">
      <alignment horizontal="center"/>
    </xf>
    <xf numFmtId="37" fontId="62" fillId="0" borderId="46" applyAlignment="1" pivotButton="0" quotePrefix="0" xfId="0">
      <alignment horizontal="left"/>
    </xf>
    <xf numFmtId="37" fontId="62" fillId="0" borderId="47" applyAlignment="1" pivotButton="0" quotePrefix="0" xfId="0">
      <alignment horizontal="left"/>
    </xf>
    <xf numFmtId="37" fontId="6" fillId="0" borderId="36" applyAlignment="1" pivotButton="0" quotePrefix="0" xfId="0">
      <alignment horizontal="right"/>
    </xf>
    <xf numFmtId="37" fontId="31" fillId="0" borderId="38" applyAlignment="1" pivotButton="0" quotePrefix="0" xfId="0">
      <alignment horizontal="right"/>
    </xf>
    <xf numFmtId="37" fontId="102" fillId="0" borderId="24" applyAlignment="1" pivotButton="0" quotePrefix="0" xfId="0">
      <alignment horizontal="left"/>
    </xf>
    <xf numFmtId="37" fontId="102" fillId="0" borderId="26" applyAlignment="1" pivotButton="0" quotePrefix="0" xfId="0">
      <alignment horizontal="left"/>
    </xf>
    <xf numFmtId="37" fontId="15" fillId="0" borderId="24" applyAlignment="1" pivotButton="0" quotePrefix="0" xfId="0">
      <alignment horizontal="left"/>
    </xf>
    <xf numFmtId="37" fontId="15" fillId="0" borderId="26" applyAlignment="1" pivotButton="0" quotePrefix="0" xfId="0">
      <alignment horizontal="left"/>
    </xf>
    <xf numFmtId="37" fontId="5" fillId="0" borderId="44" applyAlignment="1" pivotButton="0" quotePrefix="0" xfId="0">
      <alignment horizontal="center" vertical="center" wrapText="1"/>
    </xf>
    <xf numFmtId="37" fontId="5" fillId="0" borderId="32" applyAlignment="1" pivotButton="0" quotePrefix="0" xfId="0">
      <alignment horizontal="center" vertical="center" wrapText="1"/>
    </xf>
    <xf numFmtId="37" fontId="5" fillId="0" borderId="4" applyAlignment="1" pivotButton="0" quotePrefix="0" xfId="0">
      <alignment horizontal="center" vertical="center" wrapText="1"/>
    </xf>
    <xf numFmtId="37" fontId="140" fillId="0" borderId="27" applyAlignment="1" pivotButton="0" quotePrefix="0" xfId="0">
      <alignment horizontal="left" vertical="top" wrapText="1"/>
    </xf>
    <xf numFmtId="37" fontId="140" fillId="0" borderId="22" applyAlignment="1" pivotButton="0" quotePrefix="0" xfId="0">
      <alignment horizontal="left" vertical="top" wrapText="1"/>
    </xf>
    <xf numFmtId="37" fontId="140" fillId="0" borderId="28" applyAlignment="1" pivotButton="0" quotePrefix="0" xfId="0">
      <alignment horizontal="left" vertical="top" wrapText="1"/>
    </xf>
    <xf numFmtId="37" fontId="25" fillId="0" borderId="31" pivotButton="0" quotePrefix="0" xfId="0"/>
    <xf numFmtId="37" fontId="25" fillId="0" borderId="4" pivotButton="0" quotePrefix="0" xfId="0"/>
    <xf numFmtId="165" fontId="45" fillId="0" borderId="34" applyAlignment="1" pivotButton="0" quotePrefix="0" xfId="1">
      <alignment horizontal="center" vertical="center" wrapText="1"/>
    </xf>
    <xf numFmtId="165" fontId="45" fillId="0" borderId="35" applyAlignment="1" pivotButton="0" quotePrefix="0" xfId="1">
      <alignment horizontal="center" vertical="center" wrapText="1"/>
    </xf>
    <xf numFmtId="37" fontId="25" fillId="0" borderId="69" applyAlignment="1" pivotButton="0" quotePrefix="0" xfId="0">
      <alignment horizontal="left" vertical="center" wrapText="1"/>
    </xf>
    <xf numFmtId="37" fontId="25" fillId="0" borderId="15" applyAlignment="1" pivotButton="0" quotePrefix="0" xfId="0">
      <alignment horizontal="left" vertical="center" wrapText="1"/>
    </xf>
    <xf numFmtId="37" fontId="25" fillId="0" borderId="31" applyAlignment="1" pivotButton="0" quotePrefix="0" xfId="0">
      <alignment horizontal="left"/>
    </xf>
    <xf numFmtId="37" fontId="25" fillId="0" borderId="12" applyAlignment="1" pivotButton="0" quotePrefix="0" xfId="0">
      <alignment horizontal="left"/>
    </xf>
    <xf numFmtId="37" fontId="25" fillId="0" borderId="69" applyAlignment="1" pivotButton="0" quotePrefix="0" xfId="0">
      <alignment horizontal="left"/>
    </xf>
    <xf numFmtId="37" fontId="25" fillId="0" borderId="15" applyAlignment="1" pivotButton="0" quotePrefix="0" xfId="0">
      <alignment horizontal="left"/>
    </xf>
    <xf numFmtId="37" fontId="43" fillId="0" borderId="73" applyAlignment="1" pivotButton="0" quotePrefix="0" xfId="0">
      <alignment horizontal="right"/>
    </xf>
    <xf numFmtId="37" fontId="43" fillId="0" borderId="74" applyAlignment="1" pivotButton="0" quotePrefix="0" xfId="0">
      <alignment horizontal="right"/>
    </xf>
    <xf numFmtId="37" fontId="5" fillId="0" borderId="33" applyAlignment="1" pivotButton="0" quotePrefix="0" xfId="0">
      <alignment horizontal="center" vertical="center" wrapText="1"/>
    </xf>
    <xf numFmtId="37" fontId="5" fillId="0" borderId="31" applyAlignment="1" pivotButton="0" quotePrefix="0" xfId="0">
      <alignment horizontal="center" vertical="center" wrapText="1"/>
    </xf>
    <xf numFmtId="37" fontId="5" fillId="0" borderId="36" applyAlignment="1" pivotButton="0" quotePrefix="0" xfId="0">
      <alignment horizontal="center" vertical="center"/>
    </xf>
    <xf numFmtId="37" fontId="5" fillId="0" borderId="45" applyAlignment="1" pivotButton="0" quotePrefix="0" xfId="0">
      <alignment horizontal="center" vertical="center"/>
    </xf>
    <xf numFmtId="37" fontId="15" fillId="0" borderId="49" applyAlignment="1" pivotButton="0" quotePrefix="0" xfId="0">
      <alignment horizontal="left"/>
    </xf>
    <xf numFmtId="37" fontId="15" fillId="0" borderId="63" applyAlignment="1" pivotButton="0" quotePrefix="0" xfId="0">
      <alignment horizontal="left"/>
    </xf>
    <xf numFmtId="37" fontId="6" fillId="0" borderId="54" applyAlignment="1" pivotButton="0" quotePrefix="0" xfId="0">
      <alignment horizontal="right"/>
    </xf>
    <xf numFmtId="37" fontId="6" fillId="0" borderId="71" applyAlignment="1" pivotButton="0" quotePrefix="0" xfId="0">
      <alignment horizontal="right"/>
    </xf>
    <xf numFmtId="37" fontId="62" fillId="0" borderId="24" applyAlignment="1" pivotButton="0" quotePrefix="0" xfId="0">
      <alignment horizontal="left"/>
    </xf>
    <xf numFmtId="37" fontId="62" fillId="0" borderId="26" applyAlignment="1" pivotButton="0" quotePrefix="0" xfId="0">
      <alignment horizontal="left"/>
    </xf>
    <xf numFmtId="37" fontId="2" fillId="0" borderId="31" applyAlignment="1" pivotButton="0" quotePrefix="0" xfId="0">
      <alignment horizontal="left"/>
    </xf>
    <xf numFmtId="37" fontId="2" fillId="0" borderId="4" applyAlignment="1" pivotButton="0" quotePrefix="0" xfId="0">
      <alignment horizontal="left"/>
    </xf>
    <xf numFmtId="0" fontId="62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1" fillId="0" borderId="24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top" wrapText="1"/>
    </xf>
    <xf numFmtId="0" fontId="100" fillId="0" borderId="0" applyAlignment="1" pivotButton="0" quotePrefix="0" xfId="0">
      <alignment horizontal="center" vertical="center" wrapText="1"/>
    </xf>
    <xf numFmtId="0" fontId="61" fillId="0" borderId="15" applyAlignment="1" pivotButton="0" quotePrefix="0" xfId="0">
      <alignment vertical="center" wrapText="1"/>
    </xf>
    <xf numFmtId="0" fontId="61" fillId="0" borderId="4" applyAlignment="1" pivotButton="0" quotePrefix="0" xfId="0">
      <alignment vertical="center" wrapText="1"/>
    </xf>
    <xf numFmtId="0" fontId="100" fillId="0" borderId="24" applyAlignment="1" pivotButton="0" quotePrefix="0" xfId="0">
      <alignment horizontal="center" vertical="center" wrapText="1"/>
    </xf>
    <xf numFmtId="43" fontId="126" fillId="0" borderId="24" applyAlignment="1" pivotButton="0" quotePrefix="0" xfId="1">
      <alignment horizontal="center" vertical="center" wrapText="1"/>
    </xf>
    <xf numFmtId="43" fontId="126" fillId="0" borderId="0" applyAlignment="1" pivotButton="0" quotePrefix="0" xfId="1">
      <alignment horizontal="center" vertical="center" wrapText="1"/>
    </xf>
    <xf numFmtId="0" fontId="21" fillId="39" borderId="27" applyAlignment="1" pivotButton="0" quotePrefix="0" xfId="0">
      <alignment horizontal="center"/>
    </xf>
    <xf numFmtId="0" fontId="21" fillId="39" borderId="22" applyAlignment="1" pivotButton="0" quotePrefix="0" xfId="0">
      <alignment horizontal="center"/>
    </xf>
    <xf numFmtId="0" fontId="21" fillId="39" borderId="28" applyAlignment="1" pivotButton="0" quotePrefix="0" xfId="0">
      <alignment horizontal="center"/>
    </xf>
    <xf numFmtId="165" fontId="21" fillId="0" borderId="27" applyAlignment="1" pivotButton="0" quotePrefix="0" xfId="1">
      <alignment horizontal="center"/>
    </xf>
    <xf numFmtId="165" fontId="21" fillId="0" borderId="22" applyAlignment="1" pivotButton="0" quotePrefix="0" xfId="1">
      <alignment horizontal="center"/>
    </xf>
    <xf numFmtId="165" fontId="21" fillId="0" borderId="28" applyAlignment="1" pivotButton="0" quotePrefix="0" xfId="1">
      <alignment horizontal="center"/>
    </xf>
    <xf numFmtId="165" fontId="21" fillId="0" borderId="27" applyAlignment="1" pivotButton="0" quotePrefix="0" xfId="0">
      <alignment horizontal="center"/>
    </xf>
    <xf numFmtId="165" fontId="21" fillId="0" borderId="22" applyAlignment="1" pivotButton="0" quotePrefix="0" xfId="0">
      <alignment horizontal="center"/>
    </xf>
    <xf numFmtId="165" fontId="21" fillId="0" borderId="28" applyAlignment="1" pivotButton="0" quotePrefix="0" xfId="0">
      <alignment horizontal="center"/>
    </xf>
    <xf numFmtId="165" fontId="21" fillId="0" borderId="27" applyAlignment="1" pivotButton="0" quotePrefix="0" xfId="0">
      <alignment horizontal="center"/>
    </xf>
    <xf numFmtId="165" fontId="21" fillId="0" borderId="22" applyAlignment="1" pivotButton="0" quotePrefix="0" xfId="0">
      <alignment horizontal="center"/>
    </xf>
    <xf numFmtId="165" fontId="21" fillId="0" borderId="28" applyAlignment="1" pivotButton="0" quotePrefix="0" xfId="0">
      <alignment horizontal="center"/>
    </xf>
    <xf numFmtId="43" fontId="61" fillId="2" borderId="24" applyAlignment="1" pivotButton="0" quotePrefix="0" xfId="1">
      <alignment vertical="center" wrapText="1"/>
    </xf>
    <xf numFmtId="0" fontId="21" fillId="0" borderId="54" applyAlignment="1" pivotButton="0" quotePrefix="0" xfId="0">
      <alignment horizontal="center"/>
    </xf>
    <xf numFmtId="0" fontId="21" fillId="0" borderId="55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43" fontId="112" fillId="0" borderId="0" applyAlignment="1" pivotButton="0" quotePrefix="0" xfId="1">
      <alignment horizontal="center" vertical="center" wrapText="1"/>
    </xf>
    <xf numFmtId="0" fontId="21" fillId="0" borderId="27" applyAlignment="1" pivotButton="0" quotePrefix="0" xfId="0">
      <alignment horizontal="center"/>
    </xf>
    <xf numFmtId="0" fontId="21" fillId="0" borderId="22" applyAlignment="1" pivotButton="0" quotePrefix="0" xfId="0">
      <alignment horizontal="center"/>
    </xf>
    <xf numFmtId="0" fontId="21" fillId="0" borderId="28" applyAlignment="1" pivotButton="0" quotePrefix="0" xfId="0">
      <alignment horizontal="center"/>
    </xf>
    <xf numFmtId="43" fontId="21" fillId="0" borderId="24" applyAlignment="1" pivotButton="0" quotePrefix="0" xfId="1">
      <alignment horizontal="center" vertical="center" wrapText="1"/>
    </xf>
    <xf numFmtId="43" fontId="14" fillId="0" borderId="24" applyAlignment="1" pivotButton="0" quotePrefix="0" xfId="1">
      <alignment horizontal="center" vertical="center" wrapText="1"/>
    </xf>
    <xf numFmtId="164" fontId="2" fillId="40" borderId="4" applyAlignment="1" pivotButton="0" quotePrefix="1" xfId="1">
      <alignment horizontal="center"/>
    </xf>
    <xf numFmtId="164" fontId="2" fillId="41" borderId="4" applyAlignment="1" pivotButton="0" quotePrefix="1" xfId="1">
      <alignment horizontal="center"/>
    </xf>
    <xf numFmtId="37" fontId="116" fillId="0" borderId="41" applyAlignment="1" pivotButton="0" quotePrefix="0" xfId="0">
      <alignment horizontal="center" vertical="center" wrapText="1"/>
    </xf>
    <xf numFmtId="37" fontId="116" fillId="0" borderId="30" applyAlignment="1" pivotButton="0" quotePrefix="0" xfId="0">
      <alignment horizontal="center" vertical="center" wrapText="1"/>
    </xf>
    <xf numFmtId="37" fontId="116" fillId="0" borderId="50" applyAlignment="1" pivotButton="0" quotePrefix="0" xfId="0">
      <alignment horizontal="center" vertical="center" wrapText="1"/>
    </xf>
    <xf numFmtId="37" fontId="116" fillId="0" borderId="25" applyAlignment="1" pivotButton="0" quotePrefix="0" xfId="0">
      <alignment horizontal="center" vertical="center" wrapText="1"/>
    </xf>
    <xf numFmtId="37" fontId="116" fillId="0" borderId="23" applyAlignment="1" pivotButton="0" quotePrefix="0" xfId="0">
      <alignment horizontal="center" vertical="center" wrapText="1"/>
    </xf>
    <xf numFmtId="37" fontId="116" fillId="0" borderId="43" applyAlignment="1" pivotButton="0" quotePrefix="0" xfId="0">
      <alignment horizontal="center" vertical="center" wrapText="1"/>
    </xf>
    <xf numFmtId="166" fontId="120" fillId="41" borderId="4" applyAlignment="1" pivotButton="0" quotePrefix="1" xfId="1">
      <alignment horizontal="center"/>
    </xf>
    <xf numFmtId="171" fontId="18" fillId="0" borderId="0" pivotButton="0" quotePrefix="0" xfId="0"/>
    <xf numFmtId="164" fontId="5" fillId="0" borderId="9" applyAlignment="1" pivotButton="0" quotePrefix="0" xfId="1">
      <alignment horizontal="center"/>
    </xf>
    <xf numFmtId="0" fontId="0" fillId="0" borderId="5" pivotButton="0" quotePrefix="0" xfId="0"/>
    <xf numFmtId="164" fontId="5" fillId="0" borderId="5" applyAlignment="1" pivotButton="0" quotePrefix="0" xfId="1">
      <alignment horizontal="center"/>
    </xf>
    <xf numFmtId="164" fontId="2" fillId="0" borderId="4" applyAlignment="1" pivotButton="0" quotePrefix="1" xfId="1">
      <alignment horizontal="center"/>
    </xf>
    <xf numFmtId="164" fontId="2" fillId="0" borderId="4" applyAlignment="1" pivotButton="0" quotePrefix="0" xfId="1">
      <alignment horizontal="right"/>
    </xf>
    <xf numFmtId="164" fontId="2" fillId="36" borderId="4" applyAlignment="1" pivotButton="0" quotePrefix="0" xfId="1">
      <alignment horizontal="right"/>
    </xf>
    <xf numFmtId="169" fontId="0" fillId="0" borderId="0" pivotButton="0" quotePrefix="0" xfId="0"/>
    <xf numFmtId="164" fontId="2" fillId="0" borderId="9" applyAlignment="1" pivotButton="0" quotePrefix="0" xfId="1">
      <alignment horizontal="right"/>
    </xf>
    <xf numFmtId="164" fontId="6" fillId="0" borderId="7" applyAlignment="1" pivotButton="0" quotePrefix="0" xfId="1">
      <alignment horizontal="right"/>
    </xf>
    <xf numFmtId="164" fontId="2" fillId="0" borderId="6" applyAlignment="1" pivotButton="0" quotePrefix="0" xfId="1">
      <alignment horizontal="right"/>
    </xf>
    <xf numFmtId="164" fontId="6" fillId="0" borderId="4" applyAlignment="1" pivotButton="0" quotePrefix="0" xfId="1">
      <alignment horizontal="right"/>
    </xf>
    <xf numFmtId="0" fontId="0" fillId="0" borderId="3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185" fontId="0" fillId="0" borderId="0" pivotButton="0" quotePrefix="0" xfId="0"/>
    <xf numFmtId="166" fontId="0" fillId="0" borderId="4" pivotButton="0" quotePrefix="0" xfId="1"/>
    <xf numFmtId="43" fontId="2" fillId="0" borderId="4" applyAlignment="1" pivotButton="0" quotePrefix="1" xfId="1">
      <alignment horizontal="center"/>
    </xf>
    <xf numFmtId="166" fontId="1" fillId="0" borderId="4" pivotButton="0" quotePrefix="0" xfId="1"/>
    <xf numFmtId="166" fontId="9" fillId="0" borderId="7" pivotButton="0" quotePrefix="0" xfId="1"/>
    <xf numFmtId="192" fontId="30" fillId="0" borderId="0" applyAlignment="1" pivotButton="0" quotePrefix="0" xfId="0">
      <alignment wrapText="1"/>
    </xf>
    <xf numFmtId="196" fontId="30" fillId="0" borderId="0" applyAlignment="1" pivotButton="0" quotePrefix="0" xfId="0">
      <alignment wrapText="1"/>
    </xf>
    <xf numFmtId="164" fontId="2" fillId="0" borderId="4" applyAlignment="1" pivotButton="0" quotePrefix="1" xfId="4">
      <alignment horizontal="center"/>
    </xf>
    <xf numFmtId="177" fontId="0" fillId="0" borderId="0" pivotButton="0" quotePrefix="0" xfId="0"/>
    <xf numFmtId="168" fontId="0" fillId="0" borderId="0" pivotButton="0" quotePrefix="0" xfId="0"/>
    <xf numFmtId="166" fontId="9" fillId="0" borderId="42" pivotButton="0" quotePrefix="0" xfId="1"/>
    <xf numFmtId="166" fontId="0" fillId="0" borderId="0" pivotButton="0" quotePrefix="0" xfId="1"/>
    <xf numFmtId="37" fontId="28" fillId="0" borderId="17" applyAlignment="1" pivotButton="0" quotePrefix="0" xfId="0">
      <alignment horizontal="center" wrapText="1"/>
    </xf>
    <xf numFmtId="0" fontId="0" fillId="0" borderId="30" pivotButton="0" quotePrefix="0" xfId="0"/>
    <xf numFmtId="0" fontId="0" fillId="0" borderId="50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43" pivotButton="0" quotePrefix="0" xfId="0"/>
    <xf numFmtId="192" fontId="0" fillId="0" borderId="0" applyAlignment="1" pivotButton="0" quotePrefix="0" xfId="0">
      <alignment horizontal="left" vertical="top"/>
    </xf>
    <xf numFmtId="165" fontId="6" fillId="0" borderId="4" pivotButton="0" quotePrefix="0" xfId="1"/>
    <xf numFmtId="165" fontId="2" fillId="0" borderId="4" pivotButton="0" quotePrefix="0" xfId="1"/>
    <xf numFmtId="166" fontId="0" fillId="0" borderId="42" pivotButton="0" quotePrefix="0" xfId="1"/>
    <xf numFmtId="43" fontId="2" fillId="0" borderId="4" applyAlignment="1" pivotButton="0" quotePrefix="0" xfId="1">
      <alignment horizontal="right"/>
    </xf>
    <xf numFmtId="166" fontId="2" fillId="0" borderId="0" pivotButton="0" quotePrefix="0" xfId="1"/>
    <xf numFmtId="165" fontId="0" fillId="0" borderId="0" pivotButton="0" quotePrefix="0" xfId="1"/>
    <xf numFmtId="166" fontId="9" fillId="0" borderId="4" pivotButton="0" quotePrefix="0" xfId="1"/>
    <xf numFmtId="195" fontId="68" fillId="0" borderId="0" applyAlignment="1" pivotButton="0" quotePrefix="0" xfId="0">
      <alignment horizontal="right" vertical="top" wrapText="1"/>
    </xf>
    <xf numFmtId="164" fontId="2" fillId="41" borderId="4" applyAlignment="1" pivotButton="0" quotePrefix="1" xfId="1">
      <alignment horizontal="center"/>
    </xf>
    <xf numFmtId="164" fontId="2" fillId="40" borderId="4" applyAlignment="1" pivotButton="0" quotePrefix="1" xfId="1">
      <alignment horizontal="center"/>
    </xf>
    <xf numFmtId="166" fontId="2" fillId="0" borderId="4" applyAlignment="1" pivotButton="0" quotePrefix="0" xfId="1">
      <alignment horizontal="right"/>
    </xf>
    <xf numFmtId="165" fontId="2" fillId="0" borderId="4" applyAlignment="1" pivotButton="0" quotePrefix="0" xfId="1">
      <alignment horizontal="right"/>
    </xf>
    <xf numFmtId="37" fontId="116" fillId="0" borderId="17" applyAlignment="1" pivotButton="0" quotePrefix="0" xfId="0">
      <alignment horizontal="center" vertical="center" wrapText="1"/>
    </xf>
    <xf numFmtId="190" fontId="0" fillId="0" borderId="0" pivotButton="0" quotePrefix="0" xfId="0"/>
    <xf numFmtId="37" fontId="30" fillId="0" borderId="17" applyAlignment="1" pivotButton="0" quotePrefix="0" xfId="0">
      <alignment horizontal="center" wrapText="1"/>
    </xf>
    <xf numFmtId="170" fontId="0" fillId="0" borderId="0" pivotButton="0" quotePrefix="0" xfId="0"/>
    <xf numFmtId="175" fontId="0" fillId="0" borderId="0" pivotButton="0" quotePrefix="0" xfId="0"/>
    <xf numFmtId="182" fontId="0" fillId="0" borderId="0" pivotButton="0" quotePrefix="0" xfId="0"/>
    <xf numFmtId="164" fontId="2" fillId="0" borderId="4" applyAlignment="1" pivotButton="0" quotePrefix="0" xfId="4">
      <alignment horizontal="center"/>
    </xf>
    <xf numFmtId="167" fontId="0" fillId="0" borderId="0" pivotButton="0" quotePrefix="0" xfId="0"/>
    <xf numFmtId="166" fontId="9" fillId="0" borderId="42" pivotButton="0" quotePrefix="0" xfId="4"/>
    <xf numFmtId="186" fontId="0" fillId="0" borderId="0" pivotButton="0" quotePrefix="0" xfId="0"/>
    <xf numFmtId="165" fontId="2" fillId="0" borderId="0" pivotButton="0" quotePrefix="0" xfId="1"/>
    <xf numFmtId="166" fontId="2" fillId="0" borderId="4" applyAlignment="1" pivotButton="0" quotePrefix="1" xfId="1">
      <alignment horizontal="center"/>
    </xf>
    <xf numFmtId="166" fontId="0" fillId="0" borderId="0" applyAlignment="1" pivotButton="0" quotePrefix="0" xfId="1">
      <alignment horizontal="right"/>
    </xf>
    <xf numFmtId="166" fontId="9" fillId="0" borderId="1" pivotButton="0" quotePrefix="0" xfId="1"/>
    <xf numFmtId="171" fontId="0" fillId="0" borderId="0" pivotButton="0" quotePrefix="0" xfId="0"/>
    <xf numFmtId="0" fontId="0" fillId="0" borderId="21" pivotButton="0" quotePrefix="0" xfId="0"/>
    <xf numFmtId="183" fontId="0" fillId="0" borderId="0" pivotButton="0" quotePrefix="0" xfId="0"/>
    <xf numFmtId="166" fontId="2" fillId="0" borderId="6" applyAlignment="1" pivotButton="0" quotePrefix="0" xfId="1">
      <alignment horizontal="right"/>
    </xf>
    <xf numFmtId="0" fontId="0" fillId="0" borderId="22" pivotButton="0" quotePrefix="0" xfId="0"/>
    <xf numFmtId="0" fontId="0" fillId="0" borderId="28" pivotButton="0" quotePrefix="0" xfId="0"/>
    <xf numFmtId="176" fontId="0" fillId="0" borderId="0" pivotButton="0" quotePrefix="0" xfId="0"/>
    <xf numFmtId="166" fontId="120" fillId="0" borderId="4" applyAlignment="1" pivotButton="0" quotePrefix="1" xfId="1">
      <alignment horizontal="center"/>
    </xf>
    <xf numFmtId="164" fontId="120" fillId="0" borderId="4" applyAlignment="1" pivotButton="0" quotePrefix="0" xfId="1">
      <alignment horizontal="right"/>
    </xf>
    <xf numFmtId="166" fontId="18" fillId="0" borderId="4" pivotButton="0" quotePrefix="0" xfId="1"/>
    <xf numFmtId="43" fontId="120" fillId="0" borderId="4" applyAlignment="1" pivotButton="0" quotePrefix="1" xfId="1">
      <alignment horizontal="center"/>
    </xf>
    <xf numFmtId="164" fontId="120" fillId="0" borderId="4" applyAlignment="1" pivotButton="0" quotePrefix="1" xfId="1">
      <alignment horizontal="center"/>
    </xf>
    <xf numFmtId="171" fontId="18" fillId="0" borderId="0" pivotButton="0" quotePrefix="0" xfId="0"/>
    <xf numFmtId="166" fontId="120" fillId="41" borderId="4" applyAlignment="1" pivotButton="0" quotePrefix="1" xfId="1">
      <alignment horizontal="center"/>
    </xf>
    <xf numFmtId="166" fontId="120" fillId="0" borderId="9" applyAlignment="1" pivotButton="0" quotePrefix="0" xfId="1">
      <alignment horizontal="right"/>
    </xf>
    <xf numFmtId="164" fontId="120" fillId="0" borderId="9" applyAlignment="1" pivotButton="0" quotePrefix="0" xfId="1">
      <alignment horizontal="right"/>
    </xf>
    <xf numFmtId="43" fontId="119" fillId="0" borderId="7" applyAlignment="1" pivotButton="0" quotePrefix="0" xfId="1">
      <alignment horizontal="right"/>
    </xf>
    <xf numFmtId="164" fontId="119" fillId="0" borderId="7" applyAlignment="1" pivotButton="0" quotePrefix="0" xfId="1">
      <alignment horizontal="right"/>
    </xf>
    <xf numFmtId="164" fontId="120" fillId="0" borderId="6" applyAlignment="1" pivotButton="0" quotePrefix="0" xfId="1">
      <alignment horizontal="right"/>
    </xf>
    <xf numFmtId="164" fontId="119" fillId="0" borderId="4" applyAlignment="1" pivotButton="0" quotePrefix="0" xfId="1">
      <alignment horizontal="right"/>
    </xf>
    <xf numFmtId="167" fontId="35" fillId="0" borderId="0" pivotButton="0" quotePrefix="0" xfId="0"/>
    <xf numFmtId="37" fontId="119" fillId="0" borderId="4" applyAlignment="1" pivotButton="0" quotePrefix="0" xfId="0">
      <alignment horizontal="right"/>
    </xf>
    <xf numFmtId="177" fontId="35" fillId="0" borderId="0" pivotButton="0" quotePrefix="0" xfId="0"/>
    <xf numFmtId="37" fontId="8" fillId="0" borderId="4" applyAlignment="1" pivotButton="0" quotePrefix="0" xfId="0">
      <alignment horizontal="center" vertical="center" wrapText="1"/>
    </xf>
    <xf numFmtId="37" fontId="8" fillId="0" borderId="4" applyAlignment="1" pivotButton="0" quotePrefix="0" xfId="0">
      <alignment horizontal="center" wrapText="1"/>
    </xf>
    <xf numFmtId="165" fontId="119" fillId="0" borderId="4" pivotButton="0" quotePrefix="0" xfId="1"/>
    <xf numFmtId="168" fontId="35" fillId="0" borderId="0" pivotButton="0" quotePrefix="0" xfId="0"/>
    <xf numFmtId="165" fontId="120" fillId="0" borderId="4" pivotButton="0" quotePrefix="0" xfId="1"/>
    <xf numFmtId="166" fontId="9" fillId="0" borderId="48" pivotButton="0" quotePrefix="0" xfId="1"/>
    <xf numFmtId="37" fontId="0" fillId="0" borderId="4" applyAlignment="1" pivotButton="0" quotePrefix="0" xfId="0">
      <alignment horizontal="center" vertical="top" wrapText="1"/>
    </xf>
    <xf numFmtId="39" fontId="0" fillId="0" borderId="4" applyAlignment="1" pivotButton="0" quotePrefix="0" xfId="0">
      <alignment horizontal="center" vertical="top" wrapText="1"/>
    </xf>
    <xf numFmtId="37" fontId="26" fillId="0" borderId="4" applyAlignment="1" pivotButton="0" quotePrefix="0" xfId="0">
      <alignment horizontal="center"/>
    </xf>
    <xf numFmtId="189" fontId="56" fillId="0" borderId="0" applyAlignment="1" pivotButton="0" quotePrefix="0" xfId="0">
      <alignment horizontal="right" vertical="center"/>
    </xf>
    <xf numFmtId="0" fontId="0" fillId="0" borderId="89" pivotButton="0" quotePrefix="0" xfId="0"/>
    <xf numFmtId="0" fontId="0" fillId="0" borderId="68" pivotButton="0" quotePrefix="0" xfId="0"/>
    <xf numFmtId="198" fontId="2" fillId="0" borderId="0" pivotButton="0" quotePrefix="0" xfId="0"/>
    <xf numFmtId="191" fontId="0" fillId="0" borderId="0" pivotButton="0" quotePrefix="0" xfId="0"/>
    <xf numFmtId="164" fontId="6" fillId="0" borderId="75" applyAlignment="1" pivotButton="0" quotePrefix="0" xfId="1">
      <alignment horizontal="right"/>
    </xf>
    <xf numFmtId="166" fontId="9" fillId="0" borderId="1" pivotButton="0" quotePrefix="0" xfId="0"/>
    <xf numFmtId="43" fontId="2" fillId="0" borderId="9" applyAlignment="1" pivotButton="0" quotePrefix="0" xfId="1">
      <alignment horizontal="right"/>
    </xf>
    <xf numFmtId="37" fontId="30" fillId="0" borderId="17" applyAlignment="1" pivotButton="0" quotePrefix="0" xfId="0">
      <alignment horizontal="center" vertical="center" wrapText="1"/>
    </xf>
    <xf numFmtId="43" fontId="63" fillId="0" borderId="4" applyAlignment="1" pivotButton="0" quotePrefix="0" xfId="1">
      <alignment horizontal="right"/>
    </xf>
    <xf numFmtId="43" fontId="6" fillId="0" borderId="7" applyAlignment="1" pivotButton="0" quotePrefix="0" xfId="1">
      <alignment horizontal="right"/>
    </xf>
    <xf numFmtId="166" fontId="0" fillId="0" borderId="42" applyAlignment="1" pivotButton="0" quotePrefix="0" xfId="0">
      <alignment horizontal="center"/>
    </xf>
    <xf numFmtId="37" fontId="8" fillId="0" borderId="4" applyAlignment="1" pivotButton="0" quotePrefix="0" xfId="0">
      <alignment vertical="center"/>
    </xf>
    <xf numFmtId="37" fontId="5" fillId="0" borderId="4" applyAlignment="1" pivotButton="0" quotePrefix="0" xfId="0">
      <alignment vertical="center"/>
    </xf>
    <xf numFmtId="164" fontId="5" fillId="0" borderId="4" applyAlignment="1" pivotButton="0" quotePrefix="0" xfId="1">
      <alignment horizontal="center" vertical="center"/>
    </xf>
    <xf numFmtId="166" fontId="108" fillId="0" borderId="4" pivotButton="0" quotePrefix="0" xfId="1"/>
    <xf numFmtId="166" fontId="96" fillId="0" borderId="4" pivotButton="0" quotePrefix="0" xfId="1"/>
    <xf numFmtId="166" fontId="108" fillId="3" borderId="4" pivotButton="0" quotePrefix="0" xfId="1"/>
    <xf numFmtId="166" fontId="96" fillId="2" borderId="4" pivotButton="0" quotePrefix="0" xfId="1"/>
    <xf numFmtId="165" fontId="2" fillId="0" borderId="5" applyAlignment="1" pivotButton="0" quotePrefix="0" xfId="1">
      <alignment horizontal="right"/>
    </xf>
    <xf numFmtId="165" fontId="16" fillId="0" borderId="4" applyAlignment="1" pivotButton="0" quotePrefix="0" xfId="1">
      <alignment horizontal="right"/>
    </xf>
    <xf numFmtId="164" fontId="16" fillId="0" borderId="4" applyAlignment="1" pivotButton="0" quotePrefix="0" xfId="1">
      <alignment horizontal="right"/>
    </xf>
    <xf numFmtId="164" fontId="6" fillId="0" borderId="9" applyAlignment="1" pivotButton="0" quotePrefix="0" xfId="1">
      <alignment horizontal="right"/>
    </xf>
    <xf numFmtId="184" fontId="0" fillId="0" borderId="0" pivotButton="0" quotePrefix="0" xfId="0"/>
    <xf numFmtId="169" fontId="2" fillId="0" borderId="0" pivotButton="0" quotePrefix="0" xfId="0"/>
    <xf numFmtId="37" fontId="7" fillId="0" borderId="4" applyAlignment="1" pivotButton="0" quotePrefix="0" xfId="0">
      <alignment horizontal="left"/>
    </xf>
    <xf numFmtId="164" fontId="2" fillId="0" borderId="0" pivotButton="0" quotePrefix="0" xfId="1"/>
    <xf numFmtId="164" fontId="13" fillId="0" borderId="0" applyAlignment="1" pivotButton="0" quotePrefix="0" xfId="1">
      <alignment horizontal="center" vertical="center"/>
    </xf>
    <xf numFmtId="164" fontId="13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left"/>
    </xf>
    <xf numFmtId="164" fontId="5" fillId="0" borderId="3" applyAlignment="1" pivotButton="0" quotePrefix="0" xfId="1">
      <alignment horizontal="center"/>
    </xf>
    <xf numFmtId="37" fontId="5" fillId="0" borderId="12" applyAlignment="1" pivotButton="0" quotePrefix="0" xfId="0">
      <alignment horizontal="center" vertical="center"/>
    </xf>
    <xf numFmtId="164" fontId="5" fillId="0" borderId="2" applyAlignment="1" pivotButton="0" quotePrefix="0" xfId="1">
      <alignment horizontal="left"/>
    </xf>
    <xf numFmtId="164" fontId="2" fillId="0" borderId="4" applyAlignment="1" pivotButton="0" quotePrefix="0" xfId="1">
      <alignment horizontal="center"/>
    </xf>
    <xf numFmtId="164" fontId="2" fillId="0" borderId="4" applyAlignment="1" pivotButton="0" quotePrefix="0" xfId="1">
      <alignment horizontal="left"/>
    </xf>
    <xf numFmtId="164" fontId="2" fillId="0" borderId="12" applyAlignment="1" pivotButton="0" quotePrefix="1" xfId="1">
      <alignment horizontal="center"/>
    </xf>
    <xf numFmtId="164" fontId="2" fillId="0" borderId="4" pivotButton="0" quotePrefix="0" xfId="1"/>
    <xf numFmtId="164" fontId="2" fillId="0" borderId="12" applyAlignment="1" pivotButton="0" quotePrefix="0" xfId="1">
      <alignment horizontal="right"/>
    </xf>
    <xf numFmtId="187" fontId="2" fillId="0" borderId="0" pivotButton="0" quotePrefix="0" xfId="1"/>
    <xf numFmtId="172" fontId="2" fillId="0" borderId="4" applyAlignment="1" pivotButton="0" quotePrefix="0" xfId="1">
      <alignment horizontal="right"/>
    </xf>
    <xf numFmtId="43" fontId="2" fillId="0" borderId="4" pivotButton="0" quotePrefix="0" xfId="1"/>
    <xf numFmtId="164" fontId="32" fillId="0" borderId="0" applyAlignment="1" pivotButton="0" quotePrefix="0" xfId="1">
      <alignment wrapText="1"/>
    </xf>
    <xf numFmtId="173" fontId="2" fillId="0" borderId="0" pivotButton="0" quotePrefix="0" xfId="1"/>
    <xf numFmtId="164" fontId="6" fillId="0" borderId="4" pivotButton="0" quotePrefix="0" xfId="1"/>
    <xf numFmtId="173" fontId="32" fillId="0" borderId="0" pivotButton="0" quotePrefix="0" xfId="1"/>
    <xf numFmtId="164" fontId="32" fillId="0" borderId="0" pivotButton="0" quotePrefix="0" xfId="1"/>
    <xf numFmtId="164" fontId="6" fillId="0" borderId="4" applyAlignment="1" pivotButton="0" quotePrefix="0" xfId="1">
      <alignment horizontal="center"/>
    </xf>
    <xf numFmtId="164" fontId="2" fillId="0" borderId="0" applyAlignment="1" pivotButton="0" quotePrefix="0" xfId="1">
      <alignment wrapText="1"/>
    </xf>
    <xf numFmtId="164" fontId="6" fillId="0" borderId="0" pivotButton="0" quotePrefix="0" xfId="1"/>
    <xf numFmtId="199" fontId="67" fillId="0" borderId="4" applyAlignment="1" pivotButton="0" quotePrefix="0" xfId="0">
      <alignment vertical="top" wrapText="1" readingOrder="1"/>
    </xf>
    <xf numFmtId="164" fontId="2" fillId="0" borderId="5" applyAlignment="1" pivotButton="0" quotePrefix="0" xfId="1">
      <alignment horizontal="left"/>
    </xf>
    <xf numFmtId="164" fontId="2" fillId="0" borderId="1" applyAlignment="1" pivotButton="0" quotePrefix="0" xfId="1">
      <alignment horizontal="right"/>
    </xf>
    <xf numFmtId="164" fontId="2" fillId="0" borderId="5" pivotButton="0" quotePrefix="0" xfId="1"/>
    <xf numFmtId="164" fontId="6" fillId="0" borderId="1" applyAlignment="1" pivotButton="0" quotePrefix="0" xfId="1">
      <alignment horizontal="right"/>
    </xf>
    <xf numFmtId="164" fontId="6" fillId="0" borderId="12" pivotButton="0" quotePrefix="0" xfId="1"/>
    <xf numFmtId="164" fontId="6" fillId="0" borderId="0" applyAlignment="1" pivotButton="0" quotePrefix="0" xfId="1">
      <alignment horizontal="right"/>
    </xf>
    <xf numFmtId="43" fontId="6" fillId="0" borderId="0" pivotButton="0" quotePrefix="0" xfId="1"/>
    <xf numFmtId="164" fontId="2" fillId="0" borderId="0" applyAlignment="1" pivotButton="0" quotePrefix="0" xfId="1">
      <alignment horizontal="right"/>
    </xf>
    <xf numFmtId="43" fontId="2" fillId="0" borderId="0" pivotButton="0" quotePrefix="0" xfId="1"/>
    <xf numFmtId="168" fontId="63" fillId="0" borderId="0" pivotButton="0" quotePrefix="0" xfId="0"/>
    <xf numFmtId="164" fontId="6" fillId="0" borderId="0" applyAlignment="1" pivotButton="0" quotePrefix="0" xfId="1">
      <alignment horizontal="center" vertical="center"/>
    </xf>
    <xf numFmtId="37" fontId="5" fillId="0" borderId="12" applyAlignment="1" pivotButton="0" quotePrefix="0" xfId="0">
      <alignment horizontal="center" wrapText="1"/>
    </xf>
    <xf numFmtId="37" fontId="9" fillId="0" borderId="18" applyAlignment="1" pivotButton="0" quotePrefix="0" xfId="0">
      <alignment horizontal="center"/>
    </xf>
    <xf numFmtId="164" fontId="32" fillId="0" borderId="0" applyAlignment="1" pivotButton="0" quotePrefix="0" xfId="1">
      <alignment vertical="top" wrapText="1"/>
    </xf>
    <xf numFmtId="164" fontId="31" fillId="0" borderId="0" pivotButton="0" quotePrefix="0" xfId="1"/>
    <xf numFmtId="0" fontId="0" fillId="0" borderId="62" pivotButton="0" quotePrefix="0" xfId="0"/>
    <xf numFmtId="164" fontId="2" fillId="0" borderId="5" applyAlignment="1" pivotButton="0" quotePrefix="1" xfId="1">
      <alignment horizontal="center"/>
    </xf>
    <xf numFmtId="43" fontId="2" fillId="0" borderId="5" applyAlignment="1" pivotButton="0" quotePrefix="1" xfId="1">
      <alignment horizontal="center"/>
    </xf>
    <xf numFmtId="165" fontId="2" fillId="0" borderId="7" applyAlignment="1" pivotButton="0" quotePrefix="0" xfId="2">
      <alignment horizontal="right"/>
    </xf>
    <xf numFmtId="166" fontId="2" fillId="0" borderId="7" applyAlignment="1" pivotButton="0" quotePrefix="0" xfId="2">
      <alignment horizontal="right"/>
    </xf>
    <xf numFmtId="166" fontId="0" fillId="0" borderId="7" pivotButton="0" quotePrefix="0" xfId="1"/>
    <xf numFmtId="165" fontId="2" fillId="0" borderId="5" applyAlignment="1" pivotButton="0" quotePrefix="0" xfId="2">
      <alignment horizontal="right"/>
    </xf>
    <xf numFmtId="164" fontId="2" fillId="0" borderId="5" applyAlignment="1" pivotButton="0" quotePrefix="0" xfId="1">
      <alignment horizontal="right"/>
    </xf>
    <xf numFmtId="165" fontId="2" fillId="0" borderId="4" applyAlignment="1" pivotButton="0" quotePrefix="0" xfId="2">
      <alignment horizontal="right"/>
    </xf>
    <xf numFmtId="166" fontId="1" fillId="0" borderId="4" applyAlignment="1" pivotButton="0" quotePrefix="0" xfId="1">
      <alignment horizontal="center" vertical="center"/>
    </xf>
    <xf numFmtId="179" fontId="0" fillId="0" borderId="0" pivotButton="0" quotePrefix="0" xfId="0"/>
    <xf numFmtId="165" fontId="18" fillId="0" borderId="0" pivotButton="0" quotePrefix="0" xfId="1"/>
    <xf numFmtId="165" fontId="29" fillId="0" borderId="0" pivotButton="0" quotePrefix="0" xfId="1"/>
    <xf numFmtId="37" fontId="32" fillId="0" borderId="17" applyAlignment="1" pivotButton="0" quotePrefix="0" xfId="0">
      <alignment horizontal="center"/>
    </xf>
    <xf numFmtId="0" fontId="0" fillId="0" borderId="59" pivotButton="0" quotePrefix="0" xfId="0"/>
    <xf numFmtId="165" fontId="25" fillId="0" borderId="20" pivotButton="0" quotePrefix="0" xfId="1"/>
    <xf numFmtId="166" fontId="25" fillId="0" borderId="47" pivotButton="0" quotePrefix="0" xfId="1"/>
    <xf numFmtId="43" fontId="29" fillId="0" borderId="0" pivotButton="0" quotePrefix="0" xfId="1"/>
    <xf numFmtId="181" fontId="89" fillId="0" borderId="0" applyAlignment="1" pivotButton="0" quotePrefix="0" xfId="0">
      <alignment vertical="top" wrapText="1" readingOrder="1"/>
    </xf>
    <xf numFmtId="165" fontId="25" fillId="0" borderId="47" pivotButton="0" quotePrefix="0" xfId="1"/>
    <xf numFmtId="165" fontId="18" fillId="0" borderId="24" pivotButton="0" quotePrefix="0" xfId="1"/>
    <xf numFmtId="181" fontId="87" fillId="0" borderId="0" applyAlignment="1" pivotButton="0" quotePrefix="0" xfId="0">
      <alignment vertical="top" wrapText="1" readingOrder="1"/>
    </xf>
    <xf numFmtId="165" fontId="54" fillId="0" borderId="0" pivotButton="0" quotePrefix="0" xfId="1"/>
    <xf numFmtId="37" fontId="102" fillId="0" borderId="20" applyAlignment="1" pivotButton="0" quotePrefix="0" xfId="0">
      <alignment horizontal="left"/>
    </xf>
    <xf numFmtId="0" fontId="0" fillId="0" borderId="26" pivotButton="0" quotePrefix="0" xfId="0"/>
    <xf numFmtId="37" fontId="62" fillId="0" borderId="20" applyAlignment="1" pivotButton="0" quotePrefix="0" xfId="0">
      <alignment horizontal="left"/>
    </xf>
    <xf numFmtId="37" fontId="15" fillId="0" borderId="20" applyAlignment="1" pivotButton="0" quotePrefix="0" xfId="0">
      <alignment horizontal="left"/>
    </xf>
    <xf numFmtId="165" fontId="18" fillId="0" borderId="20" pivotButton="0" quotePrefix="0" xfId="1"/>
    <xf numFmtId="165" fontId="29" fillId="0" borderId="17" pivotButton="0" quotePrefix="0" xfId="1"/>
    <xf numFmtId="166" fontId="29" fillId="0" borderId="17" pivotButton="0" quotePrefix="0" xfId="1"/>
    <xf numFmtId="43" fontId="18" fillId="0" borderId="0" pivotButton="0" quotePrefix="0" xfId="1"/>
    <xf numFmtId="165" fontId="18" fillId="0" borderId="72" pivotButton="0" quotePrefix="0" xfId="1"/>
    <xf numFmtId="165" fontId="18" fillId="0" borderId="4" pivotButton="0" quotePrefix="0" xfId="1"/>
    <xf numFmtId="165" fontId="18" fillId="2" borderId="4" pivotButton="0" quotePrefix="0" xfId="1"/>
    <xf numFmtId="165" fontId="28" fillId="0" borderId="32" pivotButton="0" quotePrefix="0" xfId="1"/>
    <xf numFmtId="165" fontId="29" fillId="0" borderId="32" pivotButton="0" quotePrefix="0" xfId="1"/>
    <xf numFmtId="165" fontId="18" fillId="0" borderId="16" pivotButton="0" quotePrefix="0" xfId="1"/>
    <xf numFmtId="165" fontId="29" fillId="0" borderId="53" pivotButton="0" quotePrefix="0" xfId="1"/>
    <xf numFmtId="165" fontId="18" fillId="0" borderId="5" pivotButton="0" quotePrefix="0" xfId="1"/>
    <xf numFmtId="37" fontId="6" fillId="0" borderId="76" applyAlignment="1" pivotButton="0" quotePrefix="0" xfId="0">
      <alignment horizontal="right"/>
    </xf>
    <xf numFmtId="0" fontId="0" fillId="0" borderId="71" pivotButton="0" quotePrefix="0" xfId="0"/>
    <xf numFmtId="43" fontId="18" fillId="0" borderId="0" pivotButton="0" quotePrefix="0" xfId="0"/>
    <xf numFmtId="0" fontId="0" fillId="0" borderId="74" pivotButton="0" quotePrefix="0" xfId="0"/>
    <xf numFmtId="166" fontId="44" fillId="0" borderId="16" pivotButton="0" quotePrefix="0" xfId="1"/>
    <xf numFmtId="165" fontId="44" fillId="0" borderId="53" pivotButton="0" quotePrefix="0" xfId="1"/>
    <xf numFmtId="194" fontId="18" fillId="0" borderId="0" pivotButton="0" quotePrefix="0" xfId="1"/>
    <xf numFmtId="165" fontId="71" fillId="0" borderId="0" applyAlignment="1" pivotButton="0" quotePrefix="0" xfId="1">
      <alignment vertical="center" wrapText="1"/>
    </xf>
    <xf numFmtId="165" fontId="44" fillId="0" borderId="0" pivotButton="0" quotePrefix="0" xfId="1"/>
    <xf numFmtId="165" fontId="48" fillId="0" borderId="0" pivotButton="0" quotePrefix="0" xfId="1"/>
    <xf numFmtId="166" fontId="141" fillId="0" borderId="0" applyAlignment="1" pivotButton="0" quotePrefix="0" xfId="1">
      <alignment horizontal="left" vertical="top" wrapText="1"/>
    </xf>
    <xf numFmtId="37" fontId="140" fillId="0" borderId="17" applyAlignment="1" pivotButton="0" quotePrefix="0" xfId="0">
      <alignment horizontal="left" vertical="top" wrapText="1"/>
    </xf>
    <xf numFmtId="165" fontId="25" fillId="0" borderId="0" pivotButton="0" quotePrefix="0" xfId="1"/>
    <xf numFmtId="165" fontId="38" fillId="0" borderId="0" applyAlignment="1" pivotButton="0" quotePrefix="0" xfId="1">
      <alignment vertical="center" wrapText="1"/>
    </xf>
    <xf numFmtId="43" fontId="18" fillId="0" borderId="0" applyAlignment="1" pivotButton="0" quotePrefix="0" xfId="0">
      <alignment wrapText="1"/>
    </xf>
    <xf numFmtId="165" fontId="5" fillId="0" borderId="5" applyAlignment="1" pivotButton="0" quotePrefix="0" xfId="1">
      <alignment horizontal="center" vertical="center"/>
    </xf>
    <xf numFmtId="165" fontId="45" fillId="0" borderId="0" pivotButton="0" quotePrefix="0" xfId="1"/>
    <xf numFmtId="166" fontId="18" fillId="0" borderId="0" applyAlignment="1" pivotButton="0" quotePrefix="0" xfId="1">
      <alignment horizontal="center"/>
    </xf>
    <xf numFmtId="188" fontId="92" fillId="0" borderId="0" applyAlignment="1" pivotButton="0" quotePrefix="0" xfId="0">
      <alignment vertical="top" wrapText="1" readingOrder="1"/>
    </xf>
    <xf numFmtId="166" fontId="29" fillId="0" borderId="0" applyAlignment="1" pivotButton="0" quotePrefix="0" xfId="1">
      <alignment horizontal="center"/>
    </xf>
    <xf numFmtId="0" fontId="0" fillId="0" borderId="44" pivotButton="0" quotePrefix="0" xfId="0"/>
    <xf numFmtId="166" fontId="18" fillId="0" borderId="0" pivotButton="0" quotePrefix="0" xfId="1"/>
    <xf numFmtId="165" fontId="18" fillId="0" borderId="0" pivotButton="0" quotePrefix="0" xfId="0"/>
    <xf numFmtId="165" fontId="25" fillId="0" borderId="4" pivotButton="0" quotePrefix="0" xfId="0"/>
    <xf numFmtId="165" fontId="25" fillId="0" borderId="15" pivotButton="0" quotePrefix="0" xfId="0"/>
    <xf numFmtId="165" fontId="28" fillId="0" borderId="0" pivotButton="0" quotePrefix="0" xfId="1"/>
    <xf numFmtId="37" fontId="25" fillId="0" borderId="31" applyAlignment="1" pivotButton="0" quotePrefix="0" xfId="0">
      <alignment horizontal="left" vertical="center" wrapText="1"/>
    </xf>
    <xf numFmtId="165" fontId="43" fillId="0" borderId="4" pivotButton="0" quotePrefix="0" xfId="1"/>
    <xf numFmtId="165" fontId="43" fillId="0" borderId="32" pivotButton="0" quotePrefix="0" xfId="1"/>
    <xf numFmtId="193" fontId="18" fillId="2" borderId="4" pivotButton="0" quotePrefix="0" xfId="0"/>
    <xf numFmtId="183" fontId="18" fillId="2" borderId="4" pivotButton="0" quotePrefix="0" xfId="0"/>
    <xf numFmtId="165" fontId="43" fillId="0" borderId="16" pivotButton="0" quotePrefix="0" xfId="1"/>
    <xf numFmtId="165" fontId="43" fillId="0" borderId="53" pivotButton="0" quotePrefix="0" xfId="1"/>
    <xf numFmtId="165" fontId="29" fillId="0" borderId="4" applyAlignment="1" pivotButton="0" quotePrefix="0" xfId="1">
      <alignment horizontal="center"/>
    </xf>
    <xf numFmtId="166" fontId="29" fillId="0" borderId="4" applyAlignment="1" pivotButton="0" quotePrefix="0" xfId="1">
      <alignment horizontal="center"/>
    </xf>
    <xf numFmtId="165" fontId="45" fillId="0" borderId="21" applyAlignment="1" pivotButton="0" quotePrefix="0" xfId="1">
      <alignment vertical="center" wrapText="1"/>
    </xf>
    <xf numFmtId="165" fontId="45" fillId="0" borderId="0" applyAlignment="1" pivotButton="0" quotePrefix="0" xfId="1">
      <alignment vertical="center" wrapText="1"/>
    </xf>
    <xf numFmtId="166" fontId="25" fillId="0" borderId="21" applyAlignment="1" pivotButton="0" quotePrefix="0" xfId="1">
      <alignment vertical="center"/>
    </xf>
    <xf numFmtId="166" fontId="45" fillId="0" borderId="0" applyAlignment="1" pivotButton="0" quotePrefix="0" xfId="1">
      <alignment vertical="center" wrapText="1"/>
    </xf>
    <xf numFmtId="166" fontId="53" fillId="0" borderId="4" applyAlignment="1" pivotButton="0" quotePrefix="0" xfId="1">
      <alignment vertical="center"/>
    </xf>
    <xf numFmtId="165" fontId="53" fillId="0" borderId="4" applyAlignment="1" pivotButton="0" quotePrefix="0" xfId="1">
      <alignment vertical="center"/>
    </xf>
    <xf numFmtId="166" fontId="45" fillId="0" borderId="21" applyAlignment="1" pivotButton="0" quotePrefix="0" xfId="1">
      <alignment vertical="center" wrapText="1"/>
    </xf>
    <xf numFmtId="43" fontId="18" fillId="0" borderId="0" applyAlignment="1" pivotButton="0" quotePrefix="0" xfId="0">
      <alignment vertical="center"/>
    </xf>
    <xf numFmtId="165" fontId="44" fillId="0" borderId="4" pivotButton="0" quotePrefix="0" xfId="1"/>
    <xf numFmtId="165" fontId="51" fillId="0" borderId="5" applyAlignment="1" pivotButton="0" quotePrefix="0" xfId="1">
      <alignment horizontal="center"/>
    </xf>
    <xf numFmtId="43" fontId="23" fillId="0" borderId="0" pivotButton="0" quotePrefix="0" xfId="0"/>
    <xf numFmtId="166" fontId="18" fillId="0" borderId="0" pivotButton="0" quotePrefix="0" xfId="0"/>
    <xf numFmtId="165" fontId="25" fillId="0" borderId="4" pivotButton="0" quotePrefix="0" xfId="1"/>
    <xf numFmtId="172" fontId="29" fillId="0" borderId="0" pivotButton="0" quotePrefix="0" xfId="0"/>
    <xf numFmtId="165" fontId="25" fillId="0" borderId="0" applyAlignment="1" pivotButton="0" quotePrefix="0" xfId="1">
      <alignment horizontal="left" vertical="top" wrapText="1"/>
    </xf>
    <xf numFmtId="166" fontId="25" fillId="0" borderId="4" pivotButton="0" quotePrefix="0" xfId="1"/>
    <xf numFmtId="165" fontId="25" fillId="0" borderId="21" applyAlignment="1" pivotButton="0" quotePrefix="0" xfId="1">
      <alignment horizontal="left" vertical="top" wrapText="1"/>
    </xf>
    <xf numFmtId="166" fontId="54" fillId="0" borderId="4" pivotButton="0" quotePrefix="0" xfId="1"/>
    <xf numFmtId="166" fontId="25" fillId="0" borderId="0" applyAlignment="1" pivotButton="0" quotePrefix="0" xfId="1">
      <alignment horizontal="left" vertical="top" wrapText="1"/>
    </xf>
    <xf numFmtId="180" fontId="25" fillId="0" borderId="0" applyAlignment="1" pivotButton="0" quotePrefix="0" xfId="1">
      <alignment horizontal="left" vertical="top" wrapText="1"/>
    </xf>
    <xf numFmtId="43" fontId="25" fillId="0" borderId="0" pivotButton="0" quotePrefix="0" xfId="1"/>
    <xf numFmtId="165" fontId="23" fillId="0" borderId="0" pivotButton="0" quotePrefix="0" xfId="0"/>
    <xf numFmtId="166" fontId="23" fillId="0" borderId="0" pivotButton="0" quotePrefix="0" xfId="0"/>
    <xf numFmtId="166" fontId="43" fillId="0" borderId="4" pivotButton="0" quotePrefix="0" xfId="1"/>
    <xf numFmtId="165" fontId="25" fillId="2" borderId="0" pivotButton="0" quotePrefix="0" xfId="1"/>
    <xf numFmtId="165" fontId="45" fillId="0" borderId="4" pivotButton="0" quotePrefix="0" xfId="1"/>
    <xf numFmtId="43" fontId="55" fillId="0" borderId="0" pivotButton="0" quotePrefix="0" xfId="0"/>
    <xf numFmtId="166" fontId="25" fillId="0" borderId="0" pivotButton="0" quotePrefix="0" xfId="1"/>
    <xf numFmtId="166" fontId="43" fillId="2" borderId="4" pivotButton="0" quotePrefix="0" xfId="1"/>
    <xf numFmtId="165" fontId="43" fillId="2" borderId="4" pivotButton="0" quotePrefix="0" xfId="1"/>
    <xf numFmtId="165" fontId="43" fillId="0" borderId="0" pivotButton="0" quotePrefix="0" xfId="1"/>
    <xf numFmtId="165" fontId="46" fillId="0" borderId="0" pivotButton="0" quotePrefix="0" xfId="1"/>
    <xf numFmtId="165" fontId="18" fillId="0" borderId="0" applyAlignment="1" pivotButton="0" quotePrefix="0" xfId="0">
      <alignment horizontal="left" indent="2"/>
    </xf>
    <xf numFmtId="166" fontId="29" fillId="0" borderId="0" pivotButton="0" quotePrefix="0" xfId="0"/>
    <xf numFmtId="166" fontId="18" fillId="0" borderId="0" applyAlignment="1" pivotButton="0" quotePrefix="0" xfId="0">
      <alignment horizontal="left" indent="2"/>
    </xf>
    <xf numFmtId="165" fontId="25" fillId="0" borderId="0" applyAlignment="1" pivotButton="0" quotePrefix="0" xfId="1">
      <alignment horizontal="center"/>
    </xf>
    <xf numFmtId="165" fontId="45" fillId="0" borderId="34" applyAlignment="1" pivotButton="0" quotePrefix="0" xfId="1">
      <alignment horizontal="center" vertical="center" wrapText="1"/>
    </xf>
    <xf numFmtId="165" fontId="45" fillId="0" borderId="36" applyAlignment="1" pivotButton="0" quotePrefix="0" xfId="1">
      <alignment horizontal="center"/>
    </xf>
    <xf numFmtId="165" fontId="29" fillId="0" borderId="39" applyAlignment="1" pivotButton="0" quotePrefix="0" xfId="1">
      <alignment horizontal="center" vertical="center" wrapText="1"/>
    </xf>
    <xf numFmtId="0" fontId="28" fillId="0" borderId="17" applyAlignment="1" pivotButton="0" quotePrefix="0" xfId="0">
      <alignment horizontal="center"/>
    </xf>
    <xf numFmtId="0" fontId="0" fillId="0" borderId="90" pivotButton="0" quotePrefix="0" xfId="0"/>
    <xf numFmtId="165" fontId="45" fillId="0" borderId="23" applyAlignment="1" pivotButton="0" quotePrefix="0" xfId="1">
      <alignment horizontal="center"/>
    </xf>
    <xf numFmtId="165" fontId="45" fillId="0" borderId="17" applyAlignment="1" pivotButton="0" quotePrefix="0" xfId="1">
      <alignment horizontal="center"/>
    </xf>
    <xf numFmtId="0" fontId="0" fillId="0" borderId="29" pivotButton="0" quotePrefix="0" xfId="0"/>
    <xf numFmtId="166" fontId="29" fillId="0" borderId="30" pivotButton="0" quotePrefix="0" xfId="1"/>
    <xf numFmtId="166" fontId="29" fillId="0" borderId="50" pivotButton="0" quotePrefix="0" xfId="1"/>
    <xf numFmtId="43" fontId="29" fillId="0" borderId="0" applyAlignment="1" pivotButton="0" quotePrefix="0" xfId="0">
      <alignment horizontal="right"/>
    </xf>
    <xf numFmtId="165" fontId="2" fillId="2" borderId="4" applyAlignment="1" pivotButton="0" quotePrefix="0" xfId="1">
      <alignment horizontal="right" vertical="center" wrapText="1"/>
    </xf>
    <xf numFmtId="165" fontId="2" fillId="0" borderId="4" applyAlignment="1" pivotButton="0" quotePrefix="0" xfId="1">
      <alignment horizontal="right" vertical="center" wrapText="1"/>
    </xf>
    <xf numFmtId="165" fontId="16" fillId="0" borderId="12" applyAlignment="1" pivotButton="0" quotePrefix="0" xfId="1">
      <alignment horizontal="right" vertical="center" wrapText="1"/>
    </xf>
    <xf numFmtId="165" fontId="29" fillId="0" borderId="24" pivotButton="0" quotePrefix="0" xfId="0"/>
    <xf numFmtId="166" fontId="25" fillId="0" borderId="2" pivotButton="0" quotePrefix="0" xfId="1"/>
    <xf numFmtId="166" fontId="29" fillId="0" borderId="29" pivotButton="0" quotePrefix="0" xfId="1"/>
    <xf numFmtId="174" fontId="18" fillId="0" borderId="0" pivotButton="0" quotePrefix="0" xfId="0"/>
    <xf numFmtId="165" fontId="2" fillId="4" borderId="4" applyAlignment="1" pivotButton="0" quotePrefix="0" xfId="1">
      <alignment horizontal="right" vertical="center" wrapText="1"/>
    </xf>
    <xf numFmtId="164" fontId="2" fillId="0" borderId="4" applyAlignment="1" pivotButton="0" quotePrefix="0" xfId="1">
      <alignment horizontal="right" vertical="center" wrapText="1"/>
    </xf>
    <xf numFmtId="43" fontId="29" fillId="0" borderId="0" pivotButton="0" quotePrefix="0" xfId="0"/>
    <xf numFmtId="43" fontId="29" fillId="0" borderId="26" pivotButton="0" quotePrefix="0" xfId="0"/>
    <xf numFmtId="165" fontId="2" fillId="0" borderId="9" applyAlignment="1" pivotButton="0" quotePrefix="0" xfId="1">
      <alignment horizontal="right" vertical="center" wrapText="1"/>
    </xf>
    <xf numFmtId="165" fontId="18" fillId="0" borderId="24" pivotButton="0" quotePrefix="0" xfId="0"/>
    <xf numFmtId="166" fontId="18" fillId="0" borderId="2" pivotButton="0" quotePrefix="0" xfId="1"/>
    <xf numFmtId="166" fontId="18" fillId="0" borderId="29" pivotButton="0" quotePrefix="0" xfId="1"/>
    <xf numFmtId="165" fontId="2" fillId="4" borderId="9" applyAlignment="1" pivotButton="0" quotePrefix="0" xfId="1">
      <alignment horizontal="right" vertical="center" wrapText="1"/>
    </xf>
    <xf numFmtId="165" fontId="16" fillId="0" borderId="10" applyAlignment="1" pivotButton="0" quotePrefix="0" xfId="1">
      <alignment horizontal="right" vertical="center" wrapText="1"/>
    </xf>
    <xf numFmtId="166" fontId="29" fillId="0" borderId="0" pivotButton="0" quotePrefix="0" xfId="1"/>
    <xf numFmtId="166" fontId="29" fillId="0" borderId="26" pivotButton="0" quotePrefix="0" xfId="1"/>
    <xf numFmtId="43" fontId="28" fillId="0" borderId="0" pivotButton="0" quotePrefix="0" xfId="0"/>
    <xf numFmtId="43" fontId="25" fillId="0" borderId="0" pivotButton="0" quotePrefix="0" xfId="0"/>
    <xf numFmtId="43" fontId="54" fillId="0" borderId="0" pivotButton="0" quotePrefix="0" xfId="0"/>
    <xf numFmtId="166" fontId="70" fillId="0" borderId="0" applyAlignment="1" pivotButton="0" quotePrefix="0" xfId="0">
      <alignment wrapText="1"/>
    </xf>
    <xf numFmtId="165" fontId="6" fillId="0" borderId="37" applyAlignment="1" pivotButton="0" quotePrefix="0" xfId="1">
      <alignment horizontal="right" vertical="center" wrapText="1"/>
    </xf>
    <xf numFmtId="165" fontId="6" fillId="0" borderId="0" applyAlignment="1" pivotButton="0" quotePrefix="0" xfId="1">
      <alignment horizontal="right" vertical="center" wrapText="1"/>
    </xf>
    <xf numFmtId="166" fontId="6" fillId="0" borderId="0" applyAlignment="1" pivotButton="0" quotePrefix="0" xfId="1">
      <alignment horizontal="right" vertical="center" wrapText="1"/>
    </xf>
    <xf numFmtId="166" fontId="70" fillId="0" borderId="0" applyAlignment="1" pivotButton="0" quotePrefix="0" xfId="0">
      <alignment vertical="center" wrapText="1"/>
    </xf>
    <xf numFmtId="165" fontId="25" fillId="0" borderId="0" pivotButton="0" quotePrefix="0" xfId="0"/>
    <xf numFmtId="165" fontId="45" fillId="0" borderId="38" pivotButton="0" quotePrefix="0" xfId="1"/>
    <xf numFmtId="166" fontId="18" fillId="0" borderId="26" pivotButton="0" quotePrefix="0" xfId="1"/>
    <xf numFmtId="166" fontId="29" fillId="0" borderId="42" pivotButton="0" quotePrefix="0" xfId="1"/>
    <xf numFmtId="165" fontId="29" fillId="0" borderId="25" pivotButton="0" quotePrefix="0" xfId="0"/>
    <xf numFmtId="166" fontId="29" fillId="0" borderId="23" pivotButton="0" quotePrefix="0" xfId="0"/>
    <xf numFmtId="166" fontId="29" fillId="0" borderId="43" pivotButton="0" quotePrefix="0" xfId="0"/>
    <xf numFmtId="165" fontId="28" fillId="0" borderId="17" applyAlignment="1" pivotButton="0" quotePrefix="0" xfId="0">
      <alignment horizontal="center" wrapText="1"/>
    </xf>
    <xf numFmtId="166" fontId="29" fillId="0" borderId="30" pivotButton="0" quotePrefix="0" xfId="0"/>
    <xf numFmtId="166" fontId="29" fillId="0" borderId="50" pivotButton="0" quotePrefix="0" xfId="0"/>
    <xf numFmtId="166" fontId="29" fillId="0" borderId="26" pivotButton="0" quotePrefix="0" xfId="0"/>
    <xf numFmtId="165" fontId="29" fillId="0" borderId="26" pivotButton="0" quotePrefix="0" xfId="0"/>
    <xf numFmtId="165" fontId="29" fillId="0" borderId="20" pivotButton="0" quotePrefix="0" xfId="0"/>
    <xf numFmtId="166" fontId="29" fillId="0" borderId="20" pivotButton="0" quotePrefix="0" xfId="0"/>
    <xf numFmtId="165" fontId="29" fillId="0" borderId="34" applyAlignment="1" pivotButton="0" quotePrefix="0" xfId="0">
      <alignment horizontal="center" wrapText="1"/>
    </xf>
    <xf numFmtId="0" fontId="0" fillId="0" borderId="55" pivotButton="0" quotePrefix="0" xfId="0"/>
    <xf numFmtId="0" fontId="0" fillId="0" borderId="39" pivotButton="0" quotePrefix="0" xfId="0"/>
    <xf numFmtId="165" fontId="29" fillId="0" borderId="52" applyAlignment="1" pivotButton="0" quotePrefix="0" xfId="0">
      <alignment horizontal="center" wrapText="1"/>
    </xf>
    <xf numFmtId="165" fontId="29" fillId="0" borderId="16" applyAlignment="1" pivotButton="0" quotePrefix="0" xfId="0">
      <alignment horizontal="center" wrapText="1"/>
    </xf>
    <xf numFmtId="165" fontId="29" fillId="0" borderId="53" applyAlignment="1" pivotButton="0" quotePrefix="0" xfId="0">
      <alignment horizontal="center" wrapText="1"/>
    </xf>
    <xf numFmtId="165" fontId="18" fillId="0" borderId="5" applyAlignment="1" pivotButton="0" quotePrefix="0" xfId="0">
      <alignment horizontal="left" wrapText="1"/>
    </xf>
    <xf numFmtId="166" fontId="18" fillId="0" borderId="5" applyAlignment="1" pivotButton="0" quotePrefix="0" xfId="0">
      <alignment horizontal="center" wrapText="1"/>
    </xf>
    <xf numFmtId="166" fontId="18" fillId="0" borderId="4" applyAlignment="1" pivotButton="0" quotePrefix="0" xfId="0">
      <alignment horizontal="center" wrapText="1"/>
    </xf>
    <xf numFmtId="0" fontId="45" fillId="0" borderId="17" applyAlignment="1" pivotButton="0" quotePrefix="0" xfId="0">
      <alignment horizontal="center"/>
    </xf>
    <xf numFmtId="165" fontId="25" fillId="0" borderId="20" applyAlignment="1" pivotButton="0" quotePrefix="0" xfId="1">
      <alignment horizontal="right"/>
    </xf>
    <xf numFmtId="165" fontId="25" fillId="0" borderId="0" applyAlignment="1" pivotButton="0" quotePrefix="0" xfId="1">
      <alignment horizontal="right"/>
    </xf>
    <xf numFmtId="165" fontId="25" fillId="0" borderId="20" pivotButton="0" quotePrefix="0" xfId="0"/>
    <xf numFmtId="166" fontId="54" fillId="0" borderId="4" applyAlignment="1" pivotButton="0" quotePrefix="0" xfId="0">
      <alignment horizontal="center" wrapText="1"/>
    </xf>
    <xf numFmtId="165" fontId="18" fillId="0" borderId="5" applyAlignment="1" pivotButton="0" quotePrefix="0" xfId="0">
      <alignment horizontal="center" wrapText="1"/>
    </xf>
    <xf numFmtId="178" fontId="25" fillId="0" borderId="17" pivotButton="0" quotePrefix="0" xfId="0"/>
    <xf numFmtId="178" fontId="25" fillId="0" borderId="0" pivotButton="0" quotePrefix="0" xfId="0"/>
    <xf numFmtId="166" fontId="54" fillId="0" borderId="5" applyAlignment="1" pivotButton="0" quotePrefix="0" xfId="0">
      <alignment horizontal="center" wrapText="1"/>
    </xf>
    <xf numFmtId="165" fontId="97" fillId="0" borderId="0" applyAlignment="1" pivotButton="0" quotePrefix="0" xfId="1">
      <alignment vertical="center" wrapText="1"/>
    </xf>
    <xf numFmtId="166" fontId="23" fillId="0" borderId="4" pivotButton="0" quotePrefix="0" xfId="0"/>
    <xf numFmtId="165" fontId="29" fillId="0" borderId="0" applyAlignment="1" pivotButton="0" quotePrefix="0" xfId="0">
      <alignment horizontal="center" wrapText="1"/>
    </xf>
    <xf numFmtId="0" fontId="28" fillId="0" borderId="4" applyAlignment="1" pivotButton="0" quotePrefix="0" xfId="0">
      <alignment horizontal="left"/>
    </xf>
    <xf numFmtId="165" fontId="115" fillId="0" borderId="0" applyAlignment="1" pivotButton="0" quotePrefix="0" xfId="1">
      <alignment vertical="center" wrapText="1"/>
    </xf>
    <xf numFmtId="166" fontId="28" fillId="0" borderId="0" pivotButton="0" quotePrefix="0" xfId="0"/>
    <xf numFmtId="165" fontId="28" fillId="0" borderId="0" applyAlignment="1" pivotButton="0" quotePrefix="0" xfId="1">
      <alignment vertical="center" wrapText="1"/>
    </xf>
    <xf numFmtId="0" fontId="123" fillId="0" borderId="17" applyAlignment="1" pivotButton="0" quotePrefix="0" xfId="0">
      <alignment horizontal="center"/>
    </xf>
    <xf numFmtId="165" fontId="18" fillId="0" borderId="33" pivotButton="0" quotePrefix="0" xfId="1"/>
    <xf numFmtId="166" fontId="29" fillId="0" borderId="5" pivotButton="0" quotePrefix="0" xfId="0"/>
    <xf numFmtId="165" fontId="113" fillId="0" borderId="0" applyAlignment="1" pivotButton="0" quotePrefix="0" xfId="1">
      <alignment vertical="center" wrapText="1"/>
    </xf>
    <xf numFmtId="166" fontId="18" fillId="0" borderId="4" pivotButton="0" quotePrefix="0" xfId="0"/>
    <xf numFmtId="191" fontId="25" fillId="0" borderId="17" pivotButton="0" quotePrefix="0" xfId="0"/>
    <xf numFmtId="165" fontId="54" fillId="0" borderId="0" applyAlignment="1" pivotButton="0" quotePrefix="0" xfId="1">
      <alignment vertical="center" wrapText="1"/>
    </xf>
    <xf numFmtId="191" fontId="25" fillId="0" borderId="0" pivotButton="0" quotePrefix="0" xfId="0"/>
    <xf numFmtId="166" fontId="18" fillId="0" borderId="9" pivotButton="0" quotePrefix="0" xfId="0"/>
    <xf numFmtId="191" fontId="113" fillId="0" borderId="0" applyAlignment="1" pivotButton="0" quotePrefix="0" xfId="0">
      <alignment vertical="center" wrapText="1"/>
    </xf>
    <xf numFmtId="165" fontId="113" fillId="0" borderId="40" applyAlignment="1" pivotButton="0" quotePrefix="0" xfId="1">
      <alignment vertical="center" wrapText="1"/>
    </xf>
    <xf numFmtId="166" fontId="9" fillId="0" borderId="9" pivotButton="0" quotePrefix="0" xfId="1"/>
    <xf numFmtId="166" fontId="9" fillId="0" borderId="87" pivotButton="0" quotePrefix="0" xfId="1"/>
    <xf numFmtId="191" fontId="139" fillId="0" borderId="0" applyAlignment="1" pivotButton="0" quotePrefix="0" xfId="0">
      <alignment vertical="center"/>
    </xf>
    <xf numFmtId="166" fontId="29" fillId="0" borderId="4" pivotButton="0" quotePrefix="0" xfId="0"/>
    <xf numFmtId="166" fontId="9" fillId="0" borderId="32" pivotButton="0" quotePrefix="0" xfId="1"/>
    <xf numFmtId="165" fontId="29" fillId="0" borderId="0" applyAlignment="1" pivotButton="0" quotePrefix="0" xfId="1">
      <alignment horizontal="center"/>
    </xf>
    <xf numFmtId="178" fontId="45" fillId="0" borderId="0" applyAlignment="1" pivotButton="0" quotePrefix="0" xfId="0">
      <alignment horizontal="left" vertical="top" wrapText="1"/>
    </xf>
    <xf numFmtId="166" fontId="19" fillId="0" borderId="4" pivotButton="0" quotePrefix="0" xfId="1"/>
    <xf numFmtId="166" fontId="19" fillId="0" borderId="32" pivotButton="0" quotePrefix="0" xfId="1"/>
    <xf numFmtId="166" fontId="0" fillId="0" borderId="32" pivotButton="0" quotePrefix="0" xfId="1"/>
    <xf numFmtId="14" fontId="45" fillId="0" borderId="52" applyAlignment="1" pivotButton="0" quotePrefix="0" xfId="0">
      <alignment horizontal="center"/>
    </xf>
    <xf numFmtId="0" fontId="0" fillId="0" borderId="58" pivotButton="0" quotePrefix="0" xfId="0"/>
    <xf numFmtId="166" fontId="9" fillId="0" borderId="16" pivotButton="0" quotePrefix="0" xfId="1"/>
    <xf numFmtId="166" fontId="9" fillId="0" borderId="53" pivotButton="0" quotePrefix="0" xfId="1"/>
    <xf numFmtId="37" fontId="105" fillId="0" borderId="19" applyAlignment="1" pivotButton="0" quotePrefix="0" xfId="0">
      <alignment horizontal="center" vertical="center"/>
    </xf>
    <xf numFmtId="192" fontId="64" fillId="0" borderId="4" applyAlignment="1" pivotButton="0" quotePrefix="0" xfId="0">
      <alignment vertical="center"/>
    </xf>
    <xf numFmtId="189" fontId="64" fillId="0" borderId="4" applyAlignment="1" pivotButton="0" quotePrefix="0" xfId="0">
      <alignment horizontal="right" vertical="center"/>
    </xf>
    <xf numFmtId="189" fontId="107" fillId="0" borderId="32" applyAlignment="1" pivotButton="0" quotePrefix="0" xfId="0">
      <alignment horizontal="right" vertical="center"/>
    </xf>
    <xf numFmtId="192" fontId="106" fillId="0" borderId="4" applyAlignment="1" pivotButton="0" quotePrefix="0" xfId="0">
      <alignment vertical="center"/>
    </xf>
    <xf numFmtId="192" fontId="107" fillId="0" borderId="4" applyAlignment="1" pivotButton="0" quotePrefix="0" xfId="0">
      <alignment vertical="center"/>
    </xf>
    <xf numFmtId="189" fontId="107" fillId="0" borderId="4" applyAlignment="1" pivotButton="0" quotePrefix="0" xfId="0">
      <alignment horizontal="right" vertical="center"/>
    </xf>
    <xf numFmtId="165" fontId="45" fillId="0" borderId="17" pivotButton="0" quotePrefix="0" xfId="1"/>
    <xf numFmtId="165" fontId="45" fillId="0" borderId="27" pivotButton="0" quotePrefix="0" xfId="1"/>
    <xf numFmtId="189" fontId="104" fillId="0" borderId="19" applyAlignment="1" pivotButton="0" quotePrefix="0" xfId="0">
      <alignment horizontal="right" vertical="center"/>
    </xf>
    <xf numFmtId="165" fontId="25" fillId="0" borderId="17" pivotButton="0" quotePrefix="0" xfId="1"/>
    <xf numFmtId="189" fontId="64" fillId="0" borderId="86" applyAlignment="1" pivotButton="0" quotePrefix="0" xfId="0">
      <alignment horizontal="right" vertical="center"/>
    </xf>
    <xf numFmtId="189" fontId="64" fillId="0" borderId="17" applyAlignment="1" pivotButton="0" quotePrefix="0" xfId="0">
      <alignment horizontal="right" vertical="center"/>
    </xf>
    <xf numFmtId="0" fontId="1" fillId="0" borderId="4" pivotButton="0" quotePrefix="0" xfId="0"/>
    <xf numFmtId="43" fontId="60" fillId="0" borderId="0" pivotButton="0" quotePrefix="0" xfId="0"/>
    <xf numFmtId="43" fontId="60" fillId="0" borderId="20" pivotButton="0" quotePrefix="0" xfId="0"/>
    <xf numFmtId="43" fontId="114" fillId="0" borderId="0" pivotButton="0" quotePrefix="0" xfId="0"/>
    <xf numFmtId="43" fontId="60" fillId="0" borderId="23" pivotButton="0" quotePrefix="0" xfId="0"/>
    <xf numFmtId="43" fontId="60" fillId="0" borderId="18" pivotButton="0" quotePrefix="0" xfId="0"/>
    <xf numFmtId="2" fontId="114" fillId="0" borderId="0" pivotButton="0" quotePrefix="0" xfId="0"/>
    <xf numFmtId="0" fontId="114" fillId="0" borderId="0" pivotButton="0" quotePrefix="0" xfId="0"/>
    <xf numFmtId="0" fontId="114" fillId="0" borderId="20" applyAlignment="1" pivotButton="0" quotePrefix="0" xfId="0">
      <alignment horizontal="center" vertical="center"/>
    </xf>
    <xf numFmtId="43" fontId="114" fillId="0" borderId="20" pivotButton="0" quotePrefix="0" xfId="0"/>
    <xf numFmtId="0" fontId="114" fillId="0" borderId="18" applyAlignment="1" pivotButton="0" quotePrefix="0" xfId="0">
      <alignment horizontal="center" vertical="center"/>
    </xf>
    <xf numFmtId="0" fontId="114" fillId="0" borderId="18" pivotButton="0" quotePrefix="0" xfId="0"/>
    <xf numFmtId="43" fontId="114" fillId="0" borderId="23" pivotButton="0" quotePrefix="0" xfId="0"/>
    <xf numFmtId="43" fontId="114" fillId="0" borderId="18" pivotButton="0" quotePrefix="0" xfId="0"/>
    <xf numFmtId="166" fontId="114" fillId="0" borderId="0" pivotButton="0" quotePrefix="0" xfId="0"/>
    <xf numFmtId="0" fontId="114" fillId="0" borderId="19" applyAlignment="1" pivotButton="0" quotePrefix="0" xfId="0">
      <alignment horizontal="center" vertical="center"/>
    </xf>
    <xf numFmtId="0" fontId="114" fillId="0" borderId="19" pivotButton="0" quotePrefix="0" xfId="0"/>
    <xf numFmtId="43" fontId="114" fillId="0" borderId="19" pivotButton="0" quotePrefix="0" xfId="0"/>
    <xf numFmtId="2" fontId="114" fillId="0" borderId="18" pivotButton="0" quotePrefix="0" xfId="0"/>
    <xf numFmtId="0" fontId="114" fillId="0" borderId="41" pivotButton="0" quotePrefix="0" xfId="0"/>
    <xf numFmtId="2" fontId="114" fillId="0" borderId="30" pivotButton="0" quotePrefix="0" xfId="0"/>
    <xf numFmtId="2" fontId="114" fillId="0" borderId="19" pivotButton="0" quotePrefix="0" xfId="0"/>
    <xf numFmtId="0" fontId="114" fillId="0" borderId="0" applyAlignment="1" pivotButton="0" quotePrefix="0" xfId="0">
      <alignment wrapText="1"/>
    </xf>
    <xf numFmtId="0" fontId="114" fillId="0" borderId="24" applyAlignment="1" pivotButton="0" quotePrefix="0" xfId="0">
      <alignment horizontal="center"/>
    </xf>
    <xf numFmtId="2" fontId="114" fillId="0" borderId="20" pivotButton="0" quotePrefix="0" xfId="0"/>
    <xf numFmtId="0" fontId="114" fillId="0" borderId="24" pivotButton="0" quotePrefix="0" xfId="0"/>
    <xf numFmtId="0" fontId="114" fillId="0" borderId="25" pivotButton="0" quotePrefix="0" xfId="0"/>
    <xf numFmtId="2" fontId="114" fillId="0" borderId="23" pivotButton="0" quotePrefix="0" xfId="0"/>
    <xf numFmtId="43" fontId="114" fillId="0" borderId="30" pivotButton="0" quotePrefix="0" xfId="0"/>
    <xf numFmtId="0" fontId="114" fillId="0" borderId="24" applyAlignment="1" pivotButton="0" quotePrefix="0" xfId="0">
      <alignment horizontal="center" vertical="center"/>
    </xf>
    <xf numFmtId="0" fontId="114" fillId="0" borderId="20" applyAlignment="1" pivotButton="0" quotePrefix="0" xfId="0">
      <alignment horizontal="center"/>
    </xf>
    <xf numFmtId="0" fontId="114" fillId="0" borderId="20" applyAlignment="1" pivotButton="0" quotePrefix="0" xfId="0">
      <alignment horizontal="left" indent="10"/>
    </xf>
    <xf numFmtId="0" fontId="114" fillId="0" borderId="20" applyAlignment="1" pivotButton="0" quotePrefix="0" xfId="0">
      <alignment horizontal="left" indent="9"/>
    </xf>
    <xf numFmtId="0" fontId="0" fillId="0" borderId="24" pivotButton="0" quotePrefix="0" xfId="0"/>
    <xf numFmtId="37" fontId="114" fillId="0" borderId="20" pivotButton="0" quotePrefix="0" xfId="0"/>
    <xf numFmtId="37" fontId="114" fillId="0" borderId="18" pivotButton="0" quotePrefix="0" xfId="0"/>
    <xf numFmtId="0" fontId="114" fillId="0" borderId="30" pivotButton="0" quotePrefix="0" xfId="0"/>
    <xf numFmtId="2" fontId="114" fillId="0" borderId="20" applyAlignment="1" pivotButton="0" quotePrefix="0" xfId="0">
      <alignment horizontal="center"/>
    </xf>
    <xf numFmtId="0" fontId="114" fillId="0" borderId="23" pivotButton="0" quotePrefix="0" xfId="0"/>
    <xf numFmtId="2" fontId="114" fillId="0" borderId="18" applyAlignment="1" pivotButton="0" quotePrefix="0" xfId="0">
      <alignment horizontal="center"/>
    </xf>
    <xf numFmtId="2" fontId="114" fillId="0" borderId="50" pivotButton="0" quotePrefix="0" xfId="0"/>
    <xf numFmtId="2" fontId="114" fillId="0" borderId="26" pivotButton="0" quotePrefix="0" xfId="0"/>
    <xf numFmtId="0" fontId="114" fillId="0" borderId="18" applyAlignment="1" pivotButton="0" quotePrefix="0" xfId="0">
      <alignment wrapText="1"/>
    </xf>
    <xf numFmtId="2" fontId="114" fillId="0" borderId="43" pivotButton="0" quotePrefix="0" xfId="0"/>
    <xf numFmtId="43" fontId="114" fillId="0" borderId="26" pivotButton="0" quotePrefix="0" xfId="0"/>
    <xf numFmtId="0" fontId="114" fillId="0" borderId="0" applyAlignment="1" pivotButton="0" quotePrefix="0" xfId="0">
      <alignment horizontal="center" vertical="center"/>
    </xf>
    <xf numFmtId="0" fontId="114" fillId="0" borderId="20" applyAlignment="1" pivotButton="0" quotePrefix="0" xfId="0">
      <alignment horizontal="left"/>
    </xf>
    <xf numFmtId="0" fontId="114" fillId="0" borderId="20" applyAlignment="1" pivotButton="0" quotePrefix="0" xfId="0">
      <alignment horizontal="right"/>
    </xf>
    <xf numFmtId="0" fontId="114" fillId="0" borderId="20" applyAlignment="1" pivotButton="0" quotePrefix="0" xfId="0">
      <alignment wrapText="1"/>
    </xf>
    <xf numFmtId="0" fontId="114" fillId="0" borderId="26" pivotButton="0" quotePrefix="0" xfId="0"/>
    <xf numFmtId="43" fontId="114" fillId="0" borderId="43" pivotButton="0" quotePrefix="0" xfId="0"/>
    <xf numFmtId="0" fontId="114" fillId="0" borderId="20" applyAlignment="1" pivotButton="0" quotePrefix="0" xfId="0">
      <alignment horizontal="left" indent="1"/>
    </xf>
    <xf numFmtId="0" fontId="114" fillId="0" borderId="20" applyAlignment="1" pivotButton="0" quotePrefix="0" xfId="0">
      <alignment horizontal="left" indent="20"/>
    </xf>
    <xf numFmtId="2" fontId="114" fillId="0" borderId="26" applyAlignment="1" pivotButton="0" quotePrefix="0" xfId="0">
      <alignment horizontal="center"/>
    </xf>
    <xf numFmtId="0" fontId="114" fillId="0" borderId="18" applyAlignment="1" pivotButton="0" quotePrefix="0" xfId="0">
      <alignment horizontal="center"/>
    </xf>
    <xf numFmtId="0" fontId="114" fillId="0" borderId="19" applyAlignment="1" pivotButton="0" quotePrefix="0" xfId="0">
      <alignment horizontal="center"/>
    </xf>
    <xf numFmtId="43" fontId="112" fillId="0" borderId="0" applyAlignment="1" pivotButton="0" quotePrefix="0" xfId="0">
      <alignment vertical="center" wrapText="1"/>
    </xf>
    <xf numFmtId="43" fontId="21" fillId="0" borderId="24" applyAlignment="1" pivotButton="0" quotePrefix="0" xfId="0">
      <alignment horizontal="center" vertical="center" wrapText="1"/>
    </xf>
    <xf numFmtId="43" fontId="114" fillId="0" borderId="24" applyAlignment="1" pivotButton="0" quotePrefix="0" xfId="0">
      <alignment horizontal="center" vertical="center" wrapText="1"/>
    </xf>
    <xf numFmtId="43" fontId="61" fillId="2" borderId="24" applyAlignment="1" pivotButton="0" quotePrefix="0" xfId="0">
      <alignment vertical="center" wrapText="1"/>
    </xf>
    <xf numFmtId="43" fontId="112" fillId="0" borderId="0" applyAlignment="1" pivotButton="0" quotePrefix="0" xfId="0">
      <alignment horizontal="center" vertical="center" wrapText="1"/>
    </xf>
    <xf numFmtId="43" fontId="114" fillId="0" borderId="0" applyAlignment="1" pivotButton="0" quotePrefix="0" xfId="0">
      <alignment vertical="center" wrapText="1"/>
    </xf>
    <xf numFmtId="39" fontId="114" fillId="0" borderId="0" pivotButton="0" quotePrefix="0" xfId="0"/>
    <xf numFmtId="39" fontId="114" fillId="0" borderId="20" pivotButton="0" quotePrefix="0" xfId="0"/>
    <xf numFmtId="0" fontId="114" fillId="0" borderId="20" applyAlignment="1" pivotButton="0" quotePrefix="0" xfId="0">
      <alignment horizontal="left" indent="12"/>
    </xf>
    <xf numFmtId="43" fontId="126" fillId="0" borderId="24" applyAlignment="1" pivotButton="0" quotePrefix="0" xfId="0">
      <alignment horizontal="center" vertical="center" wrapText="1"/>
    </xf>
    <xf numFmtId="43" fontId="127" fillId="0" borderId="0" applyAlignment="1" pivotButton="0" quotePrefix="0" xfId="0">
      <alignment vertical="center" wrapText="1"/>
    </xf>
    <xf numFmtId="43" fontId="21" fillId="0" borderId="0" applyAlignment="1" pivotButton="0" quotePrefix="0" xfId="0">
      <alignment vertical="center" wrapText="1"/>
    </xf>
    <xf numFmtId="43" fontId="21" fillId="0" borderId="24" applyAlignment="1" pivotButton="0" quotePrefix="0" xfId="0">
      <alignment wrapText="1"/>
    </xf>
    <xf numFmtId="43" fontId="114" fillId="0" borderId="0" applyAlignment="1" pivotButton="0" quotePrefix="0" xfId="0">
      <alignment wrapText="1"/>
    </xf>
    <xf numFmtId="43" fontId="21" fillId="0" borderId="0" applyAlignment="1" pivotButton="0" quotePrefix="0" xfId="0">
      <alignment wrapText="1"/>
    </xf>
    <xf numFmtId="0" fontId="114" fillId="0" borderId="20" applyAlignment="1" pivotButton="0" quotePrefix="0" xfId="0">
      <alignment horizontal="left" indent="15"/>
    </xf>
    <xf numFmtId="43" fontId="114" fillId="0" borderId="50" pivotButton="0" quotePrefix="0" xfId="0"/>
    <xf numFmtId="43" fontId="114" fillId="0" borderId="5" pivotButton="0" quotePrefix="0" xfId="0"/>
    <xf numFmtId="43" fontId="114" fillId="0" borderId="11" pivotButton="0" quotePrefix="0" xfId="0"/>
    <xf numFmtId="165" fontId="114" fillId="0" borderId="14" pivotButton="0" quotePrefix="0" xfId="0"/>
    <xf numFmtId="165" fontId="114" fillId="0" borderId="5" pivotButton="0" quotePrefix="0" xfId="0"/>
    <xf numFmtId="165" fontId="114" fillId="0" borderId="4" pivotButton="0" quotePrefix="0" xfId="0"/>
    <xf numFmtId="165" fontId="114" fillId="0" borderId="44" pivotButton="0" quotePrefix="0" xfId="0"/>
    <xf numFmtId="43" fontId="114" fillId="0" borderId="4" pivotButton="0" quotePrefix="0" xfId="0"/>
    <xf numFmtId="43" fontId="114" fillId="0" borderId="12" pivotButton="0" quotePrefix="0" xfId="0"/>
    <xf numFmtId="0" fontId="114" fillId="0" borderId="4" pivotButton="0" quotePrefix="0" xfId="0"/>
    <xf numFmtId="166" fontId="114" fillId="0" borderId="4" pivotButton="0" quotePrefix="0" xfId="0"/>
    <xf numFmtId="164" fontId="114" fillId="0" borderId="0" pivotButton="0" quotePrefix="0" xfId="0"/>
    <xf numFmtId="43" fontId="114" fillId="0" borderId="6" pivotButton="0" quotePrefix="0" xfId="0"/>
    <xf numFmtId="43" fontId="114" fillId="0" borderId="21" pivotButton="0" quotePrefix="0" xfId="0"/>
    <xf numFmtId="0" fontId="114" fillId="0" borderId="62" pivotButton="0" quotePrefix="0" xfId="0"/>
    <xf numFmtId="165" fontId="114" fillId="0" borderId="62" pivotButton="0" quotePrefix="0" xfId="0"/>
    <xf numFmtId="165" fontId="114" fillId="0" borderId="6" pivotButton="0" quotePrefix="0" xfId="0"/>
    <xf numFmtId="165" fontId="114" fillId="0" borderId="47" pivotButton="0" quotePrefix="0" xfId="0"/>
    <xf numFmtId="164" fontId="114" fillId="0" borderId="20" pivotButton="0" quotePrefix="0" xfId="0"/>
    <xf numFmtId="0" fontId="114" fillId="0" borderId="36" pivotButton="0" quotePrefix="0" xfId="0"/>
    <xf numFmtId="165" fontId="21" fillId="0" borderId="59" pivotButton="0" quotePrefix="0" xfId="0"/>
    <xf numFmtId="165" fontId="21" fillId="0" borderId="37" pivotButton="0" quotePrefix="0" xfId="0"/>
    <xf numFmtId="165" fontId="21" fillId="0" borderId="38" pivotButton="0" quotePrefix="0" xfId="0"/>
    <xf numFmtId="165" fontId="114" fillId="0" borderId="0" pivotButton="0" quotePrefix="0" xfId="0"/>
    <xf numFmtId="37" fontId="114" fillId="0" borderId="0" pivotButton="0" quotePrefix="0" xfId="0"/>
    <xf numFmtId="0" fontId="21" fillId="0" borderId="34" applyAlignment="1" pivotButton="0" quotePrefix="0" xfId="0">
      <alignment horizontal="center"/>
    </xf>
    <xf numFmtId="165" fontId="114" fillId="0" borderId="32" pivotButton="0" quotePrefix="0" xfId="0"/>
    <xf numFmtId="37" fontId="114" fillId="0" borderId="4" pivotButton="0" quotePrefix="0" xfId="0"/>
    <xf numFmtId="165" fontId="21" fillId="0" borderId="53" pivotButton="0" quotePrefix="0" xfId="0"/>
    <xf numFmtId="0" fontId="114" fillId="0" borderId="0" applyAlignment="1" pivotButton="0" quotePrefix="0" xfId="0">
      <alignment horizontal="right"/>
    </xf>
    <xf numFmtId="0" fontId="21" fillId="39" borderId="17" applyAlignment="1" pivotButton="0" quotePrefix="0" xfId="0">
      <alignment horizontal="center"/>
    </xf>
    <xf numFmtId="165" fontId="21" fillId="0" borderId="17" applyAlignment="1" pivotButton="0" quotePrefix="0" xfId="0">
      <alignment horizontal="center"/>
    </xf>
    <xf numFmtId="0" fontId="114" fillId="0" borderId="17" pivotButton="0" quotePrefix="0" xfId="0"/>
    <xf numFmtId="166" fontId="114" fillId="0" borderId="17" pivotButton="0" quotePrefix="0" xfId="0"/>
    <xf numFmtId="166" fontId="114" fillId="0" borderId="17" applyAlignment="1" pivotButton="0" quotePrefix="0" xfId="0">
      <alignment horizontal="right"/>
    </xf>
    <xf numFmtId="165" fontId="21" fillId="0" borderId="76" applyAlignment="1" pivotButton="0" quotePrefix="0" xfId="0">
      <alignment horizontal="right"/>
    </xf>
    <xf numFmtId="165" fontId="21" fillId="0" borderId="67" applyAlignment="1" pivotButton="0" quotePrefix="0" xfId="0">
      <alignment horizontal="right"/>
    </xf>
    <xf numFmtId="165" fontId="21" fillId="0" borderId="72" applyAlignment="1" pivotButton="0" quotePrefix="0" xfId="0">
      <alignment horizontal="right"/>
    </xf>
    <xf numFmtId="165" fontId="21" fillId="0" borderId="31" applyAlignment="1" pivotButton="0" quotePrefix="0" xfId="0">
      <alignment horizontal="right"/>
    </xf>
    <xf numFmtId="165" fontId="114" fillId="0" borderId="12" applyAlignment="1" pivotButton="0" quotePrefix="0" xfId="0">
      <alignment horizontal="right"/>
    </xf>
    <xf numFmtId="165" fontId="114" fillId="0" borderId="4" applyAlignment="1" pivotButton="0" quotePrefix="0" xfId="0">
      <alignment horizontal="right"/>
    </xf>
    <xf numFmtId="165" fontId="114" fillId="0" borderId="88" applyAlignment="1" pivotButton="0" quotePrefix="0" xfId="0">
      <alignment horizontal="right"/>
    </xf>
    <xf numFmtId="165" fontId="21" fillId="0" borderId="31" pivotButton="0" quotePrefix="0" xfId="0"/>
    <xf numFmtId="165" fontId="21" fillId="0" borderId="4" applyAlignment="1" pivotButton="0" quotePrefix="0" xfId="0">
      <alignment horizontal="right"/>
    </xf>
    <xf numFmtId="165" fontId="114" fillId="0" borderId="32" applyAlignment="1" pivotButton="0" quotePrefix="0" xfId="0">
      <alignment horizontal="right"/>
    </xf>
    <xf numFmtId="165" fontId="21" fillId="0" borderId="52" applyAlignment="1" pivotButton="0" quotePrefix="0" xfId="0">
      <alignment horizontal="right"/>
    </xf>
    <xf numFmtId="166" fontId="114" fillId="38" borderId="16" applyAlignment="1" pivotButton="0" quotePrefix="0" xfId="0">
      <alignment horizontal="right"/>
    </xf>
    <xf numFmtId="166" fontId="114" fillId="38" borderId="53" applyAlignment="1" pivotButton="0" quotePrefix="0" xfId="0">
      <alignment horizontal="right"/>
    </xf>
    <xf numFmtId="164" fontId="114" fillId="0" borderId="20" applyAlignment="1" pivotButton="0" quotePrefix="0" xfId="0">
      <alignment horizontal="left" indent="2"/>
    </xf>
    <xf numFmtId="166" fontId="114" fillId="0" borderId="0" applyAlignment="1" pivotButton="0" quotePrefix="0" xfId="0">
      <alignment horizontal="right"/>
    </xf>
    <xf numFmtId="0" fontId="114" fillId="0" borderId="28" pivotButton="0" quotePrefix="0" xfId="0"/>
    <xf numFmtId="165" fontId="114" fillId="0" borderId="17" pivotButton="0" quotePrefix="0" xfId="0"/>
    <xf numFmtId="166" fontId="114" fillId="0" borderId="27" pivotButton="0" quotePrefix="0" xfId="0"/>
    <xf numFmtId="165" fontId="21" fillId="0" borderId="76" applyAlignment="1" pivotButton="0" quotePrefix="0" xfId="0">
      <alignment horizontal="center"/>
    </xf>
    <xf numFmtId="43" fontId="114" fillId="0" borderId="67" applyAlignment="1" pivotButton="0" quotePrefix="0" xfId="0">
      <alignment horizontal="right"/>
    </xf>
    <xf numFmtId="43" fontId="114" fillId="0" borderId="72" applyAlignment="1" pivotButton="0" quotePrefix="0" xfId="0">
      <alignment horizontal="right"/>
    </xf>
    <xf numFmtId="0" fontId="21" fillId="0" borderId="50" applyAlignment="1" pivotButton="0" quotePrefix="0" xfId="0">
      <alignment horizontal="center" vertical="center" wrapText="1"/>
    </xf>
    <xf numFmtId="43" fontId="114" fillId="0" borderId="32" pivotButton="0" quotePrefix="0" xfId="0"/>
    <xf numFmtId="0" fontId="114" fillId="0" borderId="41" applyAlignment="1" pivotButton="0" quotePrefix="0" xfId="0">
      <alignment horizontal="center"/>
    </xf>
    <xf numFmtId="0" fontId="114" fillId="0" borderId="20" applyAlignment="1" pivotButton="0" quotePrefix="0" xfId="0">
      <alignment vertical="center"/>
    </xf>
    <xf numFmtId="2" fontId="111" fillId="0" borderId="0" applyAlignment="1" pivotButton="0" quotePrefix="0" xfId="0">
      <alignment horizontal="right"/>
    </xf>
    <xf numFmtId="0" fontId="114" fillId="0" borderId="18" applyAlignment="1" pivotButton="0" quotePrefix="0" xfId="0">
      <alignment vertical="center"/>
    </xf>
    <xf numFmtId="39" fontId="61" fillId="0" borderId="0" pivotButton="0" quotePrefix="0" xfId="0"/>
    <xf numFmtId="172" fontId="114" fillId="0" borderId="20" pivotButton="0" quotePrefix="0" xfId="0"/>
    <xf numFmtId="0" fontId="114" fillId="0" borderId="20" applyAlignment="1" pivotButton="0" quotePrefix="0" xfId="0">
      <alignment horizontal="left" indent="11"/>
    </xf>
    <xf numFmtId="0" fontId="114" fillId="0" borderId="24" applyAlignment="1" pivotButton="0" quotePrefix="0" xfId="0">
      <alignment horizontal="left" indent="11"/>
    </xf>
    <xf numFmtId="43" fontId="114" fillId="0" borderId="24" pivotButton="0" quotePrefix="0" xfId="0"/>
    <xf numFmtId="0" fontId="114" fillId="0" borderId="0" applyAlignment="1" pivotButton="0" quotePrefix="0" xfId="0">
      <alignment horizontal="left"/>
    </xf>
    <xf numFmtId="0" fontId="114" fillId="0" borderId="0" applyAlignment="1" pivotButton="0" quotePrefix="0" xfId="0">
      <alignment vertical="center"/>
    </xf>
    <xf numFmtId="0" fontId="114" fillId="0" borderId="23" applyAlignment="1" pivotButton="0" quotePrefix="0" xfId="0">
      <alignment vertical="center"/>
    </xf>
    <xf numFmtId="43" fontId="114" fillId="0" borderId="20" applyAlignment="1" pivotButton="0" quotePrefix="0" xfId="0">
      <alignment horizontal="left" indent="2"/>
    </xf>
    <xf numFmtId="0" fontId="114" fillId="0" borderId="19" applyAlignment="1" pivotButton="0" quotePrefix="0" xfId="0">
      <alignment vertical="center"/>
    </xf>
    <xf numFmtId="0" fontId="114" fillId="2" borderId="20" applyAlignment="1" pivotButton="0" quotePrefix="0" xfId="0">
      <alignment horizontal="center"/>
    </xf>
  </cellXfs>
  <cellStyles count="84">
    <cellStyle name="Normal" xfId="0" builtinId="0"/>
    <cellStyle name="Comma" xfId="1" builtinId="3"/>
    <cellStyle name="Comma 2" xfId="2"/>
    <cellStyle name="Comma 3" xfId="3"/>
    <cellStyle name="Comma 2 2" xfId="4"/>
    <cellStyle name="Percent" xfId="5" builtinId="5"/>
    <cellStyle name="Normal_Sheet1" xfId="6"/>
    <cellStyle name="Comma 4" xfId="7"/>
    <cellStyle name="Comma 2 4" xfId="8"/>
    <cellStyle name="Comma 3 2" xfId="9"/>
    <cellStyle name="Comma 2 2 2" xfId="10"/>
    <cellStyle name="Normal 2" xfId="11"/>
    <cellStyle name="Comma 2 3" xfId="12"/>
    <cellStyle name="Normal 3" xfId="13"/>
    <cellStyle name="Title" xfId="14" builtinId="15"/>
    <cellStyle name="Heading 1" xfId="15" builtinId="16"/>
    <cellStyle name="Heading 2" xfId="16" builtinId="17"/>
    <cellStyle name="Heading 3" xfId="17" builtinId="18"/>
    <cellStyle name="Heading 4" xfId="18" builtinId="19"/>
    <cellStyle name="Good" xfId="19" builtinId="26"/>
    <cellStyle name="Bad" xfId="20" builtinId="27"/>
    <cellStyle name="Neutral" xfId="21" builtinId="28"/>
    <cellStyle name="Input" xfId="22" builtinId="20"/>
    <cellStyle name="Output" xfId="23" builtinId="21"/>
    <cellStyle name="Calculation" xfId="24" builtinId="22"/>
    <cellStyle name="Linked Cell" xfId="25" builtinId="24"/>
    <cellStyle name="Check Cell" xfId="26" builtinId="23"/>
    <cellStyle name="Warning Text" xfId="27" builtinId="11"/>
    <cellStyle name="Note" xfId="28" builtinId="10"/>
    <cellStyle name="Explanatory Text" xfId="29" builtinId="53"/>
    <cellStyle name="Total" xfId="30" builtinId="25"/>
    <cellStyle name="Accent1" xfId="31" builtinId="29"/>
    <cellStyle name="20% - Accent1" xfId="32" builtinId="30"/>
    <cellStyle name="40% - Accent1" xfId="33" builtinId="31"/>
    <cellStyle name="60% - Accent1" xfId="34" builtinId="32"/>
    <cellStyle name="Accent2" xfId="35" builtinId="33"/>
    <cellStyle name="20% - Accent2" xfId="36" builtinId="34"/>
    <cellStyle name="40% - Accent2" xfId="37" builtinId="35"/>
    <cellStyle name="60% - Accent2" xfId="38" builtinId="36"/>
    <cellStyle name="Accent3" xfId="39" builtinId="37"/>
    <cellStyle name="20% - Accent3" xfId="40" builtinId="38"/>
    <cellStyle name="40% - Accent3" xfId="41" builtinId="39"/>
    <cellStyle name="60% - Accent3" xfId="42" builtinId="40"/>
    <cellStyle name="Accent4" xfId="43" builtinId="41"/>
    <cellStyle name="20% - Accent4" xfId="44" builtinId="42"/>
    <cellStyle name="40% - Accent4" xfId="45" builtinId="43"/>
    <cellStyle name="60% - Accent4" xfId="46" builtinId="44"/>
    <cellStyle name="Accent5" xfId="47" builtinId="45"/>
    <cellStyle name="20% - Accent5" xfId="48" builtinId="46"/>
    <cellStyle name="40% - Accent5" xfId="49" builtinId="47"/>
    <cellStyle name="60% - Accent5" xfId="50" builtinId="48"/>
    <cellStyle name="Accent6" xfId="51" builtinId="49"/>
    <cellStyle name="20% - Accent6" xfId="52" builtinId="50"/>
    <cellStyle name="40% - Accent6" xfId="53" builtinId="51"/>
    <cellStyle name="60% - Accent6" xfId="54" builtinId="52"/>
    <cellStyle name="Normal 2 2" xfId="55"/>
    <cellStyle name="Comma 5" xfId="56"/>
    <cellStyle name="Comma 2 5" xfId="57"/>
    <cellStyle name="Comma 3 3" xfId="58"/>
    <cellStyle name="Comma 2 2 3" xfId="59"/>
    <cellStyle name="Comma 4 2" xfId="60"/>
    <cellStyle name="Comma 2 4 2" xfId="61"/>
    <cellStyle name="Comma 3 2 2" xfId="62"/>
    <cellStyle name="Comma 2 2 2 2" xfId="63"/>
    <cellStyle name="Comma 2 3 2" xfId="64"/>
    <cellStyle name="Comma 6" xfId="65"/>
    <cellStyle name="Comma 2 6" xfId="66"/>
    <cellStyle name="Comma 3 4" xfId="67"/>
    <cellStyle name="Comma 2 2 4" xfId="68"/>
    <cellStyle name="Comma 4 3" xfId="69"/>
    <cellStyle name="Comma 2 4 3" xfId="70"/>
    <cellStyle name="Comma 3 2 3" xfId="71"/>
    <cellStyle name="Comma 2 2 2 3" xfId="72"/>
    <cellStyle name="Comma 2 3 3" xfId="73"/>
    <cellStyle name="Comma 5 2" xfId="74"/>
    <cellStyle name="Comma 2 5 2" xfId="75"/>
    <cellStyle name="Comma 3 3 2" xfId="76"/>
    <cellStyle name="Comma 2 2 3 2" xfId="77"/>
    <cellStyle name="Comma 4 2 2" xfId="78"/>
    <cellStyle name="Comma 2 4 2 2" xfId="79"/>
    <cellStyle name="Comma 3 2 2 2" xfId="80"/>
    <cellStyle name="Comma 2 2 2 2 2" xfId="81"/>
    <cellStyle name="Comma 2 3 2 2" xfId="82"/>
    <cellStyle name="Hyperlink" xfId="83" builtinId="8"/>
  </cellStyles>
  <dxfs count="585"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lor rgb="FF9C0006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ill>
        <patternFill>
          <fgColor rgb="FFFF0000"/>
          <bgColor rgb="FFFF5050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</dxf>
    <dxf>
      <fill>
        <patternFill>
          <fgColor rgb="FFFF0000"/>
          <bgColor rgb="FFFF505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externalLink" Target="/xl/externalLinks/externalLink1.xml" Id="rId57"/><Relationship Type="http://schemas.openxmlformats.org/officeDocument/2006/relationships/externalLink" Target="/xl/externalLinks/externalLink2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comments/comment1.xml><?xml version="1.0" encoding="utf-8"?>
<comments xmlns="http://schemas.openxmlformats.org/spreadsheetml/2006/main">
  <authors>
    <author>Author</author>
  </authors>
  <commentList>
    <comment ref="F60" authorId="0" shapeId="0">
      <text>
        <t xml:space="preserve">ISD ITC, SO DEDUCTED FROM HERE AND REFLCTED IN CREDIT FOR ISD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3.%20CUMMULATIVE%20BILLS%20NOT%20REFLCTED%20IN%202B%20TILL%20AUG-26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PC-1%20MASTER/LAW/GST/26-27/5.%20AUG-26/GSTR-6/1.%20ISD%20Working_AUG'26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MMULATIVE INVOICE TILL DATE"/>
      <sheetName val="ITC NOT AVAILED IN CM"/>
      <sheetName val="ITC OF PM AVAILED IN CM"/>
      <sheetName val="MATCHING"/>
    </sheetNames>
    <sheetDataSet>
      <sheetData sheetId="0" refreshError="1"/>
      <sheetData sheetId="1" refreshError="1"/>
      <sheetData sheetId="2" refreshError="1"/>
      <sheetData sheetId="3">
        <row r="8">
          <cell r="C8">
            <v>2209.86</v>
          </cell>
          <cell r="E8">
            <v>7724.4834782865364</v>
          </cell>
        </row>
        <row r="9">
          <cell r="C9">
            <v>291471.52999999997</v>
          </cell>
          <cell r="E9">
            <v>284277.76000000001</v>
          </cell>
        </row>
        <row r="12">
          <cell r="C12">
            <v>420041.16900000005</v>
          </cell>
          <cell r="E12">
            <v>315490.13326085673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UG-2026"/>
      <sheetName val="ISD WORKING"/>
      <sheetName val="ITC TAKEN IN AUG-26"/>
      <sheetName val="Sheet1"/>
    </sheetNames>
    <sheetDataSet>
      <sheetData sheetId="0" refreshError="1"/>
      <sheetData sheetId="1" refreshError="1"/>
      <sheetData sheetId="2">
        <row r="22">
          <cell r="L22">
            <v>139.21360533482107</v>
          </cell>
          <cell r="M22">
            <v>0</v>
          </cell>
          <cell r="O22">
            <v>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102"/>
  <sheetViews>
    <sheetView tabSelected="1" zoomScale="98" zoomScaleNormal="98" workbookViewId="0">
      <selection activeCell="H12" sqref="H12"/>
    </sheetView>
  </sheetViews>
  <sheetFormatPr baseColWidth="8" defaultColWidth="27.28515625" defaultRowHeight="15"/>
  <cols>
    <col width="23.28515625" customWidth="1" min="1" max="1"/>
    <col width="45.7109375" bestFit="1" customWidth="1" style="1084" min="2" max="2"/>
    <col width="14.42578125" customWidth="1" style="1084" min="3" max="3"/>
    <col width="14.85546875" bestFit="1" customWidth="1" style="1084" min="4" max="5"/>
    <col width="14.42578125" bestFit="1" customWidth="1" style="1084" min="6" max="6"/>
    <col width="22.5703125" customWidth="1" style="1084" min="7" max="7"/>
    <col width="17.7109375" customWidth="1" style="1084" min="8" max="8"/>
    <col width="27.28515625" customWidth="1" style="1084" min="9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59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ODHAV BRANCH</t>
        </is>
      </c>
    </row>
    <row r="4" ht="15.75" customHeight="1">
      <c r="A4" s="1214" t="inlineStr">
        <is>
          <t>BRANCH CODE: 21</t>
        </is>
      </c>
    </row>
    <row r="5" ht="15.75" customHeight="1">
      <c r="A5" s="1210" t="inlineStr">
        <is>
          <t>SUMMARY OF INCOME FOR THE MONTH OF SEP 2026</t>
        </is>
      </c>
      <c r="J5" s="1084" t="inlineStr">
        <is>
          <t xml:space="preserve">       </t>
        </is>
      </c>
    </row>
    <row r="6" ht="15.75" customHeight="1">
      <c r="A6" s="568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569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09" t="n"/>
    </row>
    <row r="8" ht="15.75" customHeight="1">
      <c r="A8" s="57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</row>
    <row r="9" ht="15.75" customHeight="1">
      <c r="A9" s="1080" t="n">
        <v>3303</v>
      </c>
      <c r="B9" s="1220" t="inlineStr">
        <is>
          <t>DD CANCEL CHARGES</t>
        </is>
      </c>
      <c r="C9" s="1496" t="n"/>
      <c r="D9" s="1497">
        <f>+C9*9%</f>
        <v/>
      </c>
      <c r="E9" s="1497">
        <f>+D9</f>
        <v/>
      </c>
      <c r="F9" s="1497">
        <f>IF(D9&gt;0," ",C9*18%)</f>
        <v/>
      </c>
      <c r="G9" s="1228" t="n"/>
      <c r="H9" s="1228" t="n"/>
    </row>
    <row r="10" ht="15.75" customHeight="1">
      <c r="A10" s="1080" t="n">
        <v>3200</v>
      </c>
      <c r="B10" s="1220" t="inlineStr">
        <is>
          <t>COMMISION ON BILLS</t>
        </is>
      </c>
      <c r="C10" s="1496" t="n"/>
      <c r="D10" s="1497">
        <f>+C10*9%</f>
        <v/>
      </c>
      <c r="E10" s="1497">
        <f>+D10</f>
        <v/>
      </c>
      <c r="F10" s="1497">
        <f>IF(D10&gt;0," ",C10*18%)</f>
        <v/>
      </c>
      <c r="G10" s="1228" t="n"/>
      <c r="H10" s="1228" t="n"/>
    </row>
    <row r="11" ht="15.75" customHeight="1">
      <c r="A11" s="1080" t="inlineStr">
        <is>
          <t>3215</t>
        </is>
      </c>
      <c r="B11" s="1220" t="inlineStr">
        <is>
          <t>COMMISION ON PAYORDER</t>
        </is>
      </c>
      <c r="C11" s="1496" t="n"/>
      <c r="D11" s="1497">
        <f>+C11*9%</f>
        <v/>
      </c>
      <c r="E11" s="1497">
        <f>+D11</f>
        <v/>
      </c>
      <c r="F11" s="1497">
        <f>IF(D11&gt;0," ",C11*18%)</f>
        <v/>
      </c>
      <c r="G11" s="1228" t="n"/>
      <c r="H11" s="1228" t="n"/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496" t="n"/>
      <c r="D12" s="1497">
        <f>+C12*9%</f>
        <v/>
      </c>
      <c r="E12" s="1497">
        <f>+D12</f>
        <v/>
      </c>
      <c r="F12" s="1497">
        <f>IF(D12&gt;0," ",C12*18%)</f>
        <v/>
      </c>
      <c r="G12" s="1228" t="n"/>
      <c r="H12" s="1228" t="n"/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496" t="n"/>
      <c r="D13" s="1497">
        <f>+C13*9%</f>
        <v/>
      </c>
      <c r="E13" s="1497">
        <f>+D13</f>
        <v/>
      </c>
      <c r="F13" s="1497">
        <f>IF(D13&gt;0," ",C13*18%)</f>
        <v/>
      </c>
      <c r="G13" s="1228" t="n"/>
      <c r="H13" s="1228" t="n"/>
    </row>
    <row r="14" ht="15.75" customFormat="1" customHeight="1" s="1084">
      <c r="A14" s="1080" t="inlineStr">
        <is>
          <t>3230</t>
        </is>
      </c>
      <c r="B14" s="1220" t="inlineStr">
        <is>
          <t>COMMISION ON GUARANTEE</t>
        </is>
      </c>
      <c r="C14" s="1082" t="n"/>
      <c r="D14" s="1497">
        <f>+C14*9%</f>
        <v/>
      </c>
      <c r="E14" s="1497">
        <f>+D14</f>
        <v/>
      </c>
      <c r="F14" s="1497" t="n">
        <v>0</v>
      </c>
      <c r="G14" s="1228" t="n"/>
      <c r="H14" s="1228" t="n"/>
    </row>
    <row r="15" ht="15.75" customHeight="1">
      <c r="A15" s="1080" t="inlineStr">
        <is>
          <t>3235</t>
        </is>
      </c>
      <c r="B15" s="1220" t="inlineStr">
        <is>
          <t>COMMISION ON DEMAND DRAFT</t>
        </is>
      </c>
      <c r="C15" s="1496" t="n"/>
      <c r="D15" s="1497">
        <f>+C15*9%</f>
        <v/>
      </c>
      <c r="E15" s="1497">
        <f>+D15</f>
        <v/>
      </c>
      <c r="F15" s="1498">
        <f>IF(D15&gt;0," ",C15*18%)</f>
        <v/>
      </c>
      <c r="G15" s="1228" t="n"/>
      <c r="H15" s="1228" t="n"/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496" t="n"/>
      <c r="D16" s="1497">
        <f>+C16*9%</f>
        <v/>
      </c>
      <c r="E16" s="1497">
        <f>+D16</f>
        <v/>
      </c>
      <c r="F16" s="1497">
        <f>IF(D16&gt;0," ",C16*18%)</f>
        <v/>
      </c>
      <c r="G16" s="1228" t="n"/>
      <c r="H16" s="1228" t="n"/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496" t="n"/>
      <c r="D17" s="1497">
        <f>+C17*9%</f>
        <v/>
      </c>
      <c r="E17" s="1497">
        <f>+D17</f>
        <v/>
      </c>
      <c r="F17" s="1497">
        <f>IF(D17&gt;0," ",C17*18%)</f>
        <v/>
      </c>
      <c r="G17" s="1228" t="n"/>
      <c r="H17" s="1228" t="n"/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496" t="n"/>
      <c r="D18" s="1497">
        <f>+C18*9%</f>
        <v/>
      </c>
      <c r="E18" s="1497">
        <f>+D18</f>
        <v/>
      </c>
      <c r="F18" s="1497">
        <f>IF(D18&gt;0," ",C18*18%)</f>
        <v/>
      </c>
      <c r="G18" s="1228" t="n"/>
      <c r="H18" s="1228" t="n"/>
    </row>
    <row r="19" ht="15.75" customHeight="1">
      <c r="A19" s="1080" t="inlineStr">
        <is>
          <t>3270</t>
        </is>
      </c>
      <c r="B19" s="1220" t="inlineStr">
        <is>
          <t>PROCESSING CHARGE</t>
        </is>
      </c>
      <c r="C19" s="1496" t="n"/>
      <c r="D19" s="1497">
        <f>+C19*9%</f>
        <v/>
      </c>
      <c r="E19" s="1497">
        <f>+D19</f>
        <v/>
      </c>
      <c r="F19" s="1497" t="n"/>
      <c r="G19" s="1228" t="n"/>
      <c r="H19" s="1228" t="n"/>
      <c r="J19" s="1084">
        <f>+G19*9%</f>
        <v/>
      </c>
    </row>
    <row r="20" ht="15.75" customHeight="1">
      <c r="A20" s="13" t="n">
        <v>3271</v>
      </c>
      <c r="B20" s="1220" t="inlineStr">
        <is>
          <t>RENEWAL FEES</t>
        </is>
      </c>
      <c r="C20" s="1496" t="n"/>
      <c r="D20" s="1497">
        <f>+C20*9%</f>
        <v/>
      </c>
      <c r="E20" s="1497">
        <f>+D20</f>
        <v/>
      </c>
      <c r="F20" s="1497">
        <f>IF(D20&gt;0," ",C20*18%)</f>
        <v/>
      </c>
      <c r="G20" s="1228" t="n"/>
      <c r="H20" s="1228" t="n"/>
    </row>
    <row r="21" ht="15.75" customHeight="1">
      <c r="A21" s="13" t="n">
        <v>3274</v>
      </c>
      <c r="B21" s="1220" t="inlineStr">
        <is>
          <t>INCOME FROM E-STAMPING</t>
        </is>
      </c>
      <c r="C21" s="1496" t="n"/>
      <c r="D21" s="1497" t="n"/>
      <c r="E21" s="1497" t="n"/>
      <c r="F21" s="1497" t="n"/>
      <c r="G21" s="1228" t="n"/>
      <c r="H21" s="1228" t="n"/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496" t="n"/>
      <c r="D22" s="1497">
        <f>+C22*9%</f>
        <v/>
      </c>
      <c r="E22" s="1497">
        <f>+D22</f>
        <v/>
      </c>
      <c r="F22" s="1497">
        <f>IF(D22&gt;0," ",C22*18%)</f>
        <v/>
      </c>
      <c r="G22" s="1228" t="n"/>
      <c r="H22" s="1228" t="n"/>
      <c r="O22" s="1084" t="inlineStr">
        <is>
          <t xml:space="preserve"> </t>
        </is>
      </c>
    </row>
    <row r="23" ht="15.75" customHeight="1">
      <c r="A23" s="161" t="inlineStr">
        <is>
          <t>3280</t>
        </is>
      </c>
      <c r="B23" s="1220" t="inlineStr">
        <is>
          <t>INSURANCE PREMIUM</t>
        </is>
      </c>
      <c r="C23" s="1496" t="n"/>
      <c r="D23" s="1497">
        <f>+C23*9%</f>
        <v/>
      </c>
      <c r="E23" s="1497">
        <f>+D23</f>
        <v/>
      </c>
      <c r="F23" s="1497">
        <f>IF(D23&gt;0," ",C23*18%)</f>
        <v/>
      </c>
      <c r="G23" s="1228" t="n"/>
      <c r="H23" s="1228" t="n"/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496" t="n"/>
      <c r="D24" s="1497">
        <f>+C24*9%</f>
        <v/>
      </c>
      <c r="E24" s="1497">
        <f>+D24</f>
        <v/>
      </c>
      <c r="F24" s="1497" t="n">
        <v>0</v>
      </c>
      <c r="G24" s="1228" t="n"/>
      <c r="H24" s="1228" t="n"/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496" t="n"/>
      <c r="D25" s="1497">
        <f>+C25*9%</f>
        <v/>
      </c>
      <c r="E25" s="1497">
        <f>+D25</f>
        <v/>
      </c>
      <c r="F25" s="1497">
        <f>IF(D25&gt;0," ",C25*18%)</f>
        <v/>
      </c>
      <c r="G25" s="1228" t="n"/>
      <c r="H25" s="1228" t="n"/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496" t="n"/>
      <c r="D26" s="1497">
        <f>+C26*9%</f>
        <v/>
      </c>
      <c r="E26" s="1497">
        <f>+D26</f>
        <v/>
      </c>
      <c r="F26" s="1497">
        <f>IF(D26&gt;0," ",C26*18%)</f>
        <v/>
      </c>
      <c r="G26" s="1228" t="n"/>
      <c r="H26" s="1228" t="n"/>
    </row>
    <row r="27" ht="15.75" customHeight="1">
      <c r="A27" s="158" t="inlineStr">
        <is>
          <t>3287</t>
        </is>
      </c>
      <c r="B27" s="33" t="inlineStr">
        <is>
          <t>COMM. ON PMSBY NEW INDIA ASSURANCE</t>
        </is>
      </c>
      <c r="C27" s="1496" t="n"/>
      <c r="D27" s="1497">
        <f>+C27*9%</f>
        <v/>
      </c>
      <c r="E27" s="1497">
        <f>+D27</f>
        <v/>
      </c>
      <c r="F27" s="1497">
        <f>IF(D27&gt;0," ",C27*18%)</f>
        <v/>
      </c>
      <c r="G27" s="1228" t="n"/>
      <c r="H27" s="1228" t="n"/>
    </row>
    <row r="28" ht="15.75" customHeight="1">
      <c r="A28" s="158" t="n">
        <v>3291</v>
      </c>
      <c r="B28" s="33" t="inlineStr">
        <is>
          <t>CIBIL CHARGES</t>
        </is>
      </c>
      <c r="C28" s="1496" t="n"/>
      <c r="D28" s="1497">
        <f>+C28*9%</f>
        <v/>
      </c>
      <c r="E28" s="1497">
        <f>+D28</f>
        <v/>
      </c>
      <c r="F28" s="1497">
        <f>IF(D28&gt;0," ",C28*18%)</f>
        <v/>
      </c>
      <c r="G28" s="1228" t="n"/>
      <c r="H28" s="1228" t="n"/>
    </row>
    <row r="29" ht="15.75" customHeight="1">
      <c r="A29" s="158" t="n">
        <v>3296</v>
      </c>
      <c r="B29" s="33" t="inlineStr">
        <is>
          <t>RTGS/NEFT MANUAL CHARGES</t>
        </is>
      </c>
      <c r="C29" s="1496" t="n"/>
      <c r="D29" s="1497">
        <f>+C29*9%</f>
        <v/>
      </c>
      <c r="E29" s="1497">
        <f>+D29</f>
        <v/>
      </c>
      <c r="F29" s="1497">
        <f>IF(D29&gt;0," ",C29*18%)</f>
        <v/>
      </c>
      <c r="G29" s="1228" t="n"/>
      <c r="H29" s="1228" t="n"/>
    </row>
    <row r="30" ht="15.75" customHeight="1">
      <c r="A30" s="158" t="n">
        <v>3297</v>
      </c>
      <c r="B30" s="33" t="inlineStr">
        <is>
          <t>ASBA FORM PRINT CHARGES</t>
        </is>
      </c>
      <c r="C30" s="1496" t="n"/>
      <c r="D30" s="1497">
        <f>+C30*9%</f>
        <v/>
      </c>
      <c r="E30" s="1497">
        <f>+D30</f>
        <v/>
      </c>
      <c r="F30" s="1497">
        <f>IF(D30&gt;0," ",C30*18%)</f>
        <v/>
      </c>
      <c r="G30" s="1228" t="n"/>
      <c r="H30" s="1228" t="n"/>
    </row>
    <row r="31" ht="15.75" customHeight="1">
      <c r="A31" s="158" t="n">
        <v>3298</v>
      </c>
      <c r="B31" s="33" t="inlineStr">
        <is>
          <t>MANDATE HANDLING CHARGES</t>
        </is>
      </c>
      <c r="C31" s="1496" t="n"/>
      <c r="D31" s="1497">
        <f>+C31*9%</f>
        <v/>
      </c>
      <c r="E31" s="1497">
        <f>+D31</f>
        <v/>
      </c>
      <c r="F31" s="1497">
        <f>IF(D31&gt;0," ",C31*18%)</f>
        <v/>
      </c>
      <c r="G31" s="1228" t="n"/>
      <c r="H31" s="1228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496" t="n"/>
      <c r="D32" s="1497">
        <f>+C32*9%</f>
        <v/>
      </c>
      <c r="E32" s="1497">
        <f>+D32</f>
        <v/>
      </c>
      <c r="F32" s="1497">
        <f>IF(D32&gt;0," ",C32*18%)</f>
        <v/>
      </c>
      <c r="G32" s="1228" t="n"/>
      <c r="H32" s="1228" t="n"/>
    </row>
    <row r="33" ht="15.75" customHeight="1">
      <c r="A33" s="1080" t="inlineStr">
        <is>
          <t>3300</t>
        </is>
      </c>
      <c r="B33" s="1220" t="inlineStr">
        <is>
          <t>INCIDENTAL CHARGES</t>
        </is>
      </c>
      <c r="C33" s="1496" t="n"/>
      <c r="D33" s="1497">
        <f>+C33*9%</f>
        <v/>
      </c>
      <c r="E33" s="1497">
        <f>+D33</f>
        <v/>
      </c>
      <c r="F33" s="1497">
        <f>IF(D33&gt;0," ",C33*18%)</f>
        <v/>
      </c>
      <c r="G33" s="1228" t="n"/>
      <c r="H33" s="1228" t="n"/>
    </row>
    <row r="34" ht="15.75" customHeight="1">
      <c r="A34" s="1080" t="n">
        <v>3301</v>
      </c>
      <c r="B34" s="1220" t="inlineStr">
        <is>
          <t>INOPERATIVE CHARGES</t>
        </is>
      </c>
      <c r="C34" s="1496" t="n"/>
      <c r="D34" s="1497">
        <f>+C34*9%</f>
        <v/>
      </c>
      <c r="E34" s="1497">
        <f>+D34</f>
        <v/>
      </c>
      <c r="F34" s="1497">
        <f>IF(D34&gt;0," ",C34*18%)</f>
        <v/>
      </c>
      <c r="G34" s="1228" t="n"/>
      <c r="H34" s="1228" t="n"/>
    </row>
    <row r="35" ht="15.75" customHeight="1">
      <c r="A35" s="1080" t="n">
        <v>3302</v>
      </c>
      <c r="B35" s="1220" t="inlineStr">
        <is>
          <t>PO CANCEL CHARGES</t>
        </is>
      </c>
      <c r="C35" s="1496" t="n"/>
      <c r="D35" s="1497">
        <f>+C35*9%</f>
        <v/>
      </c>
      <c r="E35" s="1497">
        <f>+D35</f>
        <v/>
      </c>
      <c r="F35" s="1497">
        <f>IF(D35&gt;0," ",C35*18%)</f>
        <v/>
      </c>
      <c r="G35" s="1228" t="n"/>
      <c r="H35" s="1228" t="n"/>
    </row>
    <row r="36" ht="15.75" customHeight="1">
      <c r="A36" s="161" t="inlineStr">
        <is>
          <t>3305</t>
        </is>
      </c>
      <c r="B36" s="1220" t="inlineStr">
        <is>
          <t>A/C SHARE TRANSFER FEES</t>
        </is>
      </c>
      <c r="C36" s="1496" t="n"/>
      <c r="D36" s="1497">
        <f>+C36*9%</f>
        <v/>
      </c>
      <c r="E36" s="1497">
        <f>+D36</f>
        <v/>
      </c>
      <c r="F36" s="1497">
        <f>IF(D36&gt;0," ",C36*18%)</f>
        <v/>
      </c>
      <c r="G36" s="1228" t="n"/>
      <c r="H36" s="1228" t="n"/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496" t="n"/>
      <c r="D37" s="1497">
        <f>+C37*9%</f>
        <v/>
      </c>
      <c r="E37" s="1497">
        <f>+D37</f>
        <v/>
      </c>
      <c r="F37" s="1497">
        <f>IF(D37&gt;0," ",C37*18%)</f>
        <v/>
      </c>
      <c r="G37" s="1228" t="n"/>
      <c r="H37" s="1228" t="n"/>
    </row>
    <row r="38" ht="15.75" customHeight="1">
      <c r="A38" s="158" t="n">
        <v>3310</v>
      </c>
      <c r="B38" s="1220" t="inlineStr">
        <is>
          <t>MIS. INCOME</t>
        </is>
      </c>
      <c r="C38" s="1496" t="n"/>
      <c r="D38" s="1497">
        <f>+C38*9%</f>
        <v/>
      </c>
      <c r="E38" s="1497">
        <f>+D38</f>
        <v/>
      </c>
      <c r="F38" s="1497">
        <f>IF(D38&gt;0," ",C38*18%)</f>
        <v/>
      </c>
      <c r="G38" s="1228" t="n"/>
      <c r="H38" s="1228" t="n"/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496" t="n"/>
      <c r="D39" s="1497">
        <f>+C39*9%</f>
        <v/>
      </c>
      <c r="E39" s="1497">
        <f>+D39</f>
        <v/>
      </c>
      <c r="F39" s="1497">
        <f>IF(D39&gt;0," ",C39*18%)</f>
        <v/>
      </c>
      <c r="G39" s="1228" t="n"/>
      <c r="H39" s="1228" t="n"/>
    </row>
    <row r="40" ht="15.75" customHeight="1">
      <c r="A40" s="1080" t="inlineStr">
        <is>
          <t>3312</t>
        </is>
      </c>
      <c r="B40" s="1220" t="inlineStr">
        <is>
          <t>O/W CHQ. RET. CHARGES</t>
        </is>
      </c>
      <c r="C40" s="1496" t="n"/>
      <c r="D40" s="1497">
        <f>+C40*9%</f>
        <v/>
      </c>
      <c r="E40" s="1497">
        <f>+D40</f>
        <v/>
      </c>
      <c r="F40" s="1497">
        <f>IF(D40&gt;0," ",C40*18%)</f>
        <v/>
      </c>
      <c r="G40" s="1228" t="n"/>
      <c r="H40" s="1228" t="n"/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496" t="n"/>
      <c r="D41" s="1497">
        <f>+C41*9%</f>
        <v/>
      </c>
      <c r="E41" s="1497">
        <f>+D41</f>
        <v/>
      </c>
      <c r="F41" s="1497">
        <f>IF(D41&gt;0," ",C41*18%)</f>
        <v/>
      </c>
      <c r="G41" s="1228" t="n"/>
      <c r="H41" s="1228" t="n"/>
      <c r="J41" s="1084">
        <f>3000*9%</f>
        <v/>
      </c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496" t="n"/>
      <c r="D42" s="1497">
        <f>+C42*9%</f>
        <v/>
      </c>
      <c r="E42" s="1497">
        <f>+D42</f>
        <v/>
      </c>
      <c r="F42" s="1497">
        <f>IF(D42&gt;0," ",C42*18%)</f>
        <v/>
      </c>
      <c r="G42" s="1228" t="n"/>
      <c r="H42" s="1228" t="n"/>
      <c r="K42" s="1499">
        <f>9000*9%</f>
        <v/>
      </c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496" t="n"/>
      <c r="D43" s="1497">
        <f>+C43*9%</f>
        <v/>
      </c>
      <c r="E43" s="1497">
        <f>+D43</f>
        <v/>
      </c>
      <c r="F43" s="1497">
        <f>IF(D43&gt;0," ",C43*18%)</f>
        <v/>
      </c>
      <c r="G43" s="1228" t="n"/>
      <c r="H43" s="1228" t="n"/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496" t="n"/>
      <c r="D44" s="1497">
        <f>+C44*9%</f>
        <v/>
      </c>
      <c r="E44" s="1497">
        <f>+D44</f>
        <v/>
      </c>
      <c r="F44" s="1497">
        <f>IF(D44&gt;0," ",C44*18%)</f>
        <v/>
      </c>
      <c r="G44" s="1228" t="n"/>
      <c r="H44" s="1228" t="n"/>
    </row>
    <row r="45" ht="15.75" customHeight="1">
      <c r="A45" s="161" t="n">
        <v>3317</v>
      </c>
      <c r="B45" s="1220" t="inlineStr">
        <is>
          <t>THE P&amp;T CHARGES FOR LC/BG</t>
        </is>
      </c>
      <c r="C45" s="1496" t="n"/>
      <c r="D45" s="1497">
        <f>+C45*9%</f>
        <v/>
      </c>
      <c r="E45" s="1497">
        <f>+D45</f>
        <v/>
      </c>
      <c r="F45" s="1497">
        <f>IF(D45&gt;0," ",C45*18%)</f>
        <v/>
      </c>
      <c r="G45" s="1228" t="n"/>
      <c r="H45" s="1228" t="n"/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496" t="n"/>
      <c r="D46" s="1498">
        <f>+C46*9%</f>
        <v/>
      </c>
      <c r="E46" s="1498">
        <f>+D46</f>
        <v/>
      </c>
      <c r="F46" s="1498">
        <f>IF(D46&gt;0," ",C46*18%)</f>
        <v/>
      </c>
      <c r="G46" s="1228" t="n"/>
      <c r="H46" s="1228" t="n"/>
    </row>
    <row r="47" ht="15.75" customHeight="1">
      <c r="A47" s="161" t="n">
        <v>3320</v>
      </c>
      <c r="B47" s="1220" t="inlineStr">
        <is>
          <t>RENT ON LOCKER</t>
        </is>
      </c>
      <c r="C47" s="1496" t="n"/>
      <c r="D47" s="1498">
        <f>+C47*9%</f>
        <v/>
      </c>
      <c r="E47" s="1498">
        <f>+D47</f>
        <v/>
      </c>
      <c r="F47" s="1498">
        <f>IF(D47&gt;0," ",C47*18%)</f>
        <v/>
      </c>
      <c r="G47" s="1228" t="n"/>
      <c r="H47" s="1228" t="n"/>
      <c r="J47" s="1084">
        <f>26800-4679</f>
        <v/>
      </c>
    </row>
    <row r="48" ht="15.75" customHeight="1">
      <c r="A48" s="161" t="n">
        <v>3321</v>
      </c>
      <c r="B48" s="1220" t="inlineStr">
        <is>
          <t>ADHOC LIMIT CHARGES</t>
        </is>
      </c>
      <c r="C48" s="1496" t="n"/>
      <c r="D48" s="1498">
        <f>+C48*9%</f>
        <v/>
      </c>
      <c r="E48" s="1498">
        <f>+D48</f>
        <v/>
      </c>
      <c r="F48" s="1498">
        <f>IF(D48&gt;0," ",C48*18%)</f>
        <v/>
      </c>
      <c r="G48" s="1228" t="n"/>
      <c r="H48" s="1228" t="n"/>
    </row>
    <row r="49" ht="15.75" customHeight="1">
      <c r="A49" s="161" t="n">
        <v>3322</v>
      </c>
      <c r="B49" s="1220" t="inlineStr">
        <is>
          <t>INCOME FROM SALE OF OLD NEWS PAPERS</t>
        </is>
      </c>
      <c r="C49" s="1496" t="n"/>
      <c r="D49" s="1497">
        <f>+C49*9%</f>
        <v/>
      </c>
      <c r="E49" s="1497">
        <f>+D49</f>
        <v/>
      </c>
      <c r="F49" s="1497">
        <f>IF(D49&gt;0," ",C49*18%)</f>
        <v/>
      </c>
      <c r="G49" s="1228" t="n"/>
      <c r="H49" s="1228" t="n"/>
    </row>
    <row r="50" ht="15.75" customHeight="1">
      <c r="A50" s="161" t="n">
        <v>3324</v>
      </c>
      <c r="B50" s="1220" t="inlineStr">
        <is>
          <t>PENALTY ON OVERDUE RENT ON LOCKER</t>
        </is>
      </c>
      <c r="C50" s="1496" t="n"/>
      <c r="D50" s="1497">
        <f>+C50*9%</f>
        <v/>
      </c>
      <c r="E50" s="1497">
        <f>+D50</f>
        <v/>
      </c>
      <c r="F50" s="1497">
        <f>IF(D50&gt;0," ",C50*18%)</f>
        <v/>
      </c>
      <c r="G50" s="1228" t="n"/>
      <c r="H50" s="1228" t="n"/>
    </row>
    <row r="51" ht="15.75" customHeight="1">
      <c r="A51" s="161" t="n">
        <v>3325</v>
      </c>
      <c r="B51" s="1220" t="inlineStr">
        <is>
          <t>MICR CHARGES</t>
        </is>
      </c>
      <c r="C51" s="1496" t="n"/>
      <c r="D51" s="1498">
        <f>+C51*2.5%</f>
        <v/>
      </c>
      <c r="E51" s="1498">
        <f>+D51</f>
        <v/>
      </c>
      <c r="F51" s="1498">
        <f>IF(D51&gt;0," ",C51*18%)</f>
        <v/>
      </c>
      <c r="G51" s="1228" t="n"/>
      <c r="H51" s="1228" t="n"/>
    </row>
    <row r="52" ht="15.75" customHeight="1">
      <c r="A52" s="161" t="n">
        <v>3391</v>
      </c>
      <c r="B52" s="1220" t="inlineStr">
        <is>
          <t>SMS CHARGES INCOME RECEIVED</t>
        </is>
      </c>
      <c r="C52" s="1496" t="n"/>
      <c r="D52" s="1498">
        <f>+C52*9%</f>
        <v/>
      </c>
      <c r="E52" s="1498">
        <f>+D52</f>
        <v/>
      </c>
      <c r="F52" s="1498">
        <f>IF(D52&gt;0," ",C52*18%)</f>
        <v/>
      </c>
      <c r="G52" s="1228" t="n"/>
      <c r="H52" s="1228" t="n"/>
    </row>
    <row r="53" ht="15.75" customHeight="1">
      <c r="A53" s="1187" t="n">
        <v>3359</v>
      </c>
      <c r="B53" s="1220" t="inlineStr">
        <is>
          <t>COMMITTMENT CHARGES</t>
        </is>
      </c>
      <c r="C53" s="1496" t="n"/>
      <c r="D53" s="1498">
        <f>+C53*9%</f>
        <v/>
      </c>
      <c r="E53" s="1498">
        <f>+D53</f>
        <v/>
      </c>
      <c r="F53" s="1498" t="n">
        <v>0</v>
      </c>
      <c r="G53" s="1228" t="n"/>
      <c r="H53" s="1228" t="n"/>
      <c r="I53" s="1084" t="inlineStr">
        <is>
          <t xml:space="preserve"> </t>
        </is>
      </c>
    </row>
    <row r="54" ht="15.75" customHeight="1">
      <c r="A54" s="1187" t="n">
        <v>3825</v>
      </c>
      <c r="B54" s="1220" t="inlineStr">
        <is>
          <t>EXTERNAL AUDIT FEES</t>
        </is>
      </c>
      <c r="C54" s="1496" t="n"/>
      <c r="D54" s="1498">
        <f>+C54*9%</f>
        <v/>
      </c>
      <c r="E54" s="1498">
        <f>+D54</f>
        <v/>
      </c>
      <c r="F54" s="1498">
        <f>IF(D54&gt;0," ",C54*18%)</f>
        <v/>
      </c>
      <c r="G54" s="1228" t="n"/>
      <c r="H54" s="1228" t="n"/>
    </row>
    <row r="55" ht="15.75" customHeight="1">
      <c r="A55" s="1187" t="n">
        <v>3362</v>
      </c>
      <c r="B55" s="1220" t="inlineStr">
        <is>
          <t>FORECLOSURE CHARGES</t>
        </is>
      </c>
      <c r="C55" s="1496" t="n"/>
      <c r="D55" s="1498">
        <f>+C55*9%</f>
        <v/>
      </c>
      <c r="E55" s="1498">
        <f>+D55</f>
        <v/>
      </c>
      <c r="F55" s="1498">
        <f>IF(D55&gt;0," ",C55*18%)</f>
        <v/>
      </c>
      <c r="G55" s="1228" t="n"/>
      <c r="H55" s="1228" t="n"/>
    </row>
    <row r="56" ht="15.75" customHeight="1">
      <c r="A56" s="1187" t="n">
        <v>3340</v>
      </c>
      <c r="B56" s="1220" t="inlineStr">
        <is>
          <t>LOAN PROCESSING FEES</t>
        </is>
      </c>
      <c r="C56" s="1497" t="n"/>
      <c r="D56" s="1497">
        <f>+C56*9%</f>
        <v/>
      </c>
      <c r="E56" s="1497">
        <f>+D56</f>
        <v/>
      </c>
      <c r="F56" s="1498">
        <f>IF(D56&gt;0," ",C56*18%)</f>
        <v/>
      </c>
      <c r="G56" s="1228" t="n"/>
      <c r="H56" s="1228" t="n"/>
    </row>
    <row r="57" ht="15.75" customHeight="1">
      <c r="A57" s="162" t="inlineStr">
        <is>
          <t>GL</t>
        </is>
      </c>
      <c r="B57" s="1220" t="n"/>
      <c r="C57" s="1496" t="n"/>
      <c r="D57" s="1498">
        <f>+C57*9%</f>
        <v/>
      </c>
      <c r="E57" s="1498">
        <f>+D57</f>
        <v/>
      </c>
      <c r="F57" s="1498">
        <f>IF(D57&gt;0," ",C57*18%)</f>
        <v/>
      </c>
      <c r="G57" s="1228" t="n"/>
      <c r="H57" s="1228" t="n"/>
    </row>
    <row r="58" ht="15.75" customHeight="1">
      <c r="A58" s="161" t="inlineStr">
        <is>
          <t>1720</t>
        </is>
      </c>
      <c r="B58" s="1220" t="inlineStr">
        <is>
          <t>COMM. RECD. BUT NOT ACCRUED</t>
        </is>
      </c>
      <c r="C58" s="1496" t="n"/>
      <c r="D58" s="1498">
        <f>+C58*9%</f>
        <v/>
      </c>
      <c r="E58" s="1498">
        <f>+D58</f>
        <v/>
      </c>
      <c r="F58" s="1498" t="n">
        <v>0</v>
      </c>
      <c r="G58" s="1228" t="n"/>
      <c r="H58" s="1228" t="n"/>
    </row>
    <row r="59" ht="15.75" customHeight="1">
      <c r="A59" s="1080" t="inlineStr">
        <is>
          <t>1836</t>
        </is>
      </c>
      <c r="B59" s="1220" t="inlineStr">
        <is>
          <t>RENT ON LOCKER RECEIVED BUT</t>
        </is>
      </c>
      <c r="C59" s="1496" t="n"/>
      <c r="D59" s="1498">
        <f>+C59*9%</f>
        <v/>
      </c>
      <c r="E59" s="1498">
        <f>+D59</f>
        <v/>
      </c>
      <c r="F59" s="1498">
        <f>IF(D59&gt;0," ",C59*18%)</f>
        <v/>
      </c>
      <c r="G59" s="1228" t="n"/>
      <c r="H59" s="1228" t="n"/>
      <c r="I59" s="1084">
        <f>+G59*0.09</f>
        <v/>
      </c>
    </row>
    <row r="60" ht="15.75" customHeight="1">
      <c r="A60" s="163" t="inlineStr">
        <is>
          <t xml:space="preserve"> </t>
        </is>
      </c>
      <c r="B60" s="1220" t="inlineStr">
        <is>
          <t>NOT ACCRUED</t>
        </is>
      </c>
      <c r="C60" s="1496" t="n"/>
      <c r="D60" s="1497">
        <f>+C60*9%</f>
        <v/>
      </c>
      <c r="E60" s="1497">
        <f>+D60</f>
        <v/>
      </c>
      <c r="F60" s="1498">
        <f>IF(D60&gt;0," ",C60*18%)</f>
        <v/>
      </c>
      <c r="G60" s="1228" t="n"/>
      <c r="H60" s="1228" t="n"/>
    </row>
    <row r="61" ht="15.75" customHeight="1">
      <c r="A61" s="432" t="n"/>
      <c r="B61" s="433" t="inlineStr">
        <is>
          <t>SALE OF ASSET ( CASH COUNTING MACHINE)</t>
        </is>
      </c>
      <c r="C61" s="1496" t="n"/>
      <c r="D61" s="1497">
        <f>+C61*9%</f>
        <v/>
      </c>
      <c r="E61" s="1497">
        <f>+D61</f>
        <v/>
      </c>
      <c r="F61" s="1500" t="n">
        <v>0</v>
      </c>
      <c r="G61" s="1228" t="n"/>
      <c r="H61" s="1228" t="n"/>
    </row>
    <row r="62" ht="16.5" customHeight="1" thickBot="1">
      <c r="A62" s="563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200">
        <f>+SUM(G9:G60)</f>
        <v/>
      </c>
      <c r="H62" s="200">
        <f>SUM(H9:H60)</f>
        <v/>
      </c>
    </row>
    <row r="63" ht="16.5" customHeight="1" thickTop="1">
      <c r="A63" s="564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63" t="inlineStr">
        <is>
          <t>PL 3750</t>
        </is>
      </c>
      <c r="B64" s="1243" t="inlineStr">
        <is>
          <t>LAW CHARGES (EXCLUSIVE)</t>
        </is>
      </c>
      <c r="C64" s="1497" t="n"/>
      <c r="D64" s="1503">
        <f>+C64*9%</f>
        <v/>
      </c>
      <c r="E64" s="1503">
        <f>+D64</f>
        <v/>
      </c>
      <c r="F64" s="1503">
        <f>IF(D64&gt;0," ",C64*18%)</f>
        <v/>
      </c>
      <c r="G64" s="265" t="n"/>
    </row>
    <row r="65" ht="15.75" customHeight="1">
      <c r="A65" s="163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565" t="n"/>
      <c r="B67" s="1214" t="n"/>
      <c r="C67" s="1214" t="n"/>
      <c r="D67" s="1214" t="inlineStr">
        <is>
          <t xml:space="preserve"> </t>
        </is>
      </c>
      <c r="E67" s="1214" t="n"/>
      <c r="F67" s="1214" t="n"/>
      <c r="H67" s="1084" t="n">
        <v>0</v>
      </c>
    </row>
    <row r="68" ht="15.75" customHeight="1">
      <c r="A68" s="566" t="inlineStr">
        <is>
          <t>(1) INCOME</t>
        </is>
      </c>
      <c r="B68" s="29" t="n"/>
      <c r="C68" s="3" t="n"/>
      <c r="D68" s="3" t="n"/>
      <c r="E68" s="3" t="n"/>
      <c r="F68" s="3" t="n"/>
    </row>
    <row r="69" ht="15.75" customHeight="1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567" t="inlineStr">
        <is>
          <t>(1) INCOME AS PER LEDGERWISE CALCULATION</t>
        </is>
      </c>
      <c r="B71" s="1243" t="n"/>
      <c r="C71" s="1220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567" t="inlineStr">
        <is>
          <t>(2) REFUND GIVEN BUT GST REFUND NOT GIVEN</t>
        </is>
      </c>
      <c r="B72" s="1243" t="n"/>
      <c r="C72" s="1220">
        <f>+G62</f>
        <v/>
      </c>
      <c r="D72" s="106">
        <f>C72*0.09</f>
        <v/>
      </c>
      <c r="E72" s="106">
        <f>+C72*0.09</f>
        <v/>
      </c>
      <c r="F72" s="106" t="n">
        <v>0</v>
      </c>
      <c r="G72" s="1084" t="inlineStr">
        <is>
          <t xml:space="preserve"> </t>
        </is>
      </c>
    </row>
    <row r="73" ht="15.75" customHeight="1">
      <c r="A73" s="567" t="n"/>
      <c r="B73" s="1243" t="n"/>
      <c r="C73" s="1220" t="n"/>
      <c r="D73" s="105">
        <f>+D71+D72</f>
        <v/>
      </c>
      <c r="E73" s="105">
        <f>+E71+E72</f>
        <v/>
      </c>
      <c r="F73" s="105">
        <f>SUM(F71:F72)</f>
        <v/>
      </c>
    </row>
    <row r="74" ht="15.75" customHeight="1">
      <c r="A74" s="567" t="inlineStr">
        <is>
          <t>(3) PAYABLE AS PER LEDGER</t>
        </is>
      </c>
      <c r="B74" s="1243" t="n"/>
      <c r="C74" s="1220" t="n"/>
      <c r="D74" s="108" t="n">
        <v>14387.79999999991</v>
      </c>
      <c r="E74" s="108">
        <f>+D74</f>
        <v/>
      </c>
      <c r="F74" s="108" t="n">
        <v>0</v>
      </c>
      <c r="G74" s="1084" t="inlineStr">
        <is>
          <t xml:space="preserve"> </t>
        </is>
      </c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+F74-F71</f>
        <v/>
      </c>
      <c r="G75" s="1084">
        <f>+D75/9*100</f>
        <v/>
      </c>
      <c r="I75" s="1509" t="n"/>
    </row>
    <row r="76" ht="15.75" customHeight="1">
      <c r="A76" s="635" t="n"/>
      <c r="B76" s="2" t="n"/>
      <c r="C76" s="3" t="n"/>
      <c r="D76" s="3" t="n"/>
      <c r="E76" s="3" t="n"/>
      <c r="F76" s="3" t="n"/>
    </row>
    <row r="77" ht="15" customHeight="1">
      <c r="A77" s="164" t="inlineStr">
        <is>
          <t>(2) INPUT TAX CREDIT</t>
        </is>
      </c>
      <c r="B77" s="2" t="n"/>
      <c r="C77" s="3" t="n"/>
      <c r="D77" s="3" t="n"/>
      <c r="E77" s="3" t="n"/>
      <c r="F77" s="3" t="n"/>
    </row>
    <row r="78" ht="15" customHeight="1">
      <c r="A78" s="1421" t="inlineStr">
        <is>
          <t>PARTICULARS</t>
        </is>
      </c>
      <c r="B78" s="1504" t="n"/>
      <c r="C78" s="1505" t="n"/>
      <c r="D78" s="1343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  <c r="G80" s="32" t="n"/>
      <c r="H80" s="32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2672.55</v>
      </c>
      <c r="E81" s="108">
        <f>+D81</f>
        <v/>
      </c>
      <c r="F81" s="108" t="n">
        <v>0</v>
      </c>
      <c r="G81" s="32">
        <f>+D81/2</f>
        <v/>
      </c>
      <c r="H81" s="32">
        <f>+E81/2</f>
        <v/>
      </c>
      <c r="I81" s="1084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+C96</f>
        <v/>
      </c>
      <c r="E82" s="105">
        <f>+D82</f>
        <v/>
      </c>
      <c r="F82" s="105">
        <f>+E96</f>
        <v/>
      </c>
      <c r="G82" s="32">
        <f>+D82/2</f>
        <v/>
      </c>
      <c r="H82" s="32">
        <f>+E82/2</f>
        <v/>
      </c>
      <c r="I82" s="1084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8">
        <f>+D81-D82</f>
        <v/>
      </c>
      <c r="E83" s="108">
        <f>+E81-E82</f>
        <v/>
      </c>
      <c r="F83" s="108">
        <f>+F81-F82</f>
        <v/>
      </c>
      <c r="G83" s="32">
        <f>+D83/2</f>
        <v/>
      </c>
      <c r="H83" s="32">
        <f>+E83/2</f>
        <v/>
      </c>
      <c r="I83" s="1084">
        <f>+F83/2</f>
        <v/>
      </c>
    </row>
    <row r="85">
      <c r="B85" s="1218" t="inlineStr">
        <is>
          <t>OUR GST NO. NOT REFLECTED ON CENVAT BILLS &amp; BLOCKED CREDIT</t>
        </is>
      </c>
      <c r="C85" s="1042" t="n"/>
      <c r="D85" s="1042" t="n"/>
      <c r="E85" s="1508" t="n"/>
    </row>
    <row r="86">
      <c r="B86" s="744" t="inlineStr">
        <is>
          <t>PARTY NAME</t>
        </is>
      </c>
      <c r="C86" s="744" t="inlineStr">
        <is>
          <t>GGST</t>
        </is>
      </c>
      <c r="D86" s="744" t="inlineStr">
        <is>
          <t>CGST</t>
        </is>
      </c>
      <c r="E86" s="744" t="inlineStr">
        <is>
          <t>IGST</t>
        </is>
      </c>
    </row>
    <row r="87">
      <c r="B87" s="745" t="inlineStr">
        <is>
          <t>BSNL</t>
        </is>
      </c>
      <c r="C87" s="745" t="n"/>
      <c r="D87" s="745">
        <f>+C87</f>
        <v/>
      </c>
      <c r="E87" s="745" t="n">
        <v>0</v>
      </c>
    </row>
    <row r="88">
      <c r="B88" s="745" t="inlineStr">
        <is>
          <t>BSNL</t>
        </is>
      </c>
      <c r="C88" s="745" t="n">
        <v>0</v>
      </c>
      <c r="D88" s="745">
        <f>+C88</f>
        <v/>
      </c>
      <c r="E88" s="745" t="n">
        <v>0</v>
      </c>
    </row>
    <row r="89">
      <c r="B89" s="745" t="inlineStr">
        <is>
          <t>BSNL</t>
        </is>
      </c>
      <c r="C89" s="745" t="n">
        <v>0</v>
      </c>
      <c r="D89" s="745">
        <f>+C89</f>
        <v/>
      </c>
      <c r="E89" s="745" t="n">
        <v>0</v>
      </c>
    </row>
    <row r="90">
      <c r="B90" s="745" t="inlineStr">
        <is>
          <t>BSNL</t>
        </is>
      </c>
      <c r="C90" s="745" t="n">
        <v>0</v>
      </c>
      <c r="D90" s="745">
        <f>+C90</f>
        <v/>
      </c>
      <c r="E90" s="745" t="n">
        <v>0</v>
      </c>
    </row>
    <row r="91">
      <c r="B91" s="745" t="inlineStr">
        <is>
          <t>BSNL</t>
        </is>
      </c>
      <c r="C91" s="745" t="n">
        <v>0</v>
      </c>
      <c r="D91" s="745">
        <f>+C91</f>
        <v/>
      </c>
      <c r="E91" s="745" t="n">
        <v>0</v>
      </c>
    </row>
    <row r="92">
      <c r="B92" s="745" t="inlineStr">
        <is>
          <t>BSNL</t>
        </is>
      </c>
      <c r="C92" s="745" t="n">
        <v>0</v>
      </c>
      <c r="D92" s="745">
        <f>+C92</f>
        <v/>
      </c>
      <c r="E92" s="745" t="n">
        <v>0</v>
      </c>
    </row>
    <row r="93">
      <c r="B93" s="745" t="inlineStr">
        <is>
          <t>BSNL</t>
        </is>
      </c>
      <c r="C93" s="745" t="n">
        <v>0</v>
      </c>
      <c r="D93" s="745">
        <f>+C93</f>
        <v/>
      </c>
      <c r="E93" s="745" t="n">
        <v>0</v>
      </c>
    </row>
    <row r="94">
      <c r="B94" s="745" t="inlineStr">
        <is>
          <t>ROHAN Agency</t>
        </is>
      </c>
      <c r="C94" s="745" t="n">
        <v>0</v>
      </c>
      <c r="D94" s="745">
        <f>+C94</f>
        <v/>
      </c>
      <c r="E94" s="745" t="n">
        <v>0</v>
      </c>
    </row>
    <row r="95">
      <c r="B95" s="745" t="inlineStr">
        <is>
          <t>MAA BEVERAGES</t>
        </is>
      </c>
      <c r="C95" s="745" t="n">
        <v>0</v>
      </c>
      <c r="D95" s="745">
        <f>+C95</f>
        <v/>
      </c>
      <c r="E95" s="745" t="n">
        <v>0</v>
      </c>
    </row>
    <row r="96">
      <c r="B96" s="744" t="n"/>
      <c r="C96" s="747">
        <f>SUM(C87:C95)</f>
        <v/>
      </c>
      <c r="D96" s="747">
        <f>SUM(D87:D95)</f>
        <v/>
      </c>
      <c r="E96" s="747">
        <f>SUM(E87:E95)</f>
        <v/>
      </c>
    </row>
    <row r="97">
      <c r="C97" s="32" t="n"/>
      <c r="D97" s="32" t="n"/>
    </row>
    <row r="101">
      <c r="A101" s="1034" t="n"/>
      <c r="B101" s="1034" t="n"/>
      <c r="C101" s="1034" t="n"/>
      <c r="D101" s="1034" t="n"/>
      <c r="E101" s="1034" t="n"/>
      <c r="F101" s="1034" t="n"/>
    </row>
    <row r="102">
      <c r="A102" s="1034" t="n"/>
      <c r="B102" s="1034" t="n"/>
      <c r="C102" s="1034" t="n"/>
      <c r="D102" s="1034" t="n"/>
      <c r="E102" s="1034" t="n"/>
      <c r="F102" s="1034" t="n"/>
    </row>
  </sheetData>
  <mergeCells count="26">
    <mergeCell ref="A80:C80"/>
    <mergeCell ref="A75:C75"/>
    <mergeCell ref="A66:F66"/>
    <mergeCell ref="E78:E79"/>
    <mergeCell ref="G7:G8"/>
    <mergeCell ref="E69:E70"/>
    <mergeCell ref="A3:F3"/>
    <mergeCell ref="B85:E85"/>
    <mergeCell ref="D6:E6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1:F1"/>
    <mergeCell ref="B7:B8"/>
    <mergeCell ref="F78:F79"/>
    <mergeCell ref="D69:D70"/>
    <mergeCell ref="F69:F70"/>
    <mergeCell ref="F7:F8"/>
  </mergeCells>
  <conditionalFormatting sqref="A38">
    <cfRule type="containsText" priority="55" operator="containsText" dxfId="12" text="LESS COLLECTED">
      <formula>NOT(ISERROR(SEARCH("LESS COLLECTED",A38)))</formula>
    </cfRule>
    <cfRule type="containsText" priority="56" operator="containsText" dxfId="0" text="LESS COLLECTED">
      <formula>NOT(ISERROR(SEARCH("LESS COLLECTED",A38)))</formula>
    </cfRule>
  </conditionalFormatting>
  <conditionalFormatting sqref="A22:B36 G81:XFD1048576">
    <cfRule type="containsText" priority="39" operator="containsText" dxfId="1" text="EXCESS COLLECTED">
      <formula>NOT(ISERROR(SEARCH("EXCESS COLLECTED",A22)))</formula>
    </cfRule>
  </conditionalFormatting>
  <conditionalFormatting sqref="A22:B37 G81:XFD1048576">
    <cfRule type="containsText" priority="40" operator="containsText" dxfId="0" text="LESS COLLECTED">
      <formula>NOT(ISERROR(SEARCH("LESS COLLECTED",A22)))</formula>
    </cfRule>
  </conditionalFormatting>
  <conditionalFormatting sqref="A39:B56">
    <cfRule type="containsText" priority="11" operator="containsText" dxfId="1" text="EXCESS COLLECTED">
      <formula>NOT(ISERROR(SEARCH("EXCESS COLLECTED",A39)))</formula>
    </cfRule>
    <cfRule type="containsText" priority="12" operator="containsText" dxfId="0" text="LESS COLLECTED">
      <formula>NOT(ISERROR(SEARCH("LESS COLLECTED",A39)))</formula>
    </cfRule>
  </conditionalFormatting>
  <conditionalFormatting sqref="A57:F64 C10:F13 D14:F14">
    <cfRule type="containsText" priority="17" operator="containsText" dxfId="1" text="EXCESS COLLECTED">
      <formula>NOT(ISERROR(SEARCH("EXCESS COLLECTED",A10)))</formula>
    </cfRule>
  </conditionalFormatting>
  <conditionalFormatting sqref="A62:F84">
    <cfRule type="containsText" priority="54" operator="containsText" dxfId="0" text="LESS COLLECTED">
      <formula>NOT(ISERROR(SEARCH("LESS COLLECTED",A62)))</formula>
    </cfRule>
  </conditionalFormatting>
  <conditionalFormatting sqref="A66:F84">
    <cfRule type="containsText" priority="53" operator="containsText" dxfId="1" text="EXCESS COLLECTED">
      <formula>NOT(ISERROR(SEARCH("EXCESS COLLECTED",A66)))</formula>
    </cfRule>
  </conditionalFormatting>
  <conditionalFormatting sqref="A87:F100 A103:F1048576">
    <cfRule type="containsText" priority="29" operator="containsText" dxfId="1" text="EXCESS COLLECTED">
      <formula>NOT(ISERROR(SEARCH("EXCESS COLLECTED",A87)))</formula>
    </cfRule>
    <cfRule type="containsText" priority="30" operator="containsText" dxfId="0" text="LESS COLLECTED">
      <formula>NOT(ISERROR(SEARCH("LESS COLLECTED",A87)))</formula>
    </cfRule>
  </conditionalFormatting>
  <conditionalFormatting sqref="A7:H7">
    <cfRule type="containsText" priority="51" operator="containsText" dxfId="1" text="EXCESS COLLECTED">
      <formula>NOT(ISERROR(SEARCH("EXCESS COLLECTED",A7)))</formula>
    </cfRule>
    <cfRule type="containsText" priority="52" operator="containsText" dxfId="0" text="LESS COLLECTED">
      <formula>NOT(ISERROR(SEARCH("LESS COLLECTED",A7)))</formula>
    </cfRule>
  </conditionalFormatting>
  <conditionalFormatting sqref="A1:XFD6">
    <cfRule type="containsText" priority="59" operator="containsText" dxfId="1" text="EXCESS COLLECTED">
      <formula>NOT(ISERROR(SEARCH("EXCESS COLLECTED",A1)))</formula>
    </cfRule>
    <cfRule type="containsText" priority="60" operator="containsText" dxfId="0" text="LESS COLLECTED">
      <formula>NOT(ISERROR(SEARCH("LESS COLLECTED",A1)))</formula>
    </cfRule>
  </conditionalFormatting>
  <conditionalFormatting sqref="A57:F61 C10:F13 D14:F14">
    <cfRule type="containsText" priority="18" operator="containsText" dxfId="0" text="LESS COLLECTED">
      <formula>NOT(ISERROR(SEARCH("LESS COLLECTED",A10)))</formula>
    </cfRule>
  </conditionalFormatting>
  <conditionalFormatting sqref="C15:F48 C49:C50 C51:F56 F54:F60">
    <cfRule type="containsText" priority="9" operator="containsText" dxfId="1" text="EXCESS COLLECTED">
      <formula>NOT(ISERROR(SEARCH("EXCESS COLLECTED",C15)))</formula>
    </cfRule>
    <cfRule type="containsText" priority="10" operator="containsText" dxfId="0" text="LESS COLLECTED">
      <formula>NOT(ISERROR(SEARCH("LESS COLLECTED",C15)))</formula>
    </cfRule>
  </conditionalFormatting>
  <conditionalFormatting sqref="D49:D50">
    <cfRule type="containsText" priority="3" operator="containsText" dxfId="0" text="LESS COLLECTED">
      <formula>NOT(ISERROR(SEARCH("LESS COLLECTED",D49)))</formula>
    </cfRule>
  </conditionalFormatting>
  <conditionalFormatting sqref="D50:E50">
    <cfRule type="containsText" priority="7" operator="containsText" dxfId="1" text="EXCESS COLLECTED">
      <formula>NOT(ISERROR(SEARCH("EXCESS COLLECTED",D50)))</formula>
    </cfRule>
    <cfRule type="containsText" priority="8" operator="containsText" dxfId="0" text="LESS COLLECTED">
      <formula>NOT(ISERROR(SEARCH("LESS COLLECTED",D50)))</formula>
    </cfRule>
  </conditionalFormatting>
  <conditionalFormatting sqref="D49:F49">
    <cfRule type="containsText" priority="4" operator="containsText" dxfId="1" text="EXCESS COLLECTED">
      <formula>NOT(ISERROR(SEARCH("EXCESS COLLECTED",D49)))</formula>
    </cfRule>
    <cfRule type="containsText" priority="5" operator="containsText" dxfId="0" text="LESS COLLECTED">
      <formula>NOT(ISERROR(SEARCH("LESS COLLECTED",D49)))</formula>
    </cfRule>
  </conditionalFormatting>
  <conditionalFormatting sqref="F50">
    <cfRule type="containsText" priority="1" operator="containsText" dxfId="1" text="EXCESS COLLECTED">
      <formula>NOT(ISERROR(SEARCH("EXCESS COLLECTED",F50)))</formula>
    </cfRule>
    <cfRule type="containsText" priority="2" operator="containsText" dxfId="0" text="LESS COLLECTED">
      <formula>NOT(ISERROR(SEARCH("LESS COLLECTED",F50)))</formula>
    </cfRule>
  </conditionalFormatting>
  <conditionalFormatting sqref="H9:H61">
    <cfRule type="containsText" priority="45" operator="containsText" dxfId="1" text="EXCESS COLLECTED">
      <formula>NOT(ISERROR(SEARCH("EXCESS COLLECTED",H9)))</formula>
    </cfRule>
    <cfRule type="containsText" priority="46" operator="containsText" dxfId="0" text="LESS COLLECTED">
      <formula>NOT(ISERROR(SEARCH("LESS COLLECTED",H9)))</formula>
    </cfRule>
  </conditionalFormatting>
  <conditionalFormatting sqref="A8:F8 A9:G9 A10:B19 A85:A86 B38 B85 C86:F86 F85 G10:G61 G62:XFD79 H80:XFD80 I7:XFD61">
    <cfRule type="containsText" priority="75" operator="containsText" dxfId="1" text="EXCESS COLLECTED">
      <formula>NOT(ISERROR(SEARCH("EXCESS COLLECTED",A7)))</formula>
    </cfRule>
    <cfRule type="containsText" priority="76" operator="containsText" dxfId="0" text="LESS COLLECTED">
      <formula>NOT(ISERROR(SEARCH("LESS COLLECTED",A7)))</formula>
    </cfRule>
  </conditionalFormatting>
  <pageMargins left="0.852362205" right="0.81496063" top="0.25" bottom="0.25" header="0.31496062992126" footer="0.31496062992126"/>
  <pageSetup orientation="portrait" paperSize="9" scale="5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97"/>
  <sheetViews>
    <sheetView topLeftCell="A13" workbookViewId="0">
      <selection activeCell="C12" sqref="C12"/>
    </sheetView>
  </sheetViews>
  <sheetFormatPr baseColWidth="8" defaultColWidth="19.85546875" defaultRowHeight="15"/>
  <cols>
    <col width="11.140625" customWidth="1" style="1084" min="1" max="1"/>
    <col width="43.7109375" customWidth="1" style="1084" min="2" max="2"/>
    <col width="13.28515625" customWidth="1" style="1084" min="3" max="3"/>
    <col width="16.85546875" bestFit="1" customWidth="1" style="1084" min="4" max="5"/>
    <col width="10.85546875" bestFit="1" customWidth="1" style="1084" min="6" max="6"/>
    <col width="19.85546875" customWidth="1" style="1084" min="7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RAKHIAL BRANCH</t>
        </is>
      </c>
    </row>
    <row r="4" ht="15.75" customHeight="1">
      <c r="A4" s="1214" t="inlineStr">
        <is>
          <t>BRANCH CODE: 06</t>
        </is>
      </c>
    </row>
    <row r="5" ht="15.75" customHeight="1">
      <c r="A5" s="1210">
        <f>+'ODHAV '!A5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35" t="n"/>
      <c r="H7" s="1235" t="n"/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</row>
    <row r="9" ht="15.75" customHeight="1">
      <c r="A9" s="18" t="n">
        <v>3303</v>
      </c>
      <c r="B9" s="1220" t="inlineStr">
        <is>
          <t>DD CANCEL CHARGES</t>
        </is>
      </c>
      <c r="C9" s="1497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</row>
    <row r="10" ht="15.75" customHeight="1">
      <c r="A10" s="18" t="n">
        <v>3200</v>
      </c>
      <c r="B10" s="1220" t="inlineStr">
        <is>
          <t>COMMISION ON BILLS</t>
        </is>
      </c>
      <c r="C10" s="1497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497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497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497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497" t="n"/>
      <c r="D14" s="1497">
        <f>+C14*9%</f>
        <v/>
      </c>
      <c r="E14" s="1497">
        <f>+D14</f>
        <v/>
      </c>
      <c r="F14" s="1497" t="n">
        <v>0</v>
      </c>
      <c r="G14" s="1510" t="n"/>
      <c r="H14" s="1510" t="n"/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497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497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497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497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497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</row>
    <row r="20" ht="15.75" customHeight="1">
      <c r="A20" s="13" t="n">
        <v>3271</v>
      </c>
      <c r="B20" s="1220" t="inlineStr">
        <is>
          <t>RENEWAL FEES</t>
        </is>
      </c>
      <c r="C20" s="1497" t="n"/>
      <c r="D20" s="1497">
        <f>+C20*9%</f>
        <v/>
      </c>
      <c r="E20" s="1497">
        <f>+D20</f>
        <v/>
      </c>
      <c r="F20" s="1497" t="n"/>
      <c r="G20" s="1510" t="n"/>
      <c r="H20" s="1510" t="n"/>
    </row>
    <row r="21" ht="15.75" customHeight="1">
      <c r="A21" s="13" t="n">
        <v>3274</v>
      </c>
      <c r="B21" s="1220" t="inlineStr">
        <is>
          <t>INCOME FROM E-STAMPING</t>
        </is>
      </c>
      <c r="C21" s="1497" t="n"/>
      <c r="D21" s="1497">
        <f>+C21*9%</f>
        <v/>
      </c>
      <c r="E21" s="1497">
        <f>+D21</f>
        <v/>
      </c>
      <c r="F21" s="1497">
        <f>IF(D21&gt;0," ",C21*18%)</f>
        <v/>
      </c>
      <c r="G21" s="1510" t="n"/>
      <c r="H21" s="1510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497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497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497" t="n"/>
      <c r="D24" s="1497">
        <f>+C24*9%</f>
        <v/>
      </c>
      <c r="E24" s="1497">
        <f>+D24</f>
        <v/>
      </c>
      <c r="F24" s="1497">
        <f>IF(D24&gt;0," ",C24*18%)</f>
        <v/>
      </c>
      <c r="G24" s="1510" t="n"/>
      <c r="H24" s="1510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497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497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497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</row>
    <row r="28" ht="15.75" customHeight="1">
      <c r="A28" s="137" t="n">
        <v>3291</v>
      </c>
      <c r="B28" s="33" t="inlineStr">
        <is>
          <t>CIBIL CHARGES</t>
        </is>
      </c>
      <c r="C28" s="1497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497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497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497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497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497" t="n"/>
      <c r="D33" s="1497">
        <f>+C33*9%</f>
        <v/>
      </c>
      <c r="E33" s="1497">
        <f>+D33</f>
        <v/>
      </c>
      <c r="F33" s="1497" t="n">
        <v>0</v>
      </c>
      <c r="G33" s="1510" t="n"/>
      <c r="H33" s="1510" t="n"/>
    </row>
    <row r="34" ht="15.75" customHeight="1">
      <c r="A34" s="13" t="n">
        <v>3301</v>
      </c>
      <c r="B34" s="1220" t="inlineStr">
        <is>
          <t>INOPERATIVE CHARGES</t>
        </is>
      </c>
      <c r="C34" s="1497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</row>
    <row r="35" ht="15.75" customHeight="1">
      <c r="A35" s="1080" t="n">
        <v>3302</v>
      </c>
      <c r="B35" s="1220" t="inlineStr">
        <is>
          <t>PO CANCEL CHARGES</t>
        </is>
      </c>
      <c r="C35" s="1497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497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497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497" t="n"/>
      <c r="D38" s="1497">
        <f>+C38*9%</f>
        <v/>
      </c>
      <c r="E38" s="1497">
        <f>+D38</f>
        <v/>
      </c>
      <c r="F38" s="1497">
        <f>IF(D38&gt;0," ",C38*18%)</f>
        <v/>
      </c>
      <c r="G38" s="1510" t="n"/>
      <c r="H38" s="1510" t="n"/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497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497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497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497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497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497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</row>
    <row r="45" ht="15.75" customHeight="1">
      <c r="A45" s="1187" t="n">
        <v>3317</v>
      </c>
      <c r="B45" s="1220" t="inlineStr">
        <is>
          <t>THE P&amp;T CHARGES FOR LC/BG</t>
        </is>
      </c>
      <c r="C45" s="1497" t="n"/>
      <c r="D45" s="1497">
        <f>+C45*9%</f>
        <v/>
      </c>
      <c r="E45" s="1497">
        <f>+D45</f>
        <v/>
      </c>
      <c r="F45" s="1497" t="n">
        <v>0</v>
      </c>
      <c r="G45" s="1510" t="n"/>
      <c r="H45" s="1510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497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</row>
    <row r="47" ht="15.75" customHeight="1">
      <c r="A47" s="1187" t="n">
        <v>3320</v>
      </c>
      <c r="B47" s="1220" t="inlineStr">
        <is>
          <t>RENT ON LOCKER</t>
        </is>
      </c>
      <c r="C47" s="1497" t="n"/>
      <c r="D47" s="1497">
        <f>+C47*9%</f>
        <v/>
      </c>
      <c r="E47" s="1497">
        <f>+D47</f>
        <v/>
      </c>
      <c r="F47" s="1497" t="n">
        <v>0</v>
      </c>
      <c r="G47" s="1497" t="n"/>
      <c r="H47" s="1510" t="n"/>
    </row>
    <row r="48" ht="15.75" customHeight="1">
      <c r="A48" s="1187" t="n">
        <v>3321</v>
      </c>
      <c r="B48" s="1220" t="inlineStr">
        <is>
          <t>ADHOC LIMIT CHARGES</t>
        </is>
      </c>
      <c r="C48" s="1497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</row>
    <row r="49" ht="15.75" customHeight="1">
      <c r="A49" s="1187" t="n">
        <v>3322</v>
      </c>
      <c r="B49" s="1220" t="inlineStr">
        <is>
          <t>INCOME FROM SALE OF OLD NEWS PAPERS</t>
        </is>
      </c>
      <c r="C49" s="1497" t="n"/>
      <c r="D49" s="1497">
        <f>+C49*9%</f>
        <v/>
      </c>
      <c r="E49" s="1497">
        <f>+D49</f>
        <v/>
      </c>
      <c r="F49" s="1497">
        <f>IF(D49&gt;0," ",C49*18%)</f>
        <v/>
      </c>
      <c r="G49" s="1510" t="n"/>
      <c r="H49" s="1510" t="n"/>
    </row>
    <row r="50" ht="15.75" customHeight="1">
      <c r="A50" s="1187" t="n">
        <v>3324</v>
      </c>
      <c r="B50" s="1220" t="inlineStr">
        <is>
          <t>PENALTY ON OVERDUE LOCKER RENT</t>
        </is>
      </c>
      <c r="C50" s="1497" t="n"/>
      <c r="D50" s="1497">
        <f>+C50*9%</f>
        <v/>
      </c>
      <c r="E50" s="1497">
        <f>+D50</f>
        <v/>
      </c>
      <c r="F50" s="1497">
        <f>IF(D50&gt;0," ",C50*18%)</f>
        <v/>
      </c>
      <c r="G50" s="1510" t="n"/>
      <c r="H50" s="1510" t="n"/>
    </row>
    <row r="51" ht="15.75" customHeight="1">
      <c r="A51" s="161" t="n">
        <v>3325</v>
      </c>
      <c r="B51" s="1220" t="inlineStr">
        <is>
          <t>MICR CHARGES</t>
        </is>
      </c>
      <c r="C51" s="1497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</row>
    <row r="52" ht="15.75" customHeight="1">
      <c r="A52" s="1187" t="n">
        <v>3391</v>
      </c>
      <c r="B52" s="1220" t="inlineStr">
        <is>
          <t>SMS CHARGES INCOME RECEIVED</t>
        </is>
      </c>
      <c r="C52" s="1497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</row>
    <row r="53" ht="15.75" customHeight="1">
      <c r="A53" s="1187" t="n">
        <v>3359</v>
      </c>
      <c r="B53" s="1220" t="inlineStr">
        <is>
          <t>COMMITMENT CHARGES</t>
        </is>
      </c>
      <c r="C53" s="1497" t="n"/>
      <c r="D53" s="1497">
        <f>+C53*9%</f>
        <v/>
      </c>
      <c r="E53" s="1497">
        <f>+D53</f>
        <v/>
      </c>
      <c r="F53" s="1497" t="n"/>
      <c r="G53" s="1510" t="n"/>
      <c r="H53" s="1512" t="n"/>
      <c r="I53" s="1087" t="n"/>
    </row>
    <row r="54" ht="15.75" customHeight="1">
      <c r="A54" s="1187" t="n">
        <v>3825</v>
      </c>
      <c r="B54" s="1220" t="inlineStr">
        <is>
          <t>EXTERNAL AUDIT FEES</t>
        </is>
      </c>
      <c r="C54" s="1497" t="n"/>
      <c r="D54" s="1497">
        <f>+C54*9%</f>
        <v/>
      </c>
      <c r="E54" s="1497">
        <f>+D54</f>
        <v/>
      </c>
      <c r="F54" s="1497" t="n"/>
      <c r="G54" s="1510" t="n"/>
      <c r="H54" s="1510" t="n"/>
    </row>
    <row r="55" ht="15.75" customHeight="1">
      <c r="A55" s="1187" t="n">
        <v>3362</v>
      </c>
      <c r="B55" s="1220" t="inlineStr">
        <is>
          <t>FORECLOSURE CHARGES</t>
        </is>
      </c>
      <c r="C55" s="1497" t="n"/>
      <c r="D55" s="1497">
        <f>+C55*9%</f>
        <v/>
      </c>
      <c r="E55" s="1497">
        <f>+D55</f>
        <v/>
      </c>
      <c r="F55" s="1497" t="n"/>
      <c r="G55" s="1510" t="n"/>
      <c r="H55" s="1510" t="n"/>
    </row>
    <row r="56" ht="15.75" customHeight="1">
      <c r="A56" s="1187" t="n">
        <v>3340</v>
      </c>
      <c r="B56" s="1220" t="inlineStr">
        <is>
          <t>LOAN PROCESSING FEES</t>
        </is>
      </c>
      <c r="C56" s="1497" t="n"/>
      <c r="D56" s="1497">
        <f>+C56*9%</f>
        <v/>
      </c>
      <c r="E56" s="1497">
        <f>+D56</f>
        <v/>
      </c>
      <c r="F56" s="1497" t="n"/>
      <c r="G56" s="1510" t="n"/>
      <c r="H56" s="1510" t="n"/>
    </row>
    <row r="57" ht="15.75" customHeight="1">
      <c r="A57" s="15" t="inlineStr">
        <is>
          <t>GL</t>
        </is>
      </c>
      <c r="B57" s="1220" t="n"/>
      <c r="C57" s="1497" t="n"/>
      <c r="D57" s="1497">
        <f>+C57*9%</f>
        <v/>
      </c>
      <c r="E57" s="1497">
        <f>+D57</f>
        <v/>
      </c>
      <c r="F57" s="1497" t="n"/>
      <c r="G57" s="1510" t="n"/>
      <c r="H57" s="1510" t="n"/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497" t="n"/>
      <c r="D58" s="1497">
        <f>+C58*9%</f>
        <v/>
      </c>
      <c r="E58" s="1497">
        <f>+D58</f>
        <v/>
      </c>
      <c r="F58" s="1497" t="n">
        <v>0</v>
      </c>
      <c r="G58" s="1510" t="n"/>
      <c r="H58" s="1510" t="n"/>
      <c r="I58" s="1084" t="inlineStr">
        <is>
          <t xml:space="preserve"> </t>
        </is>
      </c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497" t="n"/>
      <c r="D59" s="1497">
        <f>+C59*9%</f>
        <v/>
      </c>
      <c r="E59" s="1497">
        <f>+D59</f>
        <v/>
      </c>
      <c r="F59" s="1497">
        <f>IF(D59&gt;0," ",C59*18%)</f>
        <v/>
      </c>
      <c r="G59" s="1510" t="n"/>
      <c r="H59" s="1510" t="n"/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497" t="n"/>
      <c r="D60" s="1497" t="n"/>
      <c r="E60" s="1497" t="n"/>
      <c r="F60" s="1497" t="n"/>
      <c r="G60" s="1510" t="n"/>
      <c r="H60" s="1510" t="n"/>
    </row>
    <row r="61" ht="15.75" customHeight="1">
      <c r="A61" s="435" t="n"/>
      <c r="B61" s="433" t="inlineStr">
        <is>
          <t>SALE OF ASSET ( CASH COUNTING MACHINE)</t>
        </is>
      </c>
      <c r="C61" s="1497" t="n"/>
      <c r="D61" s="1497">
        <f>+C61*9%</f>
        <v/>
      </c>
      <c r="E61" s="1497">
        <f>+D61</f>
        <v/>
      </c>
      <c r="F61" s="1500" t="n"/>
      <c r="G61" s="1510" t="n"/>
      <c r="H61" s="1510" t="n"/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13">
        <f>+SUM(G9:G60)</f>
        <v/>
      </c>
      <c r="H62" s="1513">
        <f>+SUM(H9:H60)</f>
        <v/>
      </c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+C62*9%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inlineStr">
        <is>
          <t xml:space="preserve"> </t>
        </is>
      </c>
      <c r="E68" s="3" t="n"/>
      <c r="F68" s="3" t="n"/>
      <c r="H68" s="1084" t="inlineStr">
        <is>
          <t xml:space="preserve"> </t>
        </is>
      </c>
    </row>
    <row r="69" ht="15.75" customHeight="1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43" t="inlineStr">
        <is>
          <t>(1) INCOME AS PER LEDGERWISE CALCULATION</t>
        </is>
      </c>
      <c r="B71" s="1243" t="n"/>
      <c r="C71" s="1243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+G62</f>
        <v/>
      </c>
      <c r="D72" s="106">
        <f>C72*0.09</f>
        <v/>
      </c>
      <c r="E72" s="106">
        <f>+C72*0.09</f>
        <v/>
      </c>
      <c r="F72" s="106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</row>
    <row r="74" ht="15.75" customHeight="1">
      <c r="A74" s="1243" t="inlineStr">
        <is>
          <t>(3) PAYABLE AS PER LEDGER</t>
        </is>
      </c>
      <c r="B74" s="1243" t="n"/>
      <c r="C74" s="1243" t="n"/>
      <c r="D74" s="108" t="n">
        <v>18891.48000000023</v>
      </c>
      <c r="E74" s="108">
        <f>+D74</f>
        <v/>
      </c>
      <c r="F74" s="108" t="n">
        <v>0</v>
      </c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IF(F71&gt;F74,F71,F74)</f>
        <v/>
      </c>
      <c r="G75" s="1084">
        <f>+E75/0.09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 ht="15" customHeight="1">
      <c r="A78" s="1421" t="inlineStr">
        <is>
          <t>PARTICULARS</t>
        </is>
      </c>
      <c r="B78" s="1504" t="n"/>
      <c r="C78" s="1505" t="n"/>
      <c r="D78" s="1343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1575</v>
      </c>
      <c r="E81" s="108">
        <f>+D81</f>
        <v/>
      </c>
      <c r="F81" s="10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C92</f>
        <v/>
      </c>
      <c r="E82" s="105">
        <f>+D92</f>
        <v/>
      </c>
      <c r="F82" s="105">
        <f>+E92</f>
        <v/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05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6">
      <c r="B86" s="1218" t="inlineStr">
        <is>
          <t>OUR GST NO. NOT REFLECTED ON CENVAT BILLS</t>
        </is>
      </c>
      <c r="C86" s="1042" t="n"/>
      <c r="D86" s="1042" t="n"/>
      <c r="E86" s="1508" t="n"/>
    </row>
    <row r="87">
      <c r="B87" s="252" t="inlineStr">
        <is>
          <t>PARTY NAME</t>
        </is>
      </c>
      <c r="C87" s="636" t="inlineStr">
        <is>
          <t>GGST</t>
        </is>
      </c>
      <c r="D87" s="636" t="inlineStr">
        <is>
          <t>CGST</t>
        </is>
      </c>
      <c r="E87" s="1234" t="inlineStr">
        <is>
          <t>IGST</t>
        </is>
      </c>
    </row>
    <row r="88">
      <c r="B88" s="723" t="inlineStr">
        <is>
          <t>ROHAN AGENCY</t>
        </is>
      </c>
      <c r="C88" s="637" t="n">
        <v>0</v>
      </c>
      <c r="D88" s="637">
        <f>+C88</f>
        <v/>
      </c>
      <c r="E88" s="438" t="n">
        <v>0</v>
      </c>
    </row>
    <row r="89">
      <c r="B89" s="724" t="inlineStr">
        <is>
          <t>ROHAN AGENCY</t>
        </is>
      </c>
      <c r="C89" s="637" t="n">
        <v>0</v>
      </c>
      <c r="D89" s="637">
        <f>+C89</f>
        <v/>
      </c>
      <c r="E89" s="438" t="n">
        <v>0</v>
      </c>
    </row>
    <row r="90">
      <c r="B90" s="638" t="n"/>
      <c r="C90" s="75" t="n">
        <v>0</v>
      </c>
      <c r="D90" s="75">
        <f>+C90</f>
        <v/>
      </c>
      <c r="E90" s="438" t="n">
        <v>0</v>
      </c>
    </row>
    <row r="91">
      <c r="B91" s="439" t="n"/>
      <c r="C91" s="75" t="n">
        <v>0</v>
      </c>
      <c r="D91" s="75" t="n">
        <v>0</v>
      </c>
      <c r="E91" s="438" t="n"/>
    </row>
    <row r="92">
      <c r="B92" s="1229" t="n"/>
      <c r="C92" s="639">
        <f>SUM(C88:C91)</f>
        <v/>
      </c>
      <c r="D92" s="639">
        <f>SUM(D88:D91)</f>
        <v/>
      </c>
      <c r="E92" s="1231">
        <f>SUM(E88:E90)</f>
        <v/>
      </c>
    </row>
    <row r="93">
      <c r="A93" s="1087" t="n"/>
    </row>
    <row r="94" ht="15" customHeight="1">
      <c r="A94" s="402" t="n"/>
      <c r="B94" s="402" t="n"/>
      <c r="C94" s="1514" t="n"/>
      <c r="D94" s="1515" t="n"/>
      <c r="E94" s="402" t="n"/>
      <c r="F94" s="402" t="n"/>
    </row>
    <row r="95">
      <c r="A95" s="402" t="n"/>
      <c r="B95" s="402" t="n"/>
      <c r="C95" s="402" t="n"/>
      <c r="D95" s="402" t="n"/>
      <c r="E95" s="402" t="n"/>
      <c r="F95" s="402" t="n"/>
    </row>
    <row r="96">
      <c r="A96" s="402" t="n"/>
      <c r="B96" s="402" t="n"/>
      <c r="C96" s="402" t="n"/>
      <c r="D96" s="402" t="n"/>
      <c r="E96" s="402" t="n"/>
      <c r="F96" s="402" t="n"/>
    </row>
    <row r="97">
      <c r="A97" s="140" t="n"/>
      <c r="B97" s="140" t="n"/>
      <c r="C97" s="140" t="n"/>
      <c r="D97" s="140" t="n"/>
      <c r="E97" s="140" t="n"/>
      <c r="F97" s="140" t="n"/>
    </row>
  </sheetData>
  <mergeCells count="26">
    <mergeCell ref="A80:C80"/>
    <mergeCell ref="A66:F66"/>
    <mergeCell ref="A75:C75"/>
    <mergeCell ref="E78:E79"/>
    <mergeCell ref="G7:G8"/>
    <mergeCell ref="E69:E70"/>
    <mergeCell ref="A3:F3"/>
    <mergeCell ref="D6:E6"/>
    <mergeCell ref="A5:F5"/>
    <mergeCell ref="D7:D8"/>
    <mergeCell ref="D78:D79"/>
    <mergeCell ref="H7:H8"/>
    <mergeCell ref="A4:F4"/>
    <mergeCell ref="A78:C79"/>
    <mergeCell ref="A69:C70"/>
    <mergeCell ref="A81:C81"/>
    <mergeCell ref="B86:E86"/>
    <mergeCell ref="E7:E8"/>
    <mergeCell ref="A83:C83"/>
    <mergeCell ref="A82:C82"/>
    <mergeCell ref="A1:F1"/>
    <mergeCell ref="D69:D70"/>
    <mergeCell ref="B7:B8"/>
    <mergeCell ref="F78:F79"/>
    <mergeCell ref="F69:F70"/>
    <mergeCell ref="F7:F8"/>
  </mergeCells>
  <conditionalFormatting sqref="A20:B21">
    <cfRule type="containsText" priority="41" operator="containsText" dxfId="12" text="LESS COLLECTED">
      <formula>NOT(ISERROR(SEARCH("LESS COLLECTED",A20)))</formula>
    </cfRule>
  </conditionalFormatting>
  <conditionalFormatting sqref="A38:B51">
    <cfRule type="containsText" priority="17" operator="containsText" dxfId="1" text="EXCESS COLLECTED">
      <formula>NOT(ISERROR(SEARCH("EXCESS COLLECTED",A38)))</formula>
    </cfRule>
  </conditionalFormatting>
  <conditionalFormatting sqref="A51:B51">
    <cfRule type="containsText" priority="18" operator="containsText" dxfId="0" text="LESS COLLECTED">
      <formula>NOT(ISERROR(SEARCH("LESS COLLECTED",A51)))</formula>
    </cfRule>
  </conditionalFormatting>
  <conditionalFormatting sqref="A53:B61">
    <cfRule type="containsText" priority="7" operator="containsText" dxfId="1" text="EXCESS COLLECTED">
      <formula>NOT(ISERROR(SEARCH("EXCESS COLLECTED",A53)))</formula>
    </cfRule>
    <cfRule type="containsText" priority="8" operator="containsText" dxfId="0" text="LESS COLLECTED">
      <formula>NOT(ISERROR(SEARCH("LESS COLLECTED",A53)))</formula>
    </cfRule>
  </conditionalFormatting>
  <conditionalFormatting sqref="A1:F8 A9:B19 A52:B52 A62:F64 A86:B86 A97 A98:F1048576 D9:F28 D36:F50 D52:F52 D57:F61 F86 G1:XFD7 G75:XFD79 G81:XFD1048576 H74:XFD74 H80:XFD80 I8:XFD8">
    <cfRule type="containsText" priority="113" operator="containsText" dxfId="1" text="EXCESS COLLECTED">
      <formula>NOT(ISERROR(SEARCH("EXCESS COLLECTED",A1)))</formula>
    </cfRule>
    <cfRule type="containsText" priority="114" operator="containsText" dxfId="0" text="LESS COLLECTED">
      <formula>NOT(ISERROR(SEARCH("LESS COLLECTED",A1)))</formula>
    </cfRule>
  </conditionalFormatting>
  <conditionalFormatting sqref="A65:F85">
    <cfRule type="containsText" priority="4" operator="containsText" dxfId="0" text="LESS COLLECTED">
      <formula>NOT(ISERROR(SEARCH("LESS COLLECTED",A65)))</formula>
    </cfRule>
  </conditionalFormatting>
  <conditionalFormatting sqref="A66:F85">
    <cfRule type="containsText" priority="3" operator="containsText" dxfId="1" text="EXCESS COLLECTED">
      <formula>NOT(ISERROR(SEARCH("EXCESS COLLECTED",A66)))</formula>
    </cfRule>
  </conditionalFormatting>
  <conditionalFormatting sqref="A87:F93 A94">
    <cfRule type="containsText" priority="63" operator="containsText" dxfId="1" text="EXCESS COLLECTED">
      <formula>NOT(ISERROR(SEARCH("EXCESS COLLECTED",A87)))</formula>
    </cfRule>
    <cfRule type="containsText" priority="64" operator="containsText" dxfId="0" text="LESS COLLECTED">
      <formula>NOT(ISERROR(SEARCH("LESS COLLECTED",A87)))</formula>
    </cfRule>
  </conditionalFormatting>
  <conditionalFormatting sqref="A22:B36 C9:C61">
    <cfRule type="containsText" priority="21" operator="containsText" dxfId="1" text="EXCESS COLLECTED">
      <formula>NOT(ISERROR(SEARCH("EXCESS COLLECTED",A9)))</formula>
    </cfRule>
  </conditionalFormatting>
  <conditionalFormatting sqref="A20:B50 C10:C61">
    <cfRule type="containsText" priority="22" operator="containsText" dxfId="0" text="LESS COLLECTED">
      <formula>NOT(ISERROR(SEARCH("LESS COLLECTED",A10)))</formula>
    </cfRule>
  </conditionalFormatting>
  <conditionalFormatting sqref="C9:E10">
    <cfRule type="containsText" priority="62" operator="containsText" dxfId="0" text="LESS COLLECTED">
      <formula>NOT(ISERROR(SEARCH("LESS COLLECTED",C9)))</formula>
    </cfRule>
  </conditionalFormatting>
  <conditionalFormatting sqref="D11:E34 D36:E48">
    <cfRule type="containsText" priority="24" operator="containsText" dxfId="0" text="LESS COLLECTED">
      <formula>NOT(ISERROR(SEARCH("LESS COLLECTED",D11)))</formula>
    </cfRule>
  </conditionalFormatting>
  <conditionalFormatting sqref="B9 B52 B86 D7:F8 D47:D50 D52:E52 D57:E59 G75">
    <cfRule type="containsText" priority="108" operator="containsText" dxfId="0" text="LESS COLLECTED">
      <formula>NOT(ISERROR(SEARCH("LESS COLLECTED",B7)))</formula>
    </cfRule>
  </conditionalFormatting>
  <conditionalFormatting sqref="D29:F34">
    <cfRule type="containsText" priority="25" operator="containsText" dxfId="1" text="EXCESS COLLECTED">
      <formula>NOT(ISERROR(SEARCH("EXCESS COLLECTED",D29)))</formula>
    </cfRule>
    <cfRule type="containsText" priority="26" operator="containsText" dxfId="0" text="LESS COLLECTED">
      <formula>NOT(ISERROR(SEARCH("LESS COLLECTED",D29)))</formula>
    </cfRule>
  </conditionalFormatting>
  <conditionalFormatting sqref="D35:F35">
    <cfRule type="containsText" priority="19" operator="containsText" dxfId="1" text="EXCESS COLLECTED">
      <formula>NOT(ISERROR(SEARCH("EXCESS COLLECTED",D35)))</formula>
    </cfRule>
    <cfRule type="containsText" priority="20" operator="containsText" dxfId="0" text="LESS COLLECTED">
      <formula>NOT(ISERROR(SEARCH("LESS COLLECTED",D35)))</formula>
    </cfRule>
  </conditionalFormatting>
  <conditionalFormatting sqref="D51:F51">
    <cfRule type="containsText" priority="15" operator="containsText" dxfId="1" text="EXCESS COLLECTED">
      <formula>NOT(ISERROR(SEARCH("EXCESS COLLECTED",D51)))</formula>
    </cfRule>
    <cfRule type="containsText" priority="16" operator="containsText" dxfId="0" text="LESS COLLECTED">
      <formula>NOT(ISERROR(SEARCH("LESS COLLECTED",D51)))</formula>
    </cfRule>
  </conditionalFormatting>
  <conditionalFormatting sqref="D53:F56">
    <cfRule type="containsText" priority="29" operator="containsText" dxfId="1" text="EXCESS COLLECTED">
      <formula>NOT(ISERROR(SEARCH("EXCESS COLLECTED",D53)))</formula>
    </cfRule>
    <cfRule type="containsText" priority="30" operator="containsText" dxfId="0" text="LESS COLLECTED">
      <formula>NOT(ISERROR(SEARCH("LESS COLLECTED",D53)))</formula>
    </cfRule>
  </conditionalFormatting>
  <conditionalFormatting sqref="G9:XFD73">
    <cfRule type="containsText" priority="1" operator="containsText" dxfId="1" text="EXCESS COLLECTED">
      <formula>NOT(ISERROR(SEARCH("EXCESS COLLECTED",G9)))</formula>
    </cfRule>
    <cfRule type="containsText" priority="2" operator="containsText" dxfId="0" text="LESS COLLECTED">
      <formula>NOT(ISERROR(SEARCH("LESS COLLECTED",G9)))</formula>
    </cfRule>
  </conditionalFormatting>
  <pageMargins left="1.049212598" right="1" top="0.5" bottom="0.5" header="0.31496062992126" footer="0.31496062992126"/>
  <pageSetup orientation="portrait" paperSize="9" scale="5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O104"/>
  <sheetViews>
    <sheetView topLeftCell="A76" workbookViewId="0">
      <selection activeCell="F93" sqref="F93"/>
    </sheetView>
  </sheetViews>
  <sheetFormatPr baseColWidth="8" defaultColWidth="9.140625" defaultRowHeight="15"/>
  <cols>
    <col width="16.7109375" customWidth="1" style="1084" min="1" max="1"/>
    <col width="43.7109375" customWidth="1" style="1084" min="2" max="2"/>
    <col width="13.42578125" customWidth="1" style="1084" min="3" max="3"/>
    <col width="16.28515625" bestFit="1" customWidth="1" style="1084" min="4" max="5"/>
    <col width="11.42578125" customWidth="1" style="1084" min="6" max="6"/>
    <col width="19.85546875" customWidth="1" style="1084" min="7" max="7"/>
    <col width="13" customWidth="1" style="1084" min="8" max="8"/>
    <col width="22" bestFit="1" customWidth="1" style="1084" min="9" max="9"/>
    <col width="9.140625" customWidth="1" style="1084" min="10" max="11"/>
    <col width="13.5703125" bestFit="1" customWidth="1" style="1084" min="12" max="12"/>
    <col width="9.140625" customWidth="1" style="1084" min="13" max="16384"/>
  </cols>
  <sheetData>
    <row r="1" ht="15.75" customHeight="1">
      <c r="A1" s="1210" t="inlineStr">
        <is>
          <t>NUTAN NAGARIK SAHAKARI BANK LTD (GUJARAT BRANCHES &amp; HEAD OFFICE)</t>
        </is>
      </c>
      <c r="L1" s="1084" t="n">
        <v>6357077131</v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NEW SHARDA MANDIR BRANCH</t>
        </is>
      </c>
    </row>
    <row r="4" ht="15.75" customHeight="1">
      <c r="A4" s="1214" t="inlineStr">
        <is>
          <t>BRANCH CODE: 16</t>
        </is>
      </c>
    </row>
    <row r="5" ht="15.75" customHeight="1">
      <c r="A5" s="1210">
        <f>+CHANGODAR!A5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175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09" t="n"/>
      <c r="I7" s="1209" t="inlineStr">
        <is>
          <t>LOCKER CLOSED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18" t="n">
        <v>3303</v>
      </c>
      <c r="B9" s="1220" t="inlineStr">
        <is>
          <t>DD CANCEL CHARGES</t>
        </is>
      </c>
      <c r="C9" s="1516" t="n"/>
      <c r="D9" s="1497">
        <f>+C9*9%</f>
        <v/>
      </c>
      <c r="E9" s="1497">
        <f>+D9</f>
        <v/>
      </c>
      <c r="F9" s="1497">
        <f>IF(D9&gt;0," ",C9*18%)</f>
        <v/>
      </c>
      <c r="G9" s="1228" t="n"/>
      <c r="H9" s="1228" t="n"/>
      <c r="I9" s="1228" t="n"/>
    </row>
    <row r="10" ht="15.75" customHeight="1">
      <c r="A10" s="18" t="n">
        <v>3200</v>
      </c>
      <c r="B10" s="1220" t="inlineStr">
        <is>
          <t>COMMISION ON BILLS</t>
        </is>
      </c>
      <c r="C10" s="1516" t="n"/>
      <c r="D10" s="1497">
        <f>+C10*9%</f>
        <v/>
      </c>
      <c r="E10" s="1497">
        <f>+D10</f>
        <v/>
      </c>
      <c r="F10" s="1497">
        <f>IF(D10&gt;0," ",C10*18%)</f>
        <v/>
      </c>
      <c r="G10" s="1228" t="n"/>
      <c r="H10" s="1228" t="n"/>
      <c r="I10" s="1228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16" t="n"/>
      <c r="D11" s="1497">
        <f>+C11*9%</f>
        <v/>
      </c>
      <c r="E11" s="1497">
        <f>+D11</f>
        <v/>
      </c>
      <c r="F11" s="1497">
        <f>IF(D11&gt;0," ",C11*18%)</f>
        <v/>
      </c>
      <c r="G11" s="1228" t="n"/>
      <c r="H11" s="1228" t="n"/>
      <c r="I11" s="1228" t="n"/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16" t="n"/>
      <c r="D12" s="1497">
        <f>+C12*9%</f>
        <v/>
      </c>
      <c r="E12" s="1497">
        <f>+D12</f>
        <v/>
      </c>
      <c r="F12" s="1497">
        <f>IF(D12&gt;0," ",C12*18%)</f>
        <v/>
      </c>
      <c r="G12" s="1228" t="n"/>
      <c r="H12" s="1228" t="n"/>
      <c r="I12" s="1228" t="n"/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16" t="n"/>
      <c r="D13" s="1497">
        <f>+C13*9%</f>
        <v/>
      </c>
      <c r="E13" s="1497">
        <f>+D13</f>
        <v/>
      </c>
      <c r="F13" s="1497">
        <f>IF(D13&gt;0," ",C13*18%)</f>
        <v/>
      </c>
      <c r="G13" s="1228" t="n"/>
      <c r="H13" s="1228" t="n"/>
      <c r="I13" s="1228" t="n"/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516" t="n"/>
      <c r="D14" s="1497">
        <f>+C14*9%</f>
        <v/>
      </c>
      <c r="E14" s="1497">
        <f>+D14</f>
        <v/>
      </c>
      <c r="F14" s="1497">
        <f>IF(D14&gt;0," ",C14*18%)</f>
        <v/>
      </c>
      <c r="G14" s="1228" t="n"/>
      <c r="H14" s="1228" t="n"/>
      <c r="I14" s="1228" t="n"/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16" t="n"/>
      <c r="D15" s="1497">
        <f>+C15*9%</f>
        <v/>
      </c>
      <c r="E15" s="1497">
        <f>+D15</f>
        <v/>
      </c>
      <c r="F15" s="1497">
        <f>IF(D15&gt;0," ",C15*18%)</f>
        <v/>
      </c>
      <c r="G15" s="1228" t="n"/>
      <c r="H15" s="1228" t="n"/>
      <c r="I15" s="1228" t="n"/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16" t="n"/>
      <c r="D16" s="1497">
        <f>+C16*9%</f>
        <v/>
      </c>
      <c r="E16" s="1497">
        <f>+D16</f>
        <v/>
      </c>
      <c r="F16" s="1497">
        <f>IF(D16&gt;0," ",C16*18%)</f>
        <v/>
      </c>
      <c r="G16" s="1228" t="n"/>
      <c r="H16" s="1228" t="n"/>
      <c r="I16" s="1228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16" t="n"/>
      <c r="D17" s="1497">
        <f>+C17*9%</f>
        <v/>
      </c>
      <c r="E17" s="1497">
        <f>+D17</f>
        <v/>
      </c>
      <c r="F17" s="1497">
        <f>IF(D17&gt;0," ",C17*18%)</f>
        <v/>
      </c>
      <c r="G17" s="1228" t="n"/>
      <c r="H17" s="1228" t="n"/>
      <c r="I17" s="1228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16" t="n"/>
      <c r="D18" s="1497">
        <f>+C18*9%</f>
        <v/>
      </c>
      <c r="E18" s="1497">
        <f>+D18</f>
        <v/>
      </c>
      <c r="F18" s="1497">
        <f>IF(D18&gt;0," ",C18*18%)</f>
        <v/>
      </c>
      <c r="G18" s="1228" t="n"/>
      <c r="H18" s="1228" t="n"/>
      <c r="I18" s="1228" t="n"/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16" t="n"/>
      <c r="D19" s="1497">
        <f>+C19*9%</f>
        <v/>
      </c>
      <c r="E19" s="1497">
        <f>+D19</f>
        <v/>
      </c>
      <c r="F19" s="1497">
        <f>IF(D19&gt;0," ",C19*18%)</f>
        <v/>
      </c>
      <c r="G19" s="1228" t="n"/>
      <c r="H19" s="1228" t="n"/>
      <c r="I19" s="1228" t="n"/>
    </row>
    <row r="20" ht="15.75" customHeight="1">
      <c r="A20" s="13" t="n">
        <v>3271</v>
      </c>
      <c r="B20" s="1220" t="inlineStr">
        <is>
          <t>RENEWAL FEES</t>
        </is>
      </c>
      <c r="C20" s="1516" t="n"/>
      <c r="D20" s="1497">
        <f>+C20*9%</f>
        <v/>
      </c>
      <c r="E20" s="1497">
        <f>+D20</f>
        <v/>
      </c>
      <c r="F20" s="1497">
        <f>IF(D20&gt;0," ",C20*18%)</f>
        <v/>
      </c>
      <c r="G20" s="1228" t="n"/>
      <c r="H20" s="1228" t="n"/>
      <c r="I20" s="1228" t="n"/>
    </row>
    <row r="21" ht="15.75" customHeight="1">
      <c r="A21" s="13" t="n">
        <v>3274</v>
      </c>
      <c r="B21" s="1220" t="inlineStr">
        <is>
          <t>INCOME FROM E-STAMPING</t>
        </is>
      </c>
      <c r="C21" s="1516" t="n"/>
      <c r="D21" s="1497" t="n"/>
      <c r="E21" s="1497" t="n"/>
      <c r="F21" s="1497" t="n"/>
      <c r="G21" s="1228" t="n"/>
      <c r="H21" s="1228" t="n"/>
      <c r="I21" s="1228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16" t="n"/>
      <c r="D22" s="1497">
        <f>+C22*9%</f>
        <v/>
      </c>
      <c r="E22" s="1497">
        <f>+D22</f>
        <v/>
      </c>
      <c r="F22" s="1497">
        <f>IF(D22&gt;0," ",C22*18%)</f>
        <v/>
      </c>
      <c r="G22" s="1228" t="n"/>
      <c r="H22" s="1228" t="n"/>
      <c r="I22" s="1228" t="n"/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16" t="n"/>
      <c r="D23" s="1497">
        <f>+C23*9%</f>
        <v/>
      </c>
      <c r="E23" s="1497">
        <f>+D23</f>
        <v/>
      </c>
      <c r="F23" s="1497">
        <f>IF(D23&gt;0," ",C23*18%)</f>
        <v/>
      </c>
      <c r="G23" s="1228" t="n"/>
      <c r="H23" s="1228" t="n"/>
      <c r="I23" s="1228" t="n"/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16" t="n"/>
      <c r="D24" s="1497">
        <f>+C24*9%</f>
        <v/>
      </c>
      <c r="E24" s="1497">
        <f>+D24</f>
        <v/>
      </c>
      <c r="F24" s="1497" t="n">
        <v>0</v>
      </c>
      <c r="G24" s="1228" t="n"/>
      <c r="H24" s="1228" t="n"/>
      <c r="I24" s="1228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16" t="n"/>
      <c r="D25" s="1497">
        <f>+C25*9%</f>
        <v/>
      </c>
      <c r="E25" s="1497">
        <f>+D25</f>
        <v/>
      </c>
      <c r="F25" s="1497">
        <f>IF(D25&gt;0," ",C25*18%)</f>
        <v/>
      </c>
      <c r="G25" s="1228" t="n"/>
      <c r="H25" s="1228" t="n"/>
      <c r="I25" s="1228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16" t="n"/>
      <c r="D26" s="1497">
        <f>+C26*9%</f>
        <v/>
      </c>
      <c r="E26" s="1497">
        <f>+D26</f>
        <v/>
      </c>
      <c r="F26" s="1497">
        <f>IF(D26&gt;0," ",C26*18%)</f>
        <v/>
      </c>
      <c r="G26" s="1228" t="n"/>
      <c r="H26" s="1228" t="n"/>
      <c r="I26" s="1228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16" t="n"/>
      <c r="D27" s="1497">
        <f>+C27*9%</f>
        <v/>
      </c>
      <c r="E27" s="1497">
        <f>+D27</f>
        <v/>
      </c>
      <c r="F27" s="1497">
        <f>IF(D27&gt;0," ",C27*18%)</f>
        <v/>
      </c>
      <c r="G27" s="1228" t="n"/>
      <c r="H27" s="1228" t="n"/>
      <c r="I27" s="1228" t="n"/>
    </row>
    <row r="28" ht="15.75" customHeight="1">
      <c r="A28" s="137" t="n">
        <v>3291</v>
      </c>
      <c r="B28" s="33" t="inlineStr">
        <is>
          <t>CIBIL CHARGES</t>
        </is>
      </c>
      <c r="C28" s="1516" t="n"/>
      <c r="D28" s="1497">
        <f>+C28*9%</f>
        <v/>
      </c>
      <c r="E28" s="1497">
        <f>+D28</f>
        <v/>
      </c>
      <c r="F28" s="1497">
        <f>IF(D28&gt;0," ",C28*18%)</f>
        <v/>
      </c>
      <c r="G28" s="1228" t="n"/>
      <c r="H28" s="1228" t="n"/>
      <c r="I28" s="1228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16" t="n"/>
      <c r="D29" s="1497">
        <f>+C29*9%</f>
        <v/>
      </c>
      <c r="E29" s="1497">
        <f>+D29</f>
        <v/>
      </c>
      <c r="F29" s="1497">
        <f>IF(D29&gt;0," ",C29*18%)</f>
        <v/>
      </c>
      <c r="G29" s="1228" t="n"/>
      <c r="H29" s="1228" t="n"/>
      <c r="I29" s="1228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16" t="n"/>
      <c r="D30" s="1497">
        <f>+C30*9%</f>
        <v/>
      </c>
      <c r="E30" s="1497">
        <f>+D30</f>
        <v/>
      </c>
      <c r="F30" s="1497">
        <f>IF(D30&gt;0," ",C30*18%)</f>
        <v/>
      </c>
      <c r="G30" s="1228" t="n"/>
      <c r="H30" s="1228" t="n"/>
      <c r="I30" s="1228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16" t="n"/>
      <c r="D31" s="1497">
        <f>+C31*9%</f>
        <v/>
      </c>
      <c r="E31" s="1497">
        <f>+D31</f>
        <v/>
      </c>
      <c r="F31" s="1497">
        <f>IF(D31&gt;0," ",C31*18%)</f>
        <v/>
      </c>
      <c r="G31" s="1228" t="n"/>
      <c r="H31" s="1228" t="n"/>
      <c r="I31" s="1228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16" t="n"/>
      <c r="D32" s="1497">
        <f>+C32*9%</f>
        <v/>
      </c>
      <c r="E32" s="1497">
        <f>+D32</f>
        <v/>
      </c>
      <c r="F32" s="1497">
        <f>IF(D32&gt;0," ",C32*18%)</f>
        <v/>
      </c>
      <c r="G32" s="1228" t="n"/>
      <c r="H32" s="1228" t="n"/>
      <c r="I32" s="1228" t="n"/>
    </row>
    <row r="33" ht="15.75" customHeight="1">
      <c r="A33" s="13" t="n">
        <v>3300</v>
      </c>
      <c r="B33" s="1220" t="inlineStr">
        <is>
          <t>INCIDENTAL CHARGES</t>
        </is>
      </c>
      <c r="C33" s="1516" t="n"/>
      <c r="D33" s="1497">
        <f>+C33*9%</f>
        <v/>
      </c>
      <c r="E33" s="1497">
        <f>+D33</f>
        <v/>
      </c>
      <c r="F33" s="1497" t="n">
        <v>0</v>
      </c>
      <c r="G33" s="1228" t="n"/>
      <c r="H33" s="1228" t="n"/>
      <c r="I33" s="1228" t="n"/>
    </row>
    <row r="34" ht="15.75" customHeight="1">
      <c r="A34" s="1187" t="inlineStr">
        <is>
          <t>3301</t>
        </is>
      </c>
      <c r="B34" s="1220" t="inlineStr">
        <is>
          <t>INOPERATIVE CHARGES</t>
        </is>
      </c>
      <c r="C34" s="1516" t="n"/>
      <c r="D34" s="1497">
        <f>+C34*9%</f>
        <v/>
      </c>
      <c r="E34" s="1497">
        <f>+D34</f>
        <v/>
      </c>
      <c r="F34" s="1497">
        <f>IF(D34&gt;0," ",C34*18%)</f>
        <v/>
      </c>
      <c r="G34" s="1228" t="n"/>
      <c r="H34" s="1228" t="n"/>
      <c r="I34" s="1228" t="n"/>
    </row>
    <row r="35" ht="15.75" customHeight="1">
      <c r="A35" s="1080" t="n">
        <v>3302</v>
      </c>
      <c r="B35" s="1220" t="inlineStr">
        <is>
          <t>PO CANCEL CHARGES</t>
        </is>
      </c>
      <c r="C35" s="1516" t="n"/>
      <c r="D35" s="1497">
        <f>+C35*9%</f>
        <v/>
      </c>
      <c r="E35" s="1497">
        <f>+D35</f>
        <v/>
      </c>
      <c r="F35" s="1497">
        <f>IF(D35&gt;0," ",C35*18%)</f>
        <v/>
      </c>
      <c r="G35" s="1228" t="n"/>
      <c r="H35" s="1228" t="n"/>
      <c r="I35" s="1228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16" t="n"/>
      <c r="D36" s="1497">
        <f>+C36*9%</f>
        <v/>
      </c>
      <c r="E36" s="1497">
        <f>+D36</f>
        <v/>
      </c>
      <c r="F36" s="1497">
        <f>IF(D36&gt;0," ",C36*18%)</f>
        <v/>
      </c>
      <c r="G36" s="1228" t="n"/>
      <c r="H36" s="1228" t="n"/>
      <c r="I36" s="1228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16" t="n"/>
      <c r="D37" s="1497">
        <f>+C37*9%</f>
        <v/>
      </c>
      <c r="E37" s="1497">
        <f>+D37</f>
        <v/>
      </c>
      <c r="F37" s="1497">
        <f>IF(D37&gt;0," ",C37*18%)</f>
        <v/>
      </c>
      <c r="G37" s="1228" t="n"/>
      <c r="H37" s="1228" t="n"/>
      <c r="I37" s="1228" t="n"/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16" t="n"/>
      <c r="D38" s="1497">
        <f>+C38*9%</f>
        <v/>
      </c>
      <c r="E38" s="1497">
        <f>+D38</f>
        <v/>
      </c>
      <c r="F38" s="1497" t="n">
        <v>0</v>
      </c>
      <c r="G38" s="1228" t="n"/>
      <c r="H38" s="1228" t="n"/>
      <c r="I38" s="1228" t="n"/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16" t="n"/>
      <c r="D39" s="1497">
        <f>+C39*9%</f>
        <v/>
      </c>
      <c r="E39" s="1497">
        <f>+D39</f>
        <v/>
      </c>
      <c r="F39" s="1497">
        <f>IF(D39&gt;0," ",C39*18%)</f>
        <v/>
      </c>
      <c r="G39" s="1228" t="n"/>
      <c r="H39" s="1228" t="n"/>
      <c r="I39" s="1228" t="n"/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16" t="n"/>
      <c r="D40" s="1497">
        <f>+C40*9%</f>
        <v/>
      </c>
      <c r="E40" s="1497">
        <f>+D40</f>
        <v/>
      </c>
      <c r="F40" s="1497" t="n">
        <v>0</v>
      </c>
      <c r="G40" s="1228" t="n"/>
      <c r="H40" s="1228" t="n"/>
      <c r="I40" s="1228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16" t="n"/>
      <c r="D41" s="1497">
        <f>+C41*9%</f>
        <v/>
      </c>
      <c r="E41" s="1497">
        <f>+D41</f>
        <v/>
      </c>
      <c r="F41" s="1497">
        <f>IF(D41&gt;0," ",C41*18%)</f>
        <v/>
      </c>
      <c r="G41" s="1228" t="n"/>
      <c r="H41" s="1228" t="n"/>
      <c r="I41" s="1228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16" t="n"/>
      <c r="D42" s="1497">
        <f>+C42*9%</f>
        <v/>
      </c>
      <c r="E42" s="1497">
        <f>+D42</f>
        <v/>
      </c>
      <c r="F42" s="1497">
        <f>IF(D42&gt;0," ",C42*18%)</f>
        <v/>
      </c>
      <c r="G42" s="1228" t="n"/>
      <c r="H42" s="1228" t="n"/>
      <c r="I42" s="1228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16" t="n"/>
      <c r="D43" s="1497">
        <f>+C43*9%</f>
        <v/>
      </c>
      <c r="E43" s="1497">
        <f>+D43</f>
        <v/>
      </c>
      <c r="F43" s="1497">
        <f>IF(D43&gt;0," ",C43*18%)</f>
        <v/>
      </c>
      <c r="G43" s="1228" t="n"/>
      <c r="H43" s="1228" t="n"/>
      <c r="I43" s="1228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16" t="n"/>
      <c r="D44" s="1497">
        <f>+C44*9%</f>
        <v/>
      </c>
      <c r="E44" s="1497">
        <f>+D44</f>
        <v/>
      </c>
      <c r="F44" s="1497">
        <f>IF(D44&gt;0," ",C44*18%)</f>
        <v/>
      </c>
      <c r="G44" s="1228" t="n"/>
      <c r="H44" s="1228" t="n"/>
      <c r="I44" s="1228" t="n"/>
    </row>
    <row r="45" ht="15.75" customHeight="1">
      <c r="A45" s="1187" t="inlineStr">
        <is>
          <t>3317</t>
        </is>
      </c>
      <c r="B45" s="1220" t="inlineStr">
        <is>
          <t>THE P&amp;T CHARGES FOR LC/BG</t>
        </is>
      </c>
      <c r="C45" s="1516" t="n"/>
      <c r="D45" s="1497">
        <f>+C45*9%</f>
        <v/>
      </c>
      <c r="E45" s="1497">
        <f>+D45</f>
        <v/>
      </c>
      <c r="F45" s="1497">
        <f>IF(D45&gt;0," ",C45*18%)</f>
        <v/>
      </c>
      <c r="G45" s="1228" t="n"/>
      <c r="H45" s="1228" t="n"/>
      <c r="I45" s="1228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16" t="n"/>
      <c r="D46" s="1497">
        <f>+C46*9%</f>
        <v/>
      </c>
      <c r="E46" s="1497">
        <f>+D46</f>
        <v/>
      </c>
      <c r="F46" s="1497">
        <f>IF(D46&gt;0," ",C46*18%)</f>
        <v/>
      </c>
      <c r="G46" s="1228" t="n"/>
      <c r="H46" s="1228" t="n"/>
      <c r="I46" s="1228" t="n"/>
    </row>
    <row r="47" ht="15.75" customHeight="1">
      <c r="A47" s="1187" t="inlineStr">
        <is>
          <t>3320</t>
        </is>
      </c>
      <c r="B47" s="1220" t="inlineStr">
        <is>
          <t>RENT ON LOCKER</t>
        </is>
      </c>
      <c r="C47" s="1516" t="n"/>
      <c r="D47" s="1497">
        <f>+C47*9%</f>
        <v/>
      </c>
      <c r="E47" s="1497">
        <f>+D47</f>
        <v/>
      </c>
      <c r="F47" s="1497">
        <f>IF(D47&gt;0," ",C47*18%)</f>
        <v/>
      </c>
      <c r="G47" s="1228" t="n"/>
      <c r="H47" s="1228" t="n"/>
      <c r="I47" s="1228" t="n"/>
    </row>
    <row r="48" ht="15.75" customHeight="1">
      <c r="A48" s="1187" t="inlineStr">
        <is>
          <t>3321</t>
        </is>
      </c>
      <c r="B48" s="1220" t="inlineStr">
        <is>
          <t>ADHOC LIMIT CHARGES</t>
        </is>
      </c>
      <c r="C48" s="1516" t="n"/>
      <c r="D48" s="1497">
        <f>+C48*9%</f>
        <v/>
      </c>
      <c r="E48" s="1497">
        <f>+D48</f>
        <v/>
      </c>
      <c r="F48" s="1497">
        <f>IF(D48&gt;0," ",C48*18%)</f>
        <v/>
      </c>
      <c r="G48" s="1228" t="n"/>
      <c r="H48" s="1228" t="n"/>
      <c r="I48" s="1228" t="n"/>
    </row>
    <row r="49" ht="15.75" customHeight="1">
      <c r="A49" s="1187" t="inlineStr">
        <is>
          <t>3322</t>
        </is>
      </c>
      <c r="B49" s="1220" t="inlineStr">
        <is>
          <t>INCOME FROM SALE OF OLD NEWS PAPERS</t>
        </is>
      </c>
      <c r="C49" s="1516" t="n"/>
      <c r="D49" s="1497">
        <f>+C49*9%</f>
        <v/>
      </c>
      <c r="E49" s="1497">
        <f>+D49</f>
        <v/>
      </c>
      <c r="F49" s="1497" t="n"/>
      <c r="G49" s="1228" t="n"/>
      <c r="H49" s="1228" t="n"/>
      <c r="I49" s="1228" t="n"/>
    </row>
    <row r="50" ht="15.75" customHeight="1">
      <c r="A50" s="1187" t="n">
        <v>3324</v>
      </c>
      <c r="B50" s="1220" t="inlineStr">
        <is>
          <t>PENALTY ON OVERDUE LOCKER RENT</t>
        </is>
      </c>
      <c r="C50" s="1516" t="n"/>
      <c r="D50" s="1497">
        <f>+C50*0.09</f>
        <v/>
      </c>
      <c r="E50" s="1497">
        <f>+D50</f>
        <v/>
      </c>
      <c r="F50" s="1497" t="n"/>
      <c r="G50" s="1228" t="n"/>
      <c r="H50" s="1228" t="n"/>
      <c r="I50" s="1228" t="n"/>
    </row>
    <row r="51" ht="15.75" customHeight="1">
      <c r="A51" s="161" t="n">
        <v>3325</v>
      </c>
      <c r="B51" s="1220" t="inlineStr">
        <is>
          <t>MICR CHARGES</t>
        </is>
      </c>
      <c r="C51" s="1516" t="n"/>
      <c r="D51" s="1497">
        <f>+C51*2.5%</f>
        <v/>
      </c>
      <c r="E51" s="1497">
        <f>+D51</f>
        <v/>
      </c>
      <c r="F51" s="1497">
        <f>IF(D51&gt;0," ",C51*18%)</f>
        <v/>
      </c>
      <c r="G51" s="1228" t="n"/>
      <c r="H51" s="1228" t="n"/>
      <c r="I51" s="1228" t="n"/>
    </row>
    <row r="52" ht="15.75" customHeight="1">
      <c r="A52" s="1187" t="inlineStr">
        <is>
          <t>3391</t>
        </is>
      </c>
      <c r="B52" s="1220" t="inlineStr">
        <is>
          <t>SMS CHARGES INCOME RECEIVED</t>
        </is>
      </c>
      <c r="C52" s="1516" t="n"/>
      <c r="D52" s="1497">
        <f>+C52*9%</f>
        <v/>
      </c>
      <c r="E52" s="1497">
        <f>+D52</f>
        <v/>
      </c>
      <c r="F52" s="1497">
        <f>IF(D52&gt;0," ",C52*18%)</f>
        <v/>
      </c>
      <c r="G52" s="1228" t="n"/>
      <c r="H52" s="1228" t="n"/>
      <c r="I52" s="1228" t="n"/>
    </row>
    <row r="53" ht="15.75" customHeight="1">
      <c r="A53" s="1187" t="n">
        <v>3359</v>
      </c>
      <c r="B53" s="1220" t="inlineStr">
        <is>
          <t>COMMITMENT CHARGES</t>
        </is>
      </c>
      <c r="C53" s="1516" t="n"/>
      <c r="D53" s="1497">
        <f>+C53*9%</f>
        <v/>
      </c>
      <c r="E53" s="1497">
        <f>+D53</f>
        <v/>
      </c>
      <c r="F53" s="1497" t="n"/>
      <c r="G53" s="1228" t="n"/>
      <c r="H53" s="1228" t="n"/>
      <c r="I53" s="1228" t="n"/>
      <c r="J53" s="1084" t="inlineStr">
        <is>
          <t xml:space="preserve"> </t>
        </is>
      </c>
    </row>
    <row r="54" ht="15.75" customHeight="1">
      <c r="A54" s="1187" t="n">
        <v>3825</v>
      </c>
      <c r="B54" s="1220" t="inlineStr">
        <is>
          <t>EXTERNAL AUDIT FEES</t>
        </is>
      </c>
      <c r="C54" s="1516" t="n"/>
      <c r="D54" s="1497">
        <f>+C54*9%</f>
        <v/>
      </c>
      <c r="E54" s="1497">
        <f>+D54</f>
        <v/>
      </c>
      <c r="F54" s="1497" t="n"/>
      <c r="G54" s="1228" t="n"/>
      <c r="H54" s="1228" t="n"/>
      <c r="I54" s="1228" t="n"/>
    </row>
    <row r="55" ht="15.75" customHeight="1">
      <c r="A55" s="1187" t="n">
        <v>3362</v>
      </c>
      <c r="B55" s="1220" t="inlineStr">
        <is>
          <t>FORECLOSURE CHARGES</t>
        </is>
      </c>
      <c r="C55" s="1516" t="n"/>
      <c r="D55" s="1497" t="n"/>
      <c r="E55" s="1497" t="n"/>
      <c r="F55" s="1497" t="n"/>
      <c r="G55" s="1228" t="n"/>
      <c r="H55" s="1228" t="n"/>
      <c r="I55" s="1228" t="n"/>
    </row>
    <row r="56" ht="15.75" customHeight="1">
      <c r="A56" s="1187" t="n">
        <v>3340</v>
      </c>
      <c r="B56" s="1220" t="inlineStr">
        <is>
          <t>LOAN PROCESSING FEES</t>
        </is>
      </c>
      <c r="C56" s="1516" t="n"/>
      <c r="D56" s="1497">
        <f>+C56*9%</f>
        <v/>
      </c>
      <c r="E56" s="1497">
        <f>+D56</f>
        <v/>
      </c>
      <c r="F56" s="1497" t="n"/>
      <c r="G56" s="1228" t="n"/>
      <c r="H56" s="1228" t="n"/>
      <c r="I56" s="1228" t="n"/>
    </row>
    <row r="57" ht="15.75" customHeight="1">
      <c r="A57" s="15" t="inlineStr">
        <is>
          <t>GL</t>
        </is>
      </c>
      <c r="B57" s="1220" t="n"/>
      <c r="C57" s="1516" t="n"/>
      <c r="D57" s="1497" t="n"/>
      <c r="E57" s="1497" t="n"/>
      <c r="F57" s="1497" t="n"/>
      <c r="G57" s="1228" t="n"/>
      <c r="H57" s="1228" t="n"/>
      <c r="I57" s="1228" t="n"/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16" t="n"/>
      <c r="D58" s="1497">
        <f>+C58*9%</f>
        <v/>
      </c>
      <c r="E58" s="1497">
        <f>+D58</f>
        <v/>
      </c>
      <c r="F58" s="1497">
        <f>IF(D58&gt;0," ",C58*18%)</f>
        <v/>
      </c>
      <c r="G58" s="1228" t="n"/>
      <c r="H58" s="1228" t="n"/>
      <c r="I58" s="1228" t="n"/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16" t="n"/>
      <c r="D59" s="1497">
        <f>+C59*9%</f>
        <v/>
      </c>
      <c r="E59" s="1497">
        <f>+D59</f>
        <v/>
      </c>
      <c r="F59" s="1497">
        <f>IF(D59&gt;0," ",C59*18%)</f>
        <v/>
      </c>
      <c r="G59" s="1228" t="n"/>
      <c r="H59" s="1228" t="n"/>
      <c r="I59" s="1228" t="n">
        <v>0</v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16" t="n"/>
      <c r="D60" s="1497" t="n"/>
      <c r="E60" s="1497" t="n"/>
      <c r="F60" s="1497" t="n"/>
      <c r="G60" s="1228" t="n"/>
      <c r="H60" s="1228" t="n"/>
      <c r="I60" s="1228" t="n"/>
    </row>
    <row r="61" ht="15.75" customHeight="1">
      <c r="A61" s="435" t="n"/>
      <c r="B61" s="433" t="inlineStr">
        <is>
          <t>SALE OF ASSET ( CASH COUNTING MACHINE)</t>
        </is>
      </c>
      <c r="C61" s="1516" t="n"/>
      <c r="D61" s="1500">
        <f>+C61*0.09</f>
        <v/>
      </c>
      <c r="E61" s="1500">
        <f>+D61</f>
        <v/>
      </c>
      <c r="F61" s="1500" t="n"/>
      <c r="G61" s="1228" t="n"/>
      <c r="H61" s="1228" t="n"/>
      <c r="I61" s="1228" t="n"/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SUM(G9:G59)</f>
        <v/>
      </c>
      <c r="H62" s="1501">
        <f>SUM(H9:H59)</f>
        <v/>
      </c>
      <c r="I62" s="1501">
        <f>SUM(I9:I59)</f>
        <v/>
      </c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" customHeight="1">
      <c r="A68" s="29" t="inlineStr">
        <is>
          <t>(1) INCOME</t>
        </is>
      </c>
      <c r="B68" s="29" t="n"/>
      <c r="C68" s="3" t="n"/>
      <c r="D68" s="3" t="inlineStr">
        <is>
          <t xml:space="preserve"> </t>
        </is>
      </c>
      <c r="E68" s="3" t="n"/>
      <c r="F68" s="3" t="n"/>
    </row>
    <row r="69" ht="15" customHeight="1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  <c r="G70" s="1084" t="inlineStr">
        <is>
          <t xml:space="preserve"> </t>
        </is>
      </c>
      <c r="H70" s="1084" t="inlineStr">
        <is>
          <t xml:space="preserve"> </t>
        </is>
      </c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+C72*0.09</f>
        <v/>
      </c>
      <c r="F72" s="105" t="n">
        <v>0</v>
      </c>
    </row>
    <row r="73" ht="15.75" customHeight="1">
      <c r="A73" s="1243" t="n"/>
      <c r="B73" s="1243" t="n"/>
      <c r="C73" s="1243" t="n"/>
      <c r="D73" s="105">
        <f>SUM(D71:D72)</f>
        <v/>
      </c>
      <c r="E73" s="105">
        <f>+D73</f>
        <v/>
      </c>
      <c r="F73" s="105" t="n">
        <v>0</v>
      </c>
      <c r="I73" s="32" t="n"/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IF(F71&gt;F74,F71,F74)</f>
        <v/>
      </c>
      <c r="G75" s="1084">
        <f>D75/9%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 ht="15" customHeight="1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  <c r="G79" s="1517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0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+C93</f>
        <v/>
      </c>
      <c r="E82" s="105">
        <f>+D82</f>
        <v/>
      </c>
      <c r="F82" s="105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7.2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05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5">
      <c r="A85" s="73" t="n"/>
      <c r="B85" s="73" t="n"/>
      <c r="D85" s="73" t="n"/>
      <c r="G85" s="1518" t="n"/>
    </row>
    <row r="86">
      <c r="B86" s="145" t="inlineStr">
        <is>
          <t>INELIGIBLE CREDIT</t>
        </is>
      </c>
      <c r="C86" s="112" t="n"/>
      <c r="D86" s="112" t="n"/>
      <c r="E86" s="112" t="n"/>
    </row>
    <row r="87">
      <c r="B87" s="252" t="inlineStr">
        <is>
          <t>PARTY NAME</t>
        </is>
      </c>
      <c r="C87" s="141" t="inlineStr">
        <is>
          <t>GGST</t>
        </is>
      </c>
      <c r="D87" s="141" t="inlineStr">
        <is>
          <t>CGST</t>
        </is>
      </c>
      <c r="E87" s="171" t="inlineStr">
        <is>
          <t>IGST</t>
        </is>
      </c>
    </row>
    <row r="88">
      <c r="A88" s="204" t="n"/>
      <c r="B88" s="1084" t="inlineStr">
        <is>
          <t>BSNL</t>
        </is>
      </c>
      <c r="D88" s="1084">
        <f>+C88</f>
        <v/>
      </c>
    </row>
    <row r="89">
      <c r="A89" s="204" t="n"/>
      <c r="B89" s="1084" t="inlineStr">
        <is>
          <t>BSNL</t>
        </is>
      </c>
      <c r="D89" s="1084">
        <f>+C89</f>
        <v/>
      </c>
    </row>
    <row r="90">
      <c r="A90" s="1084" t="inlineStr">
        <is>
          <t>BLOCK CREDIT</t>
        </is>
      </c>
      <c r="B90" s="487" t="inlineStr">
        <is>
          <t>ROHAN AGENCY</t>
        </is>
      </c>
      <c r="D90" s="1084">
        <f>+C90</f>
        <v/>
      </c>
    </row>
    <row r="91">
      <c r="A91" s="1084" t="inlineStr">
        <is>
          <t>BLOCK CREDIT</t>
        </is>
      </c>
      <c r="B91" s="1084" t="inlineStr">
        <is>
          <t>HRPL RESTAURANTS PVT LTD</t>
        </is>
      </c>
      <c r="D91" s="1084">
        <f>+C91</f>
        <v/>
      </c>
    </row>
    <row r="92">
      <c r="A92" s="204" t="n"/>
      <c r="B92" s="1084" t="inlineStr">
        <is>
          <t>BSNL</t>
        </is>
      </c>
      <c r="C92" s="1084" t="n">
        <v>0</v>
      </c>
      <c r="D92" s="1084">
        <f>+C92</f>
        <v/>
      </c>
    </row>
    <row r="93" ht="15.75" customHeight="1" thickBot="1">
      <c r="B93" s="141" t="inlineStr">
        <is>
          <t>TOTAL</t>
        </is>
      </c>
      <c r="C93" s="1519">
        <f>SUM(C88:C92)</f>
        <v/>
      </c>
      <c r="D93" s="1519">
        <f>SUM(D88:D92)</f>
        <v/>
      </c>
      <c r="E93" s="182" t="n"/>
    </row>
    <row r="94" ht="16.5" customHeight="1" thickBot="1" thickTop="1">
      <c r="C94" s="1520" t="n"/>
      <c r="D94" s="1520" t="n"/>
    </row>
    <row r="95">
      <c r="A95" s="1521" t="n"/>
      <c r="B95" s="1522" t="n"/>
      <c r="C95" s="1522" t="n"/>
      <c r="D95" s="1522" t="n"/>
      <c r="E95" s="1522" t="n"/>
      <c r="F95" s="1523" t="n"/>
    </row>
    <row r="96" ht="15.75" customHeight="1" thickBot="1">
      <c r="A96" s="1524" t="n"/>
      <c r="B96" s="1525" t="n"/>
      <c r="C96" s="1525" t="n"/>
      <c r="D96" s="1525" t="n"/>
      <c r="E96" s="1525" t="n"/>
      <c r="F96" s="1526" t="n"/>
    </row>
    <row r="99">
      <c r="A99" s="73" t="n"/>
      <c r="B99" s="73" t="n"/>
    </row>
    <row r="101">
      <c r="A101" s="941" t="n"/>
      <c r="B101" s="941" t="n"/>
      <c r="C101" s="941" t="n"/>
      <c r="D101" s="941" t="n"/>
      <c r="E101" s="941" t="n"/>
    </row>
    <row r="102">
      <c r="A102" s="1527" t="n"/>
      <c r="B102" s="941" t="n"/>
      <c r="C102" s="941" t="n"/>
      <c r="D102" s="941" t="n"/>
      <c r="E102" s="941" t="n"/>
    </row>
    <row r="103">
      <c r="A103" s="1527" t="n"/>
      <c r="B103" s="941" t="n"/>
      <c r="C103" s="941" t="n"/>
      <c r="D103" s="941" t="n"/>
      <c r="E103" s="941" t="n"/>
    </row>
    <row r="104">
      <c r="A104" s="1527" t="n"/>
      <c r="B104" s="941" t="n"/>
      <c r="C104" s="941" t="n"/>
      <c r="D104" s="941" t="n"/>
      <c r="E104" s="941" t="n"/>
    </row>
  </sheetData>
  <mergeCells count="29">
    <mergeCell ref="A80:C80"/>
    <mergeCell ref="A66:F66"/>
    <mergeCell ref="A75:C75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95:F96"/>
    <mergeCell ref="A1:F1"/>
    <mergeCell ref="F78:F79"/>
    <mergeCell ref="D69:D70"/>
    <mergeCell ref="B7:B8"/>
    <mergeCell ref="F69:F70"/>
    <mergeCell ref="F7:F8"/>
  </mergeCells>
  <conditionalFormatting sqref="A10:B21 A81:A94 E81:F89 E92:F94 F90:F91">
    <cfRule type="containsText" priority="35" operator="containsText" dxfId="0" text="LESS COLLECTED">
      <formula>NOT(ISERROR(SEARCH("LESS COLLECTED",A10)))</formula>
    </cfRule>
  </conditionalFormatting>
  <conditionalFormatting sqref="A22:B34">
    <cfRule type="containsText" priority="42" operator="containsText" dxfId="0" text="LESS COLLECTED">
      <formula>NOT(ISERROR(SEARCH("LESS COLLECTED",A22)))</formula>
    </cfRule>
  </conditionalFormatting>
  <conditionalFormatting sqref="A28:B32">
    <cfRule type="containsText" priority="41" operator="containsText" dxfId="1" text="EXCESS COLLECTED">
      <formula>NOT(ISERROR(SEARCH("EXCESS COLLECTED",A28)))</formula>
    </cfRule>
  </conditionalFormatting>
  <conditionalFormatting sqref="A35:B35 D35:F35">
    <cfRule type="containsText" priority="19" operator="containsText" dxfId="1" text="EXCESS COLLECTED">
      <formula>NOT(ISERROR(SEARCH("EXCESS COLLECTED",A35)))</formula>
    </cfRule>
  </conditionalFormatting>
  <conditionalFormatting sqref="A35:B50">
    <cfRule type="containsText" priority="22" operator="containsText" dxfId="0" text="LESS COLLECTED">
      <formula>NOT(ISERROR(SEARCH("LESS COLLECTED",A35)))</formula>
    </cfRule>
  </conditionalFormatting>
  <conditionalFormatting sqref="A47:B56">
    <cfRule type="containsText" priority="8" operator="containsText" dxfId="1" text="EXCESS COLLECTED">
      <formula>NOT(ISERROR(SEARCH("EXCESS COLLECTED",A47)))</formula>
    </cfRule>
  </conditionalFormatting>
  <conditionalFormatting sqref="A51:B56">
    <cfRule type="containsText" priority="9" operator="containsText" dxfId="0" text="LESS COLLECTED">
      <formula>NOT(ISERROR(SEARCH("LESS COLLECTED",A51)))</formula>
    </cfRule>
  </conditionalFormatting>
  <conditionalFormatting sqref="A57:B62">
    <cfRule type="containsText" priority="51" operator="containsText" dxfId="0" text="LESS COLLECTED">
      <formula>NOT(ISERROR(SEARCH("LESS COLLECTED",A57)))</formula>
    </cfRule>
  </conditionalFormatting>
  <conditionalFormatting sqref="A1:XFD7 A8:F8 A9:XFD9 A66:XFD73 A75:XFD79 A80:F80 A97:XFD1048576 G81:XFD96 H74:XFD74 H80:XFD80 J8:XFD8">
    <cfRule type="containsText" priority="125" operator="containsText" dxfId="0" text="LESS COLLECTED">
      <formula>NOT(ISERROR(SEARCH("LESS COLLECTED",A1)))</formula>
    </cfRule>
  </conditionalFormatting>
  <conditionalFormatting sqref="A63:XFD65">
    <cfRule type="containsText" priority="4" operator="containsText" dxfId="0" text="LESS COLLECTED">
      <formula>NOT(ISERROR(SEARCH("LESS COLLECTED",A63)))</formula>
    </cfRule>
  </conditionalFormatting>
  <conditionalFormatting sqref="B61">
    <cfRule type="containsText" priority="50" operator="containsText" dxfId="1" text="EXCESS COLLECTED">
      <formula>NOT(ISERROR(SEARCH("EXCESS COLLECTED",B61)))</formula>
    </cfRule>
  </conditionalFormatting>
  <conditionalFormatting sqref="B81:D82">
    <cfRule type="containsText" priority="2" operator="containsText" dxfId="0" text="LESS COLLECTED">
      <formula>NOT(ISERROR(SEARCH("LESS COLLECTED",B81)))</formula>
    </cfRule>
  </conditionalFormatting>
  <conditionalFormatting sqref="C10:C61">
    <cfRule type="containsText" priority="7" operator="containsText" dxfId="0" text="LESS COLLECTED">
      <formula>NOT(ISERROR(SEARCH("LESS COLLECTED",C10)))</formula>
    </cfRule>
  </conditionalFormatting>
  <conditionalFormatting sqref="C62:XFD62">
    <cfRule type="containsText" priority="14" operator="containsText" dxfId="0" text="LESS COLLECTED">
      <formula>NOT(ISERROR(SEARCH("LESS COLLECTED",C62)))</formula>
    </cfRule>
  </conditionalFormatting>
  <conditionalFormatting sqref="D82">
    <cfRule type="containsText" priority="1" operator="containsText" dxfId="1" text="EXCESS COLLECTED">
      <formula>NOT(ISERROR(SEARCH("EXCESS COLLECTED",D82)))</formula>
    </cfRule>
  </conditionalFormatting>
  <conditionalFormatting sqref="D53:E56">
    <cfRule type="containsText" priority="10" operator="containsText" dxfId="1" text="EXCESS COLLECTED">
      <formula>NOT(ISERROR(SEARCH("EXCESS COLLECTED",D53)))</formula>
    </cfRule>
  </conditionalFormatting>
  <conditionalFormatting sqref="A72:F73 B86:D87 B88:B92 B93:D94 D7:F8 D69:E70 D88:D93">
    <cfRule type="containsText" priority="118" operator="containsText" dxfId="1" text="EXCESS COLLECTED">
      <formula>NOT(ISERROR(SEARCH("EXCESS COLLECTED",A7)))</formula>
    </cfRule>
  </conditionalFormatting>
  <conditionalFormatting sqref="A72:F74 B83:D87 B88:B92 B93:D94 D7:F8 D69:E70 D88:D93">
    <cfRule type="containsText" priority="119" operator="containsText" dxfId="0" text="LESS COLLECTED">
      <formula>NOT(ISERROR(SEARCH("LESS COLLECTED",A7)))</formula>
    </cfRule>
  </conditionalFormatting>
  <conditionalFormatting sqref="D10:F50">
    <cfRule type="containsText" priority="20" operator="containsText" dxfId="0" text="LESS COLLECTED">
      <formula>NOT(ISERROR(SEARCH("LESS COLLECTED",D10)))</formula>
    </cfRule>
  </conditionalFormatting>
  <conditionalFormatting sqref="D49:F51">
    <cfRule type="containsText" priority="15" operator="containsText" dxfId="1" text="EXCESS COLLECTED">
      <formula>NOT(ISERROR(SEARCH("EXCESS COLLECTED",D49)))</formula>
    </cfRule>
  </conditionalFormatting>
  <conditionalFormatting sqref="D51:F52">
    <cfRule type="containsText" priority="16" operator="containsText" dxfId="0" text="LESS COLLECTED">
      <formula>NOT(ISERROR(SEARCH("LESS COLLECTED",D51)))</formula>
    </cfRule>
  </conditionalFormatting>
  <conditionalFormatting sqref="D53:F61">
    <cfRule type="containsText" priority="11" operator="containsText" dxfId="0" text="LESS COLLECTED">
      <formula>NOT(ISERROR(SEARCH("LESS COLLECTED",D53)))</formula>
    </cfRule>
  </conditionalFormatting>
  <conditionalFormatting sqref="G65">
    <cfRule type="containsText" priority="3" operator="containsText" dxfId="1" text="EXCESS COLLECTED">
      <formula>NOT(ISERROR(SEARCH("EXCESS COLLECTED",G65)))</formula>
    </cfRule>
  </conditionalFormatting>
  <conditionalFormatting sqref="G10:XFD61">
    <cfRule type="containsText" priority="43" operator="containsText" dxfId="0" text="LESS COLLECTED">
      <formula>NOT(ISERROR(SEARCH("LESS COLLECTED",G10)))</formula>
    </cfRule>
  </conditionalFormatting>
  <pageMargins left="1.255511811" right="0.618110236" top="0" bottom="0" header="0.31496062992126" footer="0.31496062992126"/>
  <pageSetup orientation="portrait" scale="52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J95"/>
  <sheetViews>
    <sheetView workbookViewId="0">
      <selection activeCell="G7" sqref="G7:G8"/>
    </sheetView>
  </sheetViews>
  <sheetFormatPr baseColWidth="8" defaultColWidth="9.140625" defaultRowHeight="15"/>
  <cols>
    <col width="11.42578125" customWidth="1" style="1084" min="1" max="1"/>
    <col width="41.28515625" customWidth="1" style="1084" min="2" max="2"/>
    <col width="13.42578125" customWidth="1" style="1084" min="3" max="3"/>
    <col width="15.140625" bestFit="1" customWidth="1" style="1084" min="4" max="5"/>
    <col width="11.42578125" customWidth="1" style="1084" min="6" max="6"/>
    <col width="19.85546875" customWidth="1" style="1084" min="7" max="7"/>
    <col width="9.85546875" bestFit="1" customWidth="1" style="1084" min="8" max="8"/>
    <col width="9.140625" customWidth="1" style="1084" min="9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CHANGODAR BRANCH</t>
        </is>
      </c>
    </row>
    <row r="4" ht="15.75" customHeight="1">
      <c r="A4" s="1214" t="inlineStr">
        <is>
          <t>BRANCH CODE: 20</t>
        </is>
      </c>
    </row>
    <row r="5" ht="15.75" customHeight="1">
      <c r="A5" s="1210">
        <f>+RAKHIAL!A5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35" t="n"/>
      <c r="H7" s="1235" t="n"/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</row>
    <row r="9" ht="15.75" customHeight="1">
      <c r="A9" s="13" t="n">
        <v>3303</v>
      </c>
      <c r="B9" s="1220" t="inlineStr">
        <is>
          <t>DD CANCEL CHARGES</t>
        </is>
      </c>
      <c r="C9" s="1496" t="n"/>
      <c r="D9" s="1497">
        <f>+C9*9%</f>
        <v/>
      </c>
      <c r="E9" s="1497">
        <f>+D9</f>
        <v/>
      </c>
      <c r="F9" s="1497">
        <f>IF(D9&gt;0," ",C9*18%)</f>
        <v/>
      </c>
      <c r="G9" s="1228" t="n"/>
      <c r="H9" s="1228" t="n"/>
    </row>
    <row r="10" ht="15.75" customHeight="1">
      <c r="A10" s="18" t="n">
        <v>3200</v>
      </c>
      <c r="B10" s="1220" t="inlineStr">
        <is>
          <t>COMMISION ON BILLS</t>
        </is>
      </c>
      <c r="C10" s="1496" t="n"/>
      <c r="D10" s="1497">
        <f>+C10*9%</f>
        <v/>
      </c>
      <c r="E10" s="1497">
        <f>+D10</f>
        <v/>
      </c>
      <c r="F10" s="1497" t="n">
        <v>0</v>
      </c>
      <c r="G10" s="1228" t="n"/>
      <c r="H10" s="1228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496" t="n"/>
      <c r="D11" s="1497">
        <f>+C11*9%</f>
        <v/>
      </c>
      <c r="E11" s="1497">
        <f>+D11</f>
        <v/>
      </c>
      <c r="F11" s="1497" t="n">
        <v>0</v>
      </c>
      <c r="G11" s="1228" t="n"/>
      <c r="H11" s="1228" t="n"/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496" t="n"/>
      <c r="D12" s="1497">
        <f>+C12*9%</f>
        <v/>
      </c>
      <c r="E12" s="1497">
        <f>+D12</f>
        <v/>
      </c>
      <c r="F12" s="1497">
        <f>IF(D12&gt;0," ",C12*18%)</f>
        <v/>
      </c>
      <c r="G12" s="1228" t="n"/>
      <c r="H12" s="1228" t="n"/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496" t="n"/>
      <c r="D13" s="1497">
        <f>+C13*9%</f>
        <v/>
      </c>
      <c r="E13" s="1497">
        <f>+D13</f>
        <v/>
      </c>
      <c r="F13" s="1497">
        <f>IF(D13&gt;0," ",C13*18%)</f>
        <v/>
      </c>
      <c r="G13" s="1228" t="n"/>
      <c r="H13" s="1228" t="n"/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496" t="n"/>
      <c r="D14" s="1497">
        <f>+C14*9%</f>
        <v/>
      </c>
      <c r="E14" s="1497">
        <f>+D14</f>
        <v/>
      </c>
      <c r="F14" s="1497">
        <f>IF(D14&gt;0," ",C14*18%)</f>
        <v/>
      </c>
      <c r="G14" s="1228" t="n"/>
      <c r="H14" s="1228" t="n"/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496" t="n"/>
      <c r="D15" s="1497">
        <f>+C15*9%</f>
        <v/>
      </c>
      <c r="E15" s="1497">
        <f>+D15</f>
        <v/>
      </c>
      <c r="F15" s="1497" t="n">
        <v>0</v>
      </c>
      <c r="G15" s="1228" t="n"/>
      <c r="H15" s="1228" t="n"/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496" t="n"/>
      <c r="D16" s="1497">
        <f>+C16*9%</f>
        <v/>
      </c>
      <c r="E16" s="1497">
        <f>+D16</f>
        <v/>
      </c>
      <c r="F16" s="1497">
        <f>IF(D16&gt;0," ",C16*18%)</f>
        <v/>
      </c>
      <c r="G16" s="1228" t="n"/>
      <c r="H16" s="1228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496" t="n"/>
      <c r="D17" s="1497">
        <f>+C17*9%</f>
        <v/>
      </c>
      <c r="E17" s="1497">
        <f>+D17</f>
        <v/>
      </c>
      <c r="F17" s="1497" t="n">
        <v>0</v>
      </c>
      <c r="G17" s="1228" t="n"/>
      <c r="H17" s="613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496" t="n"/>
      <c r="D18" s="1497">
        <f>+C18*9%</f>
        <v/>
      </c>
      <c r="E18" s="1497">
        <f>+D18</f>
        <v/>
      </c>
      <c r="F18" s="1497">
        <f>IF(D18&gt;0," ",C18*18%)</f>
        <v/>
      </c>
      <c r="G18" s="1228" t="n"/>
      <c r="H18" s="1228" t="n"/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496" t="n"/>
      <c r="D19" s="1497">
        <f>+C19*9%</f>
        <v/>
      </c>
      <c r="E19" s="1497">
        <f>+D19</f>
        <v/>
      </c>
      <c r="F19" s="1497" t="n">
        <v>0</v>
      </c>
      <c r="G19" s="1228" t="n"/>
      <c r="H19" s="1228" t="n"/>
    </row>
    <row r="20" ht="15.75" customHeight="1">
      <c r="A20" s="13" t="n">
        <v>3271</v>
      </c>
      <c r="B20" s="1220" t="inlineStr">
        <is>
          <t>RENEWAL FEES</t>
        </is>
      </c>
      <c r="C20" s="1496" t="n"/>
      <c r="D20" s="1497">
        <f>+C20*9%</f>
        <v/>
      </c>
      <c r="E20" s="1497">
        <f>+D20</f>
        <v/>
      </c>
      <c r="F20" s="1497" t="n"/>
      <c r="G20" s="1228" t="n"/>
      <c r="H20" s="1228" t="n"/>
    </row>
    <row r="21" ht="15.75" customHeight="1">
      <c r="A21" s="13" t="n">
        <v>3274</v>
      </c>
      <c r="B21" s="1220" t="inlineStr">
        <is>
          <t>INCOME FROM E-STAMPING</t>
        </is>
      </c>
      <c r="C21" s="1496" t="n"/>
      <c r="D21" s="1497" t="n"/>
      <c r="E21" s="1497" t="n"/>
      <c r="F21" s="1497" t="n"/>
      <c r="G21" s="1228" t="n"/>
      <c r="H21" s="1228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496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496" t="n"/>
      <c r="D23" s="1497">
        <f>+C23*9%</f>
        <v/>
      </c>
      <c r="E23" s="1497">
        <f>+D23</f>
        <v/>
      </c>
      <c r="F23" s="1497">
        <f>IF(D23&gt;0," ",C23*18%)</f>
        <v/>
      </c>
      <c r="G23" s="1228" t="n"/>
      <c r="H23" s="1228" t="n"/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496" t="n"/>
      <c r="D24" s="1497">
        <f>+C24*9%</f>
        <v/>
      </c>
      <c r="E24" s="1497">
        <f>+D24</f>
        <v/>
      </c>
      <c r="F24" s="1497" t="n">
        <v>0</v>
      </c>
      <c r="G24" s="1228" t="n"/>
      <c r="H24" s="1228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496" t="n"/>
      <c r="D25" s="1497">
        <f>+C25*9%</f>
        <v/>
      </c>
      <c r="E25" s="1497">
        <f>+D25</f>
        <v/>
      </c>
      <c r="F25" s="1497" t="n"/>
      <c r="G25" s="1228" t="n"/>
      <c r="H25" s="1228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496" t="n"/>
      <c r="D26" s="1497">
        <f>+C26*9%</f>
        <v/>
      </c>
      <c r="E26" s="1497">
        <f>+D26</f>
        <v/>
      </c>
      <c r="F26" s="1497">
        <f>IF(D26&gt;0," ",C26*18%)</f>
        <v/>
      </c>
      <c r="G26" s="1228" t="n"/>
      <c r="H26" s="1228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496" t="n"/>
      <c r="D27" s="1497">
        <f>+C27*9%</f>
        <v/>
      </c>
      <c r="E27" s="1497">
        <f>+D27</f>
        <v/>
      </c>
      <c r="F27" s="1497">
        <f>IF(D27&gt;0," ",C27*18%)</f>
        <v/>
      </c>
      <c r="G27" s="1228" t="n"/>
      <c r="H27" s="1228" t="n"/>
    </row>
    <row r="28" ht="15.75" customHeight="1">
      <c r="A28" s="137" t="n">
        <v>3291</v>
      </c>
      <c r="B28" s="1220" t="inlineStr">
        <is>
          <t>CIBIL CHARGES</t>
        </is>
      </c>
      <c r="C28" s="1496" t="n"/>
      <c r="D28" s="1497">
        <f>+C28*9%</f>
        <v/>
      </c>
      <c r="E28" s="1497">
        <f>+D28</f>
        <v/>
      </c>
      <c r="F28" s="1497">
        <f>IF(D28&gt;0," ",C28*18%)</f>
        <v/>
      </c>
      <c r="G28" s="1228" t="n"/>
      <c r="H28" s="1228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496" t="n"/>
      <c r="D29" s="1497">
        <f>+C29*9%</f>
        <v/>
      </c>
      <c r="E29" s="1497">
        <f>+D29</f>
        <v/>
      </c>
      <c r="F29" s="1497">
        <f>IF(D29&gt;0," ",C29*18%)</f>
        <v/>
      </c>
      <c r="G29" s="1228" t="n"/>
      <c r="H29" s="1228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496" t="n"/>
      <c r="D30" s="1497">
        <f>+C30*9%</f>
        <v/>
      </c>
      <c r="E30" s="1497">
        <f>+D30</f>
        <v/>
      </c>
      <c r="F30" s="1497" t="n">
        <v>0</v>
      </c>
      <c r="G30" s="1228" t="n"/>
      <c r="H30" s="1228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496" t="n"/>
      <c r="D31" s="1497">
        <f>+C31*9%</f>
        <v/>
      </c>
      <c r="E31" s="1497">
        <f>+D31</f>
        <v/>
      </c>
      <c r="F31" s="1497">
        <f>IF(D31&gt;0," ",C31*18%)</f>
        <v/>
      </c>
      <c r="G31" s="1228" t="n"/>
      <c r="H31" s="1228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496" t="n"/>
      <c r="D32" s="1497">
        <f>+C32*9%</f>
        <v/>
      </c>
      <c r="E32" s="1497">
        <f>+D32</f>
        <v/>
      </c>
      <c r="F32" s="1497">
        <f>IF(D32&gt;0," ",C32*18%)</f>
        <v/>
      </c>
      <c r="G32" s="1228" t="n"/>
      <c r="H32" s="1228" t="n"/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496" t="n"/>
      <c r="D33" s="1497">
        <f>+C33*9%</f>
        <v/>
      </c>
      <c r="E33" s="1497">
        <f>+D33</f>
        <v/>
      </c>
      <c r="F33" s="1497" t="n">
        <v>0</v>
      </c>
      <c r="G33" s="1228" t="n"/>
      <c r="H33" s="1228" t="n"/>
    </row>
    <row r="34" ht="15.75" customHeight="1">
      <c r="A34" s="13" t="n">
        <v>3301</v>
      </c>
      <c r="B34" s="1220" t="inlineStr">
        <is>
          <t>INOPERATIVE CHARGES</t>
        </is>
      </c>
      <c r="C34" s="1496" t="n"/>
      <c r="D34" s="1497">
        <f>+C34*9%</f>
        <v/>
      </c>
      <c r="E34" s="1497">
        <f>+D34</f>
        <v/>
      </c>
      <c r="F34" s="1497">
        <f>IF(D34&gt;0," ",C34*18%)</f>
        <v/>
      </c>
      <c r="G34" s="1228" t="n"/>
      <c r="H34" s="1228" t="n"/>
    </row>
    <row r="35" ht="15.75" customHeight="1">
      <c r="A35" s="1080" t="n">
        <v>3302</v>
      </c>
      <c r="B35" s="1220" t="inlineStr">
        <is>
          <t>PO CANCEL CHARGES</t>
        </is>
      </c>
      <c r="C35" s="1496" t="n"/>
      <c r="D35" s="1497">
        <f>+C35*9%</f>
        <v/>
      </c>
      <c r="E35" s="1497">
        <f>+D35</f>
        <v/>
      </c>
      <c r="F35" s="1497">
        <f>IF(D35&gt;0," ",C35*18%)</f>
        <v/>
      </c>
      <c r="G35" s="1228" t="n"/>
      <c r="H35" s="1228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496" t="n"/>
      <c r="D36" s="1497">
        <f>+C36*9%</f>
        <v/>
      </c>
      <c r="E36" s="1497">
        <f>+D36</f>
        <v/>
      </c>
      <c r="F36" s="1497">
        <f>IF(D36&gt;0," ",C36*18%)</f>
        <v/>
      </c>
      <c r="G36" s="1228" t="n"/>
      <c r="H36" s="1228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496" t="n"/>
      <c r="D37" s="1497">
        <f>+C37*9%</f>
        <v/>
      </c>
      <c r="E37" s="1497">
        <f>+D37</f>
        <v/>
      </c>
      <c r="F37" s="1497">
        <f>IF(D37&gt;0," ",C37*18%)</f>
        <v/>
      </c>
      <c r="G37" s="1228" t="n"/>
      <c r="H37" s="1228" t="n"/>
    </row>
    <row r="38" ht="15.75" customHeight="1">
      <c r="A38" s="1187" t="inlineStr">
        <is>
          <t>3310</t>
        </is>
      </c>
      <c r="B38" s="1220" t="inlineStr">
        <is>
          <t>MIS. INCOME</t>
        </is>
      </c>
      <c r="C38" s="1496" t="n"/>
      <c r="D38" s="1497">
        <f>+C38*9%</f>
        <v/>
      </c>
      <c r="E38" s="1497">
        <f>+D38</f>
        <v/>
      </c>
      <c r="F38" s="1497" t="n">
        <v>0</v>
      </c>
      <c r="G38" s="169" t="n"/>
      <c r="H38" s="613" t="n"/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496" t="n"/>
      <c r="D39" s="1497">
        <f>+C39*9%</f>
        <v/>
      </c>
      <c r="E39" s="1497">
        <f>+D39</f>
        <v/>
      </c>
      <c r="F39" s="1497" t="n">
        <v>0</v>
      </c>
      <c r="G39" s="1228" t="n"/>
      <c r="H39" s="1228" t="n"/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496" t="n"/>
      <c r="D40" s="1497">
        <f>+C40*9%</f>
        <v/>
      </c>
      <c r="E40" s="1497">
        <f>+D40</f>
        <v/>
      </c>
      <c r="F40" s="1497" t="n">
        <v>0</v>
      </c>
      <c r="G40" s="1228" t="n"/>
      <c r="H40" s="1228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496" t="n"/>
      <c r="D41" s="1497">
        <f>+C41*9%</f>
        <v/>
      </c>
      <c r="E41" s="1497">
        <f>+D41</f>
        <v/>
      </c>
      <c r="F41" s="1497" t="n">
        <v>0</v>
      </c>
      <c r="G41" s="1228" t="n"/>
      <c r="H41" s="1228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496" t="n"/>
      <c r="D42" s="1497">
        <f>+C42*9%</f>
        <v/>
      </c>
      <c r="E42" s="1497">
        <f>+D42</f>
        <v/>
      </c>
      <c r="F42" s="1497" t="n">
        <v>0</v>
      </c>
      <c r="G42" s="1228" t="n"/>
      <c r="H42" s="1228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496" t="n"/>
      <c r="D43" s="1497">
        <f>+C43*9%</f>
        <v/>
      </c>
      <c r="E43" s="1497">
        <f>+D43</f>
        <v/>
      </c>
      <c r="F43" s="1497" t="n">
        <v>0</v>
      </c>
      <c r="G43" s="1228" t="n"/>
      <c r="H43" s="1228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496" t="n"/>
      <c r="D44" s="1497">
        <f>+C44*9%</f>
        <v/>
      </c>
      <c r="E44" s="1497">
        <f>+D44</f>
        <v/>
      </c>
      <c r="F44" s="1497" t="n">
        <v>0</v>
      </c>
      <c r="G44" s="1228" t="n"/>
      <c r="H44" s="1228" t="n"/>
    </row>
    <row r="45" ht="15.75" customHeight="1">
      <c r="A45" s="1187" t="inlineStr">
        <is>
          <t>3317</t>
        </is>
      </c>
      <c r="B45" s="1220" t="inlineStr">
        <is>
          <t>THE P&amp;T CHARGES FOR LC/BG</t>
        </is>
      </c>
      <c r="C45" s="1496" t="n"/>
      <c r="D45" s="1497">
        <f>+C45*9%</f>
        <v/>
      </c>
      <c r="E45" s="1497">
        <f>+D45</f>
        <v/>
      </c>
      <c r="F45" s="1497" t="n">
        <v>0</v>
      </c>
      <c r="G45" s="1228" t="n"/>
      <c r="H45" s="1228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496" t="n"/>
      <c r="D46" s="1497">
        <f>+C46*9%</f>
        <v/>
      </c>
      <c r="E46" s="1497">
        <f>+D46</f>
        <v/>
      </c>
      <c r="F46" s="1497">
        <f>IF(D46&gt;0," ",C46*18%)</f>
        <v/>
      </c>
      <c r="G46" s="1228" t="n"/>
      <c r="H46" s="1228" t="n"/>
    </row>
    <row r="47" ht="15.75" customHeight="1">
      <c r="A47" s="1187" t="inlineStr">
        <is>
          <t>3320</t>
        </is>
      </c>
      <c r="B47" s="1220" t="inlineStr">
        <is>
          <t>RENT ON LOCKER</t>
        </is>
      </c>
      <c r="C47" s="1496" t="n"/>
      <c r="D47" s="1497">
        <f>+C47*9%</f>
        <v/>
      </c>
      <c r="E47" s="1497">
        <f>+D47</f>
        <v/>
      </c>
      <c r="F47" s="1497">
        <f>IF(D47&gt;0," ",C47*18%)</f>
        <v/>
      </c>
      <c r="G47" s="1228" t="n"/>
      <c r="H47" s="1228" t="n"/>
    </row>
    <row r="48" ht="15.75" customHeight="1">
      <c r="A48" s="1187" t="inlineStr">
        <is>
          <t>3321</t>
        </is>
      </c>
      <c r="B48" s="1220" t="inlineStr">
        <is>
          <t>ADHOC LIMIT CHARGES</t>
        </is>
      </c>
      <c r="C48" s="1496" t="n"/>
      <c r="D48" s="1497">
        <f>+C48*9%</f>
        <v/>
      </c>
      <c r="E48" s="1497">
        <f>+D48</f>
        <v/>
      </c>
      <c r="F48" s="1497">
        <f>IF(D48&gt;0," ",C48*18%)</f>
        <v/>
      </c>
      <c r="G48" s="1228" t="n"/>
      <c r="H48" s="1228" t="n"/>
    </row>
    <row r="49" ht="15.75" customHeight="1">
      <c r="A49" s="1187" t="inlineStr">
        <is>
          <t>3322</t>
        </is>
      </c>
      <c r="B49" s="1220" t="inlineStr">
        <is>
          <t>INCOME FROM SALE OF OLD NEWS PAPERS</t>
        </is>
      </c>
      <c r="C49" s="1496" t="n"/>
      <c r="D49" s="1497">
        <f>+C49*9%</f>
        <v/>
      </c>
      <c r="E49" s="1497">
        <f>+D49</f>
        <v/>
      </c>
      <c r="F49" s="1497" t="n"/>
      <c r="G49" s="1228" t="n"/>
      <c r="H49" s="1228" t="n"/>
    </row>
    <row r="50" ht="15.75" customHeight="1">
      <c r="A50" s="1187" t="n">
        <v>3324</v>
      </c>
      <c r="B50" s="1220" t="inlineStr">
        <is>
          <t>PENALTY ON OVERDUE LOCKER RENT</t>
        </is>
      </c>
      <c r="C50" s="1496" t="n"/>
      <c r="D50" s="1497">
        <f>+C50*9%</f>
        <v/>
      </c>
      <c r="E50" s="1497">
        <f>+D50</f>
        <v/>
      </c>
      <c r="F50" s="1497">
        <f>IF(D50&gt;0," ",C50*18%)</f>
        <v/>
      </c>
      <c r="G50" s="1228" t="n"/>
      <c r="H50" s="1228" t="n"/>
    </row>
    <row r="51" ht="15.75" customHeight="1">
      <c r="A51" s="161" t="n">
        <v>3325</v>
      </c>
      <c r="B51" s="1220" t="inlineStr">
        <is>
          <t>MICR CHARGES</t>
        </is>
      </c>
      <c r="C51" s="1496" t="n"/>
      <c r="D51" s="1497">
        <f>+C51*2.5%</f>
        <v/>
      </c>
      <c r="E51" s="1497">
        <f>+D51</f>
        <v/>
      </c>
      <c r="F51" s="1497">
        <f>IF(D51&gt;0," ",C51*18%)</f>
        <v/>
      </c>
      <c r="G51" s="1228" t="n"/>
      <c r="H51" s="1228" t="n"/>
    </row>
    <row r="52" ht="15.75" customHeight="1">
      <c r="A52" s="1187" t="inlineStr">
        <is>
          <t>3391</t>
        </is>
      </c>
      <c r="B52" s="1220" t="inlineStr">
        <is>
          <t>SMS CHARGES INCOME RECEIVED</t>
        </is>
      </c>
      <c r="C52" s="1496" t="n"/>
      <c r="D52" s="1497">
        <f>+C52*9%</f>
        <v/>
      </c>
      <c r="E52" s="1497">
        <f>+D52</f>
        <v/>
      </c>
      <c r="F52" s="1497">
        <f>IF(D52&gt;0," ",C52*18%)</f>
        <v/>
      </c>
      <c r="G52" s="1228" t="n"/>
      <c r="H52" s="1228" t="n"/>
    </row>
    <row r="53" ht="15.75" customHeight="1">
      <c r="A53" s="1187" t="n">
        <v>3359</v>
      </c>
      <c r="B53" s="1220" t="inlineStr">
        <is>
          <t>COMMITMENT CHARGES</t>
        </is>
      </c>
      <c r="C53" s="1496" t="n"/>
      <c r="D53" s="1497">
        <f>+C53*9%</f>
        <v/>
      </c>
      <c r="E53" s="1497">
        <f>+D53</f>
        <v/>
      </c>
      <c r="F53" s="1497" t="n"/>
      <c r="G53" s="1228" t="n"/>
      <c r="H53" s="1228" t="n"/>
    </row>
    <row r="54" ht="15.75" customHeight="1">
      <c r="A54" s="1187" t="n">
        <v>3380</v>
      </c>
      <c r="B54" s="1220" t="inlineStr">
        <is>
          <t>STATMENT CHARGES</t>
        </is>
      </c>
      <c r="C54" s="1496" t="n"/>
      <c r="D54" s="1497">
        <f>+C54*9%</f>
        <v/>
      </c>
      <c r="E54" s="1497">
        <f>+D54</f>
        <v/>
      </c>
      <c r="F54" s="1497">
        <f>IF(D54&gt;0," ",C54*18%)</f>
        <v/>
      </c>
      <c r="G54" s="1228" t="n"/>
      <c r="H54" s="1228" t="n"/>
    </row>
    <row r="55" ht="15.75" customHeight="1">
      <c r="A55" s="1187" t="n">
        <v>3825</v>
      </c>
      <c r="B55" s="1220" t="inlineStr">
        <is>
          <t>EXTERNAL AUDIT FEES</t>
        </is>
      </c>
      <c r="C55" s="1496" t="n"/>
      <c r="D55" s="1497" t="n"/>
      <c r="E55" s="1497" t="n"/>
      <c r="F55" s="1497" t="n"/>
      <c r="G55" s="1228" t="n"/>
      <c r="H55" s="1228" t="n"/>
    </row>
    <row r="56" ht="15.75" customHeight="1">
      <c r="A56" s="1187" t="n">
        <v>3362</v>
      </c>
      <c r="B56" s="1220" t="inlineStr">
        <is>
          <t>FORECLOSURE CHARGES</t>
        </is>
      </c>
      <c r="C56" s="1496" t="n"/>
      <c r="D56" s="1497" t="n"/>
      <c r="E56" s="1497" t="n"/>
      <c r="F56" s="1497" t="n"/>
      <c r="G56" s="1228" t="n"/>
      <c r="H56" s="1228" t="n"/>
    </row>
    <row r="57" ht="15.75" customHeight="1">
      <c r="A57" s="1187" t="n">
        <v>3340</v>
      </c>
      <c r="B57" s="1220" t="inlineStr">
        <is>
          <t>LOAN PROCESSING FEES</t>
        </is>
      </c>
      <c r="C57" s="1497" t="n"/>
      <c r="D57" s="1497">
        <f>+C57*9%</f>
        <v/>
      </c>
      <c r="E57" s="1497">
        <f>+D57</f>
        <v/>
      </c>
      <c r="F57" s="1497" t="n"/>
      <c r="G57" s="1228" t="n"/>
      <c r="H57" s="1228" t="n"/>
    </row>
    <row r="58" ht="15.75" customHeight="1">
      <c r="A58" s="15" t="inlineStr">
        <is>
          <t>GL</t>
        </is>
      </c>
      <c r="B58" s="1220" t="n"/>
      <c r="C58" s="1496" t="n"/>
      <c r="D58" s="1497" t="n"/>
      <c r="E58" s="1497" t="n"/>
      <c r="F58" s="1497" t="n"/>
      <c r="G58" s="1228" t="n"/>
      <c r="H58" s="1228" t="n"/>
    </row>
    <row r="59" ht="15.75" customHeight="1">
      <c r="A59" s="1187" t="inlineStr">
        <is>
          <t>1720</t>
        </is>
      </c>
      <c r="B59" s="1220" t="inlineStr">
        <is>
          <t>COMM. RECD. BUT NOT ACCRUED</t>
        </is>
      </c>
      <c r="C59" s="1496" t="n"/>
      <c r="D59" s="1497">
        <f>+C59*9%</f>
        <v/>
      </c>
      <c r="E59" s="1497">
        <f>+D59</f>
        <v/>
      </c>
      <c r="F59" s="1497" t="n">
        <v>0</v>
      </c>
      <c r="G59" s="1228" t="n"/>
      <c r="H59" s="1228" t="n"/>
    </row>
    <row r="60" ht="15.75" customHeight="1">
      <c r="A60" s="13" t="inlineStr">
        <is>
          <t>1836</t>
        </is>
      </c>
      <c r="B60" s="1220" t="inlineStr">
        <is>
          <t>RENT ON LOCKER RECEIVED BUT</t>
        </is>
      </c>
      <c r="C60" s="1496" t="n"/>
      <c r="D60" s="1497">
        <f>+C60*9%</f>
        <v/>
      </c>
      <c r="E60" s="1497">
        <f>+D60</f>
        <v/>
      </c>
      <c r="F60" s="1497">
        <f>IF(D60&gt;0," ",C60*18%)</f>
        <v/>
      </c>
      <c r="G60" s="1228" t="n"/>
      <c r="H60" s="1228" t="n"/>
    </row>
    <row r="61" ht="15.75" customHeight="1">
      <c r="A61" s="1448" t="inlineStr">
        <is>
          <t xml:space="preserve"> </t>
        </is>
      </c>
      <c r="B61" s="1220" t="inlineStr">
        <is>
          <t>NOT ACCRUED</t>
        </is>
      </c>
      <c r="C61" s="1496" t="n"/>
      <c r="D61" s="1497" t="n"/>
      <c r="E61" s="1497" t="n"/>
      <c r="F61" s="1497" t="n"/>
      <c r="G61" s="1228" t="n"/>
      <c r="H61" s="1228" t="n"/>
    </row>
    <row r="62" ht="15.75" customHeight="1">
      <c r="A62" s="435" t="n"/>
      <c r="B62" s="433" t="inlineStr">
        <is>
          <t>SALE OF ASSET ( CASH COUNTING MACHINE)</t>
        </is>
      </c>
      <c r="C62" s="1496" t="n"/>
      <c r="D62" s="1497">
        <f>+C62*9%</f>
        <v/>
      </c>
      <c r="E62" s="1500">
        <f>+D62</f>
        <v/>
      </c>
      <c r="F62" s="1500" t="n"/>
      <c r="G62" s="1228" t="n"/>
      <c r="H62" s="1228" t="n"/>
    </row>
    <row r="63" ht="16.5" customHeight="1" thickBot="1">
      <c r="A63" s="12" t="n"/>
      <c r="B63" s="11" t="inlineStr">
        <is>
          <t>TOTAL :</t>
        </is>
      </c>
      <c r="C63" s="1501">
        <f>SUM(C9:C62)</f>
        <v/>
      </c>
      <c r="D63" s="1501">
        <f>SUM(D9:D62)</f>
        <v/>
      </c>
      <c r="E63" s="1501">
        <f>SUM(E9:E62)</f>
        <v/>
      </c>
      <c r="F63" s="1501">
        <f>SUM(F9:F62)</f>
        <v/>
      </c>
      <c r="G63" s="1228">
        <f>SUM(G9:G62)</f>
        <v/>
      </c>
      <c r="H63" s="1228">
        <f>SUM(H9:H62)</f>
        <v/>
      </c>
    </row>
    <row r="64" ht="16.5" customHeight="1" thickTop="1">
      <c r="A64" s="9" t="inlineStr">
        <is>
          <t>RCM</t>
        </is>
      </c>
      <c r="B64" s="8" t="n"/>
      <c r="C64" s="1502" t="n"/>
      <c r="D64" s="1502" t="n"/>
      <c r="E64" s="1502" t="n"/>
      <c r="F64" s="6" t="n"/>
      <c r="G64" s="1084" t="inlineStr">
        <is>
          <t>.</t>
        </is>
      </c>
    </row>
    <row r="65" ht="15.75" customHeight="1">
      <c r="A65" s="1448" t="inlineStr">
        <is>
          <t>PL 3750</t>
        </is>
      </c>
      <c r="B65" s="1243" t="inlineStr">
        <is>
          <t>LAW CHARGES (EXCLUSIVE)</t>
        </is>
      </c>
      <c r="C65" s="1503" t="n">
        <v>0</v>
      </c>
      <c r="D65" s="1503">
        <f>+C65*9%</f>
        <v/>
      </c>
      <c r="E65" s="1503">
        <f>+D65</f>
        <v/>
      </c>
      <c r="F65" s="1503">
        <f>IF(D65&gt;0," ",C65*18%)</f>
        <v/>
      </c>
    </row>
    <row r="66" ht="15.75" customHeight="1">
      <c r="A66" s="1448" t="inlineStr">
        <is>
          <t>PL 3751</t>
        </is>
      </c>
      <c r="B66" s="1243" t="inlineStr">
        <is>
          <t>INCIDENTAL LAW CHARGES (EXCLUSIVE)</t>
        </is>
      </c>
      <c r="C66" s="1503" t="n">
        <v>0</v>
      </c>
      <c r="D66" s="1503">
        <f>+C66*9%</f>
        <v/>
      </c>
      <c r="E66" s="1503">
        <f>+D66</f>
        <v/>
      </c>
      <c r="F66" s="1503">
        <f>IF(D66&gt;0," ",C66*18%)</f>
        <v/>
      </c>
      <c r="G66" s="1084">
        <f>+C63*0.09</f>
        <v/>
      </c>
    </row>
    <row r="67" ht="15.75" customHeight="1">
      <c r="A67" s="1210" t="inlineStr">
        <is>
          <t xml:space="preserve">SUMMARY </t>
        </is>
      </c>
    </row>
    <row r="68" ht="1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</row>
    <row r="69" ht="15" customHeight="1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59" t="inlineStr">
        <is>
          <t>(1) INCOME AS PER LEDGERWISE CALCULATION</t>
        </is>
      </c>
      <c r="B71" s="60" t="n"/>
      <c r="C71" s="63" t="n"/>
      <c r="D71" s="105">
        <f>+D63</f>
        <v/>
      </c>
      <c r="E71" s="105">
        <f>+E63</f>
        <v/>
      </c>
      <c r="F71" s="105">
        <f>+F63</f>
        <v/>
      </c>
    </row>
    <row r="72" ht="15.75" customHeight="1">
      <c r="A72" s="1243" t="inlineStr">
        <is>
          <t>(2) REFUND GIVEN BUT GST REFUND NOT GIVEN</t>
        </is>
      </c>
      <c r="B72" s="1243" t="n"/>
      <c r="C72" s="1220">
        <f>+G63</f>
        <v/>
      </c>
      <c r="D72" s="106">
        <f>+C72*0.09</f>
        <v/>
      </c>
      <c r="E72" s="106">
        <f>+C72*0.09</f>
        <v/>
      </c>
      <c r="F72" s="106" t="n">
        <v>0</v>
      </c>
      <c r="G72" s="1084" t="inlineStr">
        <is>
          <t xml:space="preserve"> </t>
        </is>
      </c>
    </row>
    <row r="73" ht="15.75" customHeight="1">
      <c r="A73" s="1243" t="n"/>
      <c r="B73" s="1243" t="n"/>
      <c r="C73" s="1220" t="n"/>
      <c r="D73" s="105">
        <f>+D71+D72</f>
        <v/>
      </c>
      <c r="E73" s="105">
        <f>+E71+E72</f>
        <v/>
      </c>
      <c r="F73" s="105" t="n">
        <v>0</v>
      </c>
    </row>
    <row r="74" ht="15.75" customHeight="1">
      <c r="A74" s="59" t="inlineStr">
        <is>
          <t>(3) PAYABLE AS PER LEDGER</t>
        </is>
      </c>
      <c r="B74" s="60" t="n"/>
      <c r="C74" s="63" t="n"/>
      <c r="D74" s="108" t="n">
        <v>4599.89</v>
      </c>
      <c r="E74" s="108">
        <f>+D74</f>
        <v/>
      </c>
      <c r="F74" s="108" t="n">
        <v>0</v>
      </c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IF(F71&gt;F74,F71,F74)</f>
        <v/>
      </c>
      <c r="G75" s="1084">
        <f>+D75/9%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 ht="15" customHeight="1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3174.75</v>
      </c>
      <c r="E81" s="108">
        <f>+D81</f>
        <v/>
      </c>
      <c r="F81" s="1528" t="n">
        <v>0</v>
      </c>
      <c r="G81" s="1518">
        <f>+D81/2</f>
        <v/>
      </c>
      <c r="H81" s="1518">
        <f>+E81/2</f>
        <v/>
      </c>
      <c r="I81" s="1518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+C91</f>
        <v/>
      </c>
      <c r="E82" s="105">
        <f>+D82</f>
        <v/>
      </c>
      <c r="F82" s="1529" t="n">
        <v>0</v>
      </c>
      <c r="G82" s="1518">
        <f>+D82/2</f>
        <v/>
      </c>
      <c r="H82" s="1518">
        <f>+E82/2</f>
        <v/>
      </c>
      <c r="I82" s="1518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1518">
        <f>+D83/2</f>
        <v/>
      </c>
      <c r="H83" s="1518">
        <f>+E83/2</f>
        <v/>
      </c>
      <c r="I83" s="1518">
        <f>+F83/2</f>
        <v/>
      </c>
    </row>
    <row r="84">
      <c r="B84" s="73" t="n"/>
    </row>
    <row r="85">
      <c r="A85" s="1087" t="n"/>
      <c r="B85" s="1087" t="n"/>
      <c r="D85" s="1084" t="inlineStr">
        <is>
          <t xml:space="preserve"> </t>
        </is>
      </c>
    </row>
    <row r="87">
      <c r="B87" s="145" t="inlineStr">
        <is>
          <t>OUR GST NO. NOT REFLECTED ON CENVAT BILLS</t>
        </is>
      </c>
      <c r="C87" s="112" t="n"/>
      <c r="E87" s="112" t="n"/>
    </row>
    <row r="88">
      <c r="B88" s="145" t="inlineStr">
        <is>
          <t>PARTY NAME</t>
        </is>
      </c>
      <c r="C88" s="145" t="inlineStr">
        <is>
          <t>CGST</t>
        </is>
      </c>
      <c r="D88" s="169" t="inlineStr">
        <is>
          <t>SGST</t>
        </is>
      </c>
      <c r="E88" s="112" t="n"/>
    </row>
    <row r="89">
      <c r="B89" s="1230" t="inlineStr">
        <is>
          <t>ROHAN AGENCY</t>
        </is>
      </c>
      <c r="C89" s="1230" t="n">
        <v>0</v>
      </c>
      <c r="D89" s="1230">
        <f>+C89</f>
        <v/>
      </c>
      <c r="E89" s="112" t="n"/>
    </row>
    <row r="90">
      <c r="B90" s="1230" t="inlineStr">
        <is>
          <t>ROHAN AGENCY</t>
        </is>
      </c>
      <c r="C90" s="1230" t="n">
        <v>0</v>
      </c>
      <c r="D90" s="1230">
        <f>+C90</f>
        <v/>
      </c>
      <c r="E90" s="1230" t="n"/>
    </row>
    <row r="91" ht="15.75" customHeight="1" thickBot="1">
      <c r="B91" s="1230" t="n"/>
      <c r="C91" s="1530">
        <f>+SUM(C89:C90)</f>
        <v/>
      </c>
      <c r="D91" s="1530">
        <f>+SUM(D89:D90)</f>
        <v/>
      </c>
      <c r="E91" s="182" t="n"/>
    </row>
    <row r="92" ht="15.75" customHeight="1" thickTop="1">
      <c r="C92" s="1520" t="n"/>
      <c r="D92" s="1520" t="n"/>
    </row>
    <row r="93">
      <c r="A93" s="143" t="n"/>
      <c r="B93" s="143" t="n"/>
      <c r="C93" s="143" t="n"/>
      <c r="D93" s="143" t="n"/>
      <c r="E93" s="143" t="n"/>
    </row>
    <row r="95">
      <c r="D95" s="1084" t="inlineStr">
        <is>
          <t xml:space="preserve">   </t>
        </is>
      </c>
    </row>
  </sheetData>
  <mergeCells count="25">
    <mergeCell ref="A80:C80"/>
    <mergeCell ref="A75:C75"/>
    <mergeCell ref="E78:E79"/>
    <mergeCell ref="G7:G8"/>
    <mergeCell ref="E69:E70"/>
    <mergeCell ref="A3:F3"/>
    <mergeCell ref="D6:E6"/>
    <mergeCell ref="A5:F5"/>
    <mergeCell ref="D7:D8"/>
    <mergeCell ref="D78:D79"/>
    <mergeCell ref="H7:H8"/>
    <mergeCell ref="A4:F4"/>
    <mergeCell ref="A78:C79"/>
    <mergeCell ref="A69:C70"/>
    <mergeCell ref="A81:C81"/>
    <mergeCell ref="A67:F67"/>
    <mergeCell ref="E7:E8"/>
    <mergeCell ref="A83:C83"/>
    <mergeCell ref="A82:C82"/>
    <mergeCell ref="A1:F1"/>
    <mergeCell ref="F78:F79"/>
    <mergeCell ref="D69:D70"/>
    <mergeCell ref="B7:B8"/>
    <mergeCell ref="F69:F70"/>
    <mergeCell ref="F7:F8"/>
  </mergeCells>
  <conditionalFormatting sqref="A28:A30">
    <cfRule type="containsText" priority="71" operator="containsText" dxfId="1" text="EXCESS COLLECTED">
      <formula>NOT(ISERROR(SEARCH("EXCESS COLLECTED",A28)))</formula>
    </cfRule>
    <cfRule type="containsText" priority="72" operator="containsText" dxfId="0" text="LESS COLLECTED">
      <formula>NOT(ISERROR(SEARCH("LESS COLLECTED",A28)))</formula>
    </cfRule>
  </conditionalFormatting>
  <conditionalFormatting sqref="A22:B22 D22:H22">
    <cfRule type="containsText" priority="20" operator="containsText" dxfId="1" text="EXCESS COLLECTED">
      <formula>NOT(ISERROR(SEARCH("EXCESS COLLECTED",A22)))</formula>
    </cfRule>
  </conditionalFormatting>
  <conditionalFormatting sqref="A31:B32">
    <cfRule type="containsText" priority="59" operator="containsText" dxfId="1" text="EXCESS COLLECTED">
      <formula>NOT(ISERROR(SEARCH("EXCESS COLLECTED",A31)))</formula>
    </cfRule>
  </conditionalFormatting>
  <conditionalFormatting sqref="A31:B34 A63:F68 D52:F56 G49:XFD73">
    <cfRule type="containsText" priority="60" operator="containsText" dxfId="0" text="LESS COLLECTED">
      <formula>NOT(ISERROR(SEARCH("LESS COLLECTED",A31)))</formula>
    </cfRule>
  </conditionalFormatting>
  <conditionalFormatting sqref="A35:B35 D35:F35">
    <cfRule type="containsText" priority="29" operator="containsText" dxfId="1" text="EXCESS COLLECTED">
      <formula>NOT(ISERROR(SEARCH("EXCESS COLLECTED",A35)))</formula>
    </cfRule>
  </conditionalFormatting>
  <conditionalFormatting sqref="A35:B50">
    <cfRule type="containsText" priority="32" operator="containsText" dxfId="0" text="LESS COLLECTED">
      <formula>NOT(ISERROR(SEARCH("LESS COLLECTED",A35)))</formula>
    </cfRule>
  </conditionalFormatting>
  <conditionalFormatting sqref="A47:B56">
    <cfRule type="containsText" priority="27" operator="containsText" dxfId="1" text="EXCESS COLLECTED">
      <formula>NOT(ISERROR(SEARCH("EXCESS COLLECTED",A47)))</formula>
    </cfRule>
  </conditionalFormatting>
  <conditionalFormatting sqref="A51:B52">
    <cfRule type="containsText" priority="28" operator="containsText" dxfId="0" text="LESS COLLECTED">
      <formula>NOT(ISERROR(SEARCH("LESS COLLECTED",A51)))</formula>
    </cfRule>
  </conditionalFormatting>
  <conditionalFormatting sqref="A53:B57">
    <cfRule type="containsText" priority="2" operator="containsText" dxfId="0" text="LESS COLLECTED">
      <formula>NOT(ISERROR(SEARCH("LESS COLLECTED",A53)))</formula>
    </cfRule>
  </conditionalFormatting>
  <conditionalFormatting sqref="A58:B62">
    <cfRule type="containsText" priority="74" operator="containsText" dxfId="0" text="LESS COLLECTED">
      <formula>NOT(ISERROR(SEARCH("LESS COLLECTED",A58)))</formula>
    </cfRule>
  </conditionalFormatting>
  <conditionalFormatting sqref="A7:F8 A69:F84 B87:D92">
    <cfRule type="containsText" priority="124" operator="containsText" dxfId="0" text="LESS COLLECTED">
      <formula>NOT(ISERROR(SEARCH("LESS COLLECTED",A7)))</formula>
    </cfRule>
  </conditionalFormatting>
  <conditionalFormatting sqref="A57:F57">
    <cfRule type="containsText" priority="1" operator="containsText" dxfId="1" text="EXCESS COLLECTED">
      <formula>NOT(ISERROR(SEARCH("EXCESS COLLECTED",A57)))</formula>
    </cfRule>
  </conditionalFormatting>
  <conditionalFormatting sqref="A1:XFD3 A4 A5:XFD6 A85 A86:F92 A94:E1048576 C85:F85 F93:F1048576 G4:XFD4 G74:G75 G76:XFD79 G84:XFD1048576 H75:XFD75 H80:XFD80 I7:XFD8 I74:XFD74 J81:XFD83">
    <cfRule type="containsText" priority="128" operator="containsText" dxfId="0" text="LESS COLLECTED">
      <formula>NOT(ISERROR(SEARCH("LESS COLLECTED",A1)))</formula>
    </cfRule>
  </conditionalFormatting>
  <conditionalFormatting sqref="B28:B30">
    <cfRule type="containsText" priority="70" operator="containsText" dxfId="0" text="LESS COLLECTED">
      <formula>NOT(ISERROR(SEARCH("LESS COLLECTED",B28)))</formula>
    </cfRule>
  </conditionalFormatting>
  <conditionalFormatting sqref="B29:B30">
    <cfRule type="containsText" priority="69" operator="containsText" dxfId="1" text="EXCESS COLLECTED">
      <formula>NOT(ISERROR(SEARCH("EXCESS COLLECTED",B29)))</formula>
    </cfRule>
  </conditionalFormatting>
  <conditionalFormatting sqref="B62">
    <cfRule type="containsText" priority="73" operator="containsText" dxfId="1" text="EXCESS COLLECTED">
      <formula>NOT(ISERROR(SEARCH("EXCESS COLLECTED",B62)))</formula>
    </cfRule>
  </conditionalFormatting>
  <conditionalFormatting sqref="C10:C57">
    <cfRule type="containsText" priority="4" operator="containsText" dxfId="0" text="LESS COLLECTED">
      <formula>NOT(ISERROR(SEARCH("LESS COLLECTED",C10)))</formula>
    </cfRule>
  </conditionalFormatting>
  <conditionalFormatting sqref="D53:E53">
    <cfRule type="containsText" priority="47" operator="containsText" dxfId="1" text="EXCESS COLLECTED">
      <formula>NOT(ISERROR(SEARCH("EXCESS COLLECTED",D53)))</formula>
    </cfRule>
  </conditionalFormatting>
  <conditionalFormatting sqref="D50:F51">
    <cfRule type="containsText" priority="26" operator="containsText" dxfId="0" text="LESS COLLECTED">
      <formula>NOT(ISERROR(SEARCH("LESS COLLECTED",D50)))</formula>
    </cfRule>
  </conditionalFormatting>
  <conditionalFormatting sqref="D51:F51">
    <cfRule type="containsText" priority="25" operator="containsText" dxfId="1" text="EXCESS COLLECTED">
      <formula>NOT(ISERROR(SEARCH("EXCESS COLLECTED",D51)))</formula>
    </cfRule>
  </conditionalFormatting>
  <conditionalFormatting sqref="D57:F57">
    <cfRule type="containsText" priority="6" operator="containsText" dxfId="0" text="LESS COLLECTED">
      <formula>NOT(ISERROR(SEARCH("LESS COLLECTED",D57)))</formula>
    </cfRule>
  </conditionalFormatting>
  <conditionalFormatting sqref="D68:F68">
    <cfRule type="containsText" priority="14" operator="containsText" dxfId="1" text="EXCESS COLLECTED">
      <formula>NOT(ISERROR(SEARCH("EXCESS COLLECTED",D68)))</formula>
    </cfRule>
  </conditionalFormatting>
  <conditionalFormatting sqref="A9:XFD9 A10:B27 C58:F63 D10:XFD22">
    <cfRule type="containsText" priority="21" operator="containsText" dxfId="0" text="LESS COLLECTED">
      <formula>NOT(ISERROR(SEARCH("LESS COLLECTED",A9)))</formula>
    </cfRule>
  </conditionalFormatting>
  <conditionalFormatting sqref="D23:XFD48">
    <cfRule type="containsText" priority="30" operator="containsText" dxfId="0" text="LESS COLLECTED">
      <formula>NOT(ISERROR(SEARCH("LESS COLLECTED",D23)))</formula>
    </cfRule>
  </conditionalFormatting>
  <conditionalFormatting sqref="E49:F49">
    <cfRule type="containsText" priority="83" operator="containsText" dxfId="1" text="EXCESS COLLECTED">
      <formula>NOT(ISERROR(SEARCH("EXCESS COLLECTED",E49)))</formula>
    </cfRule>
    <cfRule type="containsText" priority="84" operator="containsText" dxfId="0" text="LESS COLLECTED">
      <formula>NOT(ISERROR(SEARCH("LESS COLLECTED",E49)))</formula>
    </cfRule>
  </conditionalFormatting>
  <conditionalFormatting sqref="A72:F73 B87:D92 D7:F8 D69:E70 G61:G62">
    <cfRule type="containsText" priority="123" operator="containsText" dxfId="1" text="EXCESS COLLECTED">
      <formula>NOT(ISERROR(SEARCH("EXCESS COLLECTED",A7)))</formula>
    </cfRule>
  </conditionalFormatting>
  <conditionalFormatting sqref="G66">
    <cfRule type="containsText" priority="16" operator="containsText" dxfId="1" text="EXCESS COLLECTED">
      <formula>NOT(ISERROR(SEARCH("EXCESS COLLECTED",G66)))</formula>
    </cfRule>
  </conditionalFormatting>
  <conditionalFormatting sqref="G7:H7">
    <cfRule type="containsText" priority="37" operator="containsText" dxfId="1" text="EXCESS COLLECTED">
      <formula>NOT(ISERROR(SEARCH("EXCESS COLLECTED",G7)))</formula>
    </cfRule>
    <cfRule type="containsText" priority="38" operator="containsText" dxfId="0" text="LESS COLLECTED">
      <formula>NOT(ISERROR(SEARCH("LESS COLLECTED",G7)))</formula>
    </cfRule>
  </conditionalFormatting>
  <pageMargins left="0.905511811" right="0.81496063" top="0" bottom="0" header="0.31496062992126" footer="0.31496062992126"/>
  <pageSetup orientation="portrait" paperSize="9" scale="6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R102"/>
  <sheetViews>
    <sheetView topLeftCell="A22" workbookViewId="0">
      <selection activeCell="E38" sqref="E38"/>
    </sheetView>
  </sheetViews>
  <sheetFormatPr baseColWidth="8" defaultColWidth="9.140625" defaultRowHeight="15"/>
  <cols>
    <col width="23.42578125" customWidth="1" style="1084" min="1" max="1"/>
    <col width="44.5703125" bestFit="1" customWidth="1" style="1084" min="2" max="2"/>
    <col width="13.7109375" bestFit="1" customWidth="1" style="1084" min="3" max="3"/>
    <col width="22.28515625" bestFit="1" customWidth="1" style="1084" min="4" max="4"/>
    <col width="16.7109375" bestFit="1" customWidth="1" style="1084" min="5" max="5"/>
    <col width="22.140625" customWidth="1" style="1084" min="6" max="6"/>
    <col width="14.42578125" customWidth="1" style="1084" min="7" max="7"/>
    <col width="13.28515625" customWidth="1" style="32" min="8" max="8"/>
    <col width="14.85546875" customWidth="1" style="1084" min="9" max="9"/>
    <col width="9.140625" customWidth="1" style="1084" min="10" max="14"/>
    <col width="1.42578125" bestFit="1" customWidth="1" style="1084" min="15" max="15"/>
    <col width="9.140625" customWidth="1" style="1084" min="16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ISANPUR BRANCH</t>
        </is>
      </c>
    </row>
    <row r="4" ht="15.75" customHeight="1">
      <c r="A4" s="1214" t="inlineStr">
        <is>
          <t>BRANCH CODE: 13</t>
        </is>
      </c>
    </row>
    <row r="5" ht="15.75" customHeight="1">
      <c r="A5" s="1210">
        <f>+'NEW SHARDA'!A5:F5</f>
        <v/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PENAL INEREST ON CASH CREDIT</t>
        </is>
      </c>
      <c r="C9" s="1496" t="n"/>
      <c r="D9" s="1497">
        <f>+C9*9%</f>
        <v/>
      </c>
      <c r="E9" s="1497">
        <f>+D9</f>
        <v/>
      </c>
      <c r="F9" s="1497">
        <f>IF(D9&gt;0," ",C9*18%)</f>
        <v/>
      </c>
      <c r="G9" s="1228" t="n"/>
      <c r="H9" s="156" t="n"/>
      <c r="I9" s="1228" t="n"/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496" t="n"/>
      <c r="D10" s="1497">
        <f>+C10*9%</f>
        <v/>
      </c>
      <c r="E10" s="1497">
        <f>+D10</f>
        <v/>
      </c>
      <c r="F10" s="1497">
        <f>IF(D10&gt;0," ",C10*18%)</f>
        <v/>
      </c>
      <c r="G10" s="1228" t="n"/>
      <c r="H10" s="156" t="n"/>
      <c r="I10" s="1228" t="n"/>
      <c r="O10" s="1084" t="inlineStr">
        <is>
          <t>d</t>
        </is>
      </c>
      <c r="P10" s="1084" t="n">
        <v>580</v>
      </c>
      <c r="R10" s="1084">
        <f>+P10</f>
        <v/>
      </c>
    </row>
    <row r="11" ht="15.75" customFormat="1" customHeight="1" s="513">
      <c r="A11" s="13" t="inlineStr">
        <is>
          <t>3215</t>
        </is>
      </c>
      <c r="B11" s="1220" t="inlineStr">
        <is>
          <t>COMMISION ON PAYORDER</t>
        </is>
      </c>
      <c r="C11" s="1496" t="n"/>
      <c r="D11" s="1531">
        <f>+C11*9%</f>
        <v/>
      </c>
      <c r="E11" s="1497">
        <f>+D11</f>
        <v/>
      </c>
      <c r="F11" s="1497">
        <f>IF(D11&gt;0," ",C11*18%)</f>
        <v/>
      </c>
      <c r="G11" s="1228" t="n"/>
      <c r="H11" s="941" t="n"/>
      <c r="I11" s="1228" t="n"/>
      <c r="J11" s="1084" t="n"/>
      <c r="K11" s="1084" t="n"/>
      <c r="L11" s="1084" t="n"/>
      <c r="M11" s="1084" t="n"/>
      <c r="O11" s="1084" t="inlineStr">
        <is>
          <t>d</t>
        </is>
      </c>
      <c r="P11" s="1084" t="n">
        <v>146</v>
      </c>
      <c r="Q11" s="1084" t="n"/>
      <c r="R11" s="1084">
        <f>+P11</f>
        <v/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496" t="n"/>
      <c r="D12" s="1497">
        <f>+C12*9%</f>
        <v/>
      </c>
      <c r="E12" s="1497">
        <f>+D12</f>
        <v/>
      </c>
      <c r="F12" s="1497">
        <f>IF(D12&gt;0," ",C12*18%)</f>
        <v/>
      </c>
      <c r="G12" s="1228" t="n"/>
      <c r="H12" s="156" t="n"/>
      <c r="I12" s="1228" t="n"/>
      <c r="O12" s="1084" t="inlineStr">
        <is>
          <t>d</t>
        </is>
      </c>
      <c r="P12" s="1084" t="n">
        <v>91700</v>
      </c>
      <c r="R12" s="1084">
        <f>+P12</f>
        <v/>
      </c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496" t="n"/>
      <c r="D13" s="1497">
        <f>+C13*9%</f>
        <v/>
      </c>
      <c r="E13" s="1497">
        <f>+D13</f>
        <v/>
      </c>
      <c r="F13" s="1497">
        <f>IF(D13&gt;0," ",C13*18%)</f>
        <v/>
      </c>
      <c r="G13" s="1228" t="n"/>
      <c r="H13" s="156" t="n"/>
      <c r="I13" s="1228" t="n"/>
      <c r="O13" s="1084" t="inlineStr">
        <is>
          <t>d</t>
        </is>
      </c>
      <c r="P13" s="1084" t="n">
        <v>2040</v>
      </c>
      <c r="R13" s="1084">
        <f>+P13</f>
        <v/>
      </c>
    </row>
    <row r="14" ht="15.75" customHeight="1">
      <c r="A14" s="1187" t="inlineStr">
        <is>
          <t>3230</t>
        </is>
      </c>
      <c r="B14" s="1220" t="inlineStr">
        <is>
          <t>COMMISION ON GUARANTEE</t>
        </is>
      </c>
      <c r="C14" s="1496" t="n"/>
      <c r="D14" s="1497">
        <f>+C14*9%</f>
        <v/>
      </c>
      <c r="E14" s="1497">
        <f>+D14</f>
        <v/>
      </c>
      <c r="F14" s="1497" t="n">
        <v>0</v>
      </c>
      <c r="G14" s="1228" t="n"/>
      <c r="H14" s="156" t="n"/>
      <c r="I14" s="1228" t="n"/>
      <c r="O14" s="1084" t="inlineStr">
        <is>
          <t>d</t>
        </is>
      </c>
      <c r="P14" s="1084" t="n">
        <v>330</v>
      </c>
      <c r="R14" s="1084">
        <f>+P14</f>
        <v/>
      </c>
    </row>
    <row r="15" ht="15.75" customFormat="1" customHeight="1" s="513">
      <c r="A15" s="13" t="inlineStr">
        <is>
          <t>3235</t>
        </is>
      </c>
      <c r="B15" s="1220" t="inlineStr">
        <is>
          <t>COMMISION ON DEMAND DRAFT</t>
        </is>
      </c>
      <c r="C15" s="1496" t="n"/>
      <c r="D15" s="1497">
        <f>+C15*9%</f>
        <v/>
      </c>
      <c r="E15" s="1497">
        <f>+D15</f>
        <v/>
      </c>
      <c r="F15" s="1497">
        <f>IF(D15&gt;0," ",C15*18%)</f>
        <v/>
      </c>
      <c r="G15" s="1228" t="n"/>
      <c r="H15" s="156" t="n"/>
      <c r="I15" s="1228" t="n"/>
      <c r="J15" s="1084" t="n"/>
      <c r="K15" s="1084" t="n"/>
      <c r="L15" s="1084" t="n"/>
      <c r="M15" s="1084" t="n"/>
      <c r="N15" s="1084" t="n"/>
      <c r="O15" s="1084" t="inlineStr">
        <is>
          <t>d</t>
        </is>
      </c>
      <c r="P15" s="1084" t="n">
        <v>1250</v>
      </c>
      <c r="Q15" s="1084" t="n"/>
      <c r="R15" s="1084">
        <f>+P15</f>
        <v/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496" t="n"/>
      <c r="D16" s="1497">
        <f>+C16*9%</f>
        <v/>
      </c>
      <c r="E16" s="1497">
        <f>+D16</f>
        <v/>
      </c>
      <c r="F16" s="1497">
        <f>IF(D16&gt;0," ",C16*18%)</f>
        <v/>
      </c>
      <c r="G16" s="1228" t="n"/>
      <c r="H16" s="156" t="n"/>
      <c r="I16" s="1228" t="n"/>
      <c r="O16" s="1084" t="inlineStr">
        <is>
          <t>d</t>
        </is>
      </c>
      <c r="P16" s="1084" t="n">
        <v>2973.9</v>
      </c>
      <c r="R16" s="1084">
        <f>+P16</f>
        <v/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496" t="n"/>
      <c r="D17" s="1497">
        <f>+C17*9%</f>
        <v/>
      </c>
      <c r="E17" s="1497">
        <f>+D17</f>
        <v/>
      </c>
      <c r="F17" s="1497">
        <f>IF(D17&gt;0," ",C17*18%)</f>
        <v/>
      </c>
      <c r="G17" s="1228" t="n"/>
      <c r="H17" s="156" t="n"/>
      <c r="I17" s="1228" t="n"/>
      <c r="O17" s="1084" t="inlineStr">
        <is>
          <t>d</t>
        </is>
      </c>
      <c r="P17" s="1084" t="n">
        <v>7834.15</v>
      </c>
      <c r="R17" s="1084">
        <f>+P17</f>
        <v/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496" t="n"/>
      <c r="D18" s="1497">
        <f>+C18*9%</f>
        <v/>
      </c>
      <c r="E18" s="1497">
        <f>+D18</f>
        <v/>
      </c>
      <c r="F18" s="1497">
        <f>IF(D18&gt;0," ",C18*18%)</f>
        <v/>
      </c>
      <c r="G18" s="1228" t="n"/>
      <c r="H18" s="156" t="n"/>
      <c r="I18" s="1228" t="n"/>
      <c r="O18" s="1084" t="inlineStr">
        <is>
          <t>d</t>
        </is>
      </c>
      <c r="P18" s="1084" t="n">
        <v>6850</v>
      </c>
      <c r="R18" s="1084">
        <f>+P18</f>
        <v/>
      </c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496" t="n"/>
      <c r="D19" s="1497">
        <f>+C19*9%</f>
        <v/>
      </c>
      <c r="E19" s="1497">
        <f>+D19</f>
        <v/>
      </c>
      <c r="F19" s="1497" t="n">
        <v>0</v>
      </c>
      <c r="G19" s="156" t="n"/>
      <c r="H19" s="156" t="n"/>
      <c r="I19" s="1228" t="n"/>
      <c r="J19" s="1084" t="inlineStr">
        <is>
          <t xml:space="preserve"> </t>
        </is>
      </c>
      <c r="L19" s="32" t="n"/>
      <c r="O19" s="1084" t="inlineStr">
        <is>
          <t>d</t>
        </is>
      </c>
      <c r="P19" s="1084" t="n">
        <v>3900</v>
      </c>
      <c r="R19" s="1084">
        <f>+P19</f>
        <v/>
      </c>
    </row>
    <row r="20" ht="15.75" customHeight="1">
      <c r="A20" s="13" t="n">
        <v>3271</v>
      </c>
      <c r="B20" s="1220" t="inlineStr">
        <is>
          <t>RENEWAL FEES</t>
        </is>
      </c>
      <c r="C20" s="1496" t="n"/>
      <c r="D20" s="1497">
        <f>+C20*9%</f>
        <v/>
      </c>
      <c r="E20" s="1497">
        <f>+D20</f>
        <v/>
      </c>
      <c r="F20" s="1497" t="n"/>
      <c r="G20" s="1228" t="n"/>
      <c r="H20" s="156" t="n"/>
      <c r="I20" s="1228" t="n"/>
      <c r="J20" s="1084" t="inlineStr">
        <is>
          <t xml:space="preserve"> </t>
        </is>
      </c>
      <c r="L20" s="32" t="n"/>
      <c r="O20" s="1084" t="inlineStr">
        <is>
          <t>d</t>
        </is>
      </c>
      <c r="P20" s="1084" t="n">
        <v>36518.56</v>
      </c>
      <c r="R20" s="1084">
        <f>+P20</f>
        <v/>
      </c>
    </row>
    <row r="21" ht="15.75" customHeight="1">
      <c r="A21" s="13" t="n">
        <v>3274</v>
      </c>
      <c r="B21" s="1220" t="inlineStr">
        <is>
          <t>INCOME FROM E-STAMPING</t>
        </is>
      </c>
      <c r="C21" s="1496" t="n"/>
      <c r="D21" s="1497" t="n"/>
      <c r="E21" s="1497" t="n"/>
      <c r="F21" s="1497" t="n"/>
      <c r="G21" s="1228" t="n"/>
      <c r="H21" s="156" t="n"/>
      <c r="I21" s="1228" t="n"/>
      <c r="J21" s="1084" t="inlineStr">
        <is>
          <t xml:space="preserve"> </t>
        </is>
      </c>
      <c r="L21" s="32" t="n"/>
      <c r="O21" s="1084" t="inlineStr">
        <is>
          <t>d</t>
        </is>
      </c>
      <c r="P21" s="1084" t="n">
        <v>7410</v>
      </c>
      <c r="R21" s="1084">
        <f>+P21</f>
        <v/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496" t="n"/>
      <c r="D22" s="1497">
        <f>+C22*9%</f>
        <v/>
      </c>
      <c r="E22" s="1497">
        <f>+D22</f>
        <v/>
      </c>
      <c r="F22" s="1497">
        <f>IF(D22&gt;0," ",C22*18%)</f>
        <v/>
      </c>
      <c r="G22" s="1228" t="n"/>
      <c r="H22" s="156" t="n"/>
      <c r="I22" s="1228" t="n"/>
      <c r="L22" s="32" t="n"/>
      <c r="O22" s="1084" t="inlineStr">
        <is>
          <t>d</t>
        </is>
      </c>
      <c r="P22" s="1084" t="n">
        <v>3986</v>
      </c>
      <c r="R22" s="1084">
        <f>+P22</f>
        <v/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496" t="n"/>
      <c r="D23" s="1497">
        <f>+C23*9%</f>
        <v/>
      </c>
      <c r="E23" s="1497">
        <f>+D23</f>
        <v/>
      </c>
      <c r="F23" s="1497">
        <f>IF(D23&gt;0," ",C23*18%)</f>
        <v/>
      </c>
      <c r="G23" s="1228" t="n"/>
      <c r="H23" s="156" t="n"/>
      <c r="I23" s="1228" t="n"/>
      <c r="L23" s="32" t="n"/>
      <c r="O23" s="1084" t="inlineStr">
        <is>
          <t>d</t>
        </is>
      </c>
      <c r="P23" s="1084" t="n">
        <v>8698</v>
      </c>
      <c r="Q23" s="1084" t="n">
        <v>6393</v>
      </c>
      <c r="R23" s="1084">
        <f>+P23-Q26</f>
        <v/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496" t="n"/>
      <c r="D24" s="1497">
        <f>+C24*9%</f>
        <v/>
      </c>
      <c r="E24" s="1497">
        <f>+D24</f>
        <v/>
      </c>
      <c r="F24" s="1497" t="inlineStr">
        <is>
          <t xml:space="preserve"> </t>
        </is>
      </c>
      <c r="G24" s="1228" t="n"/>
      <c r="H24" s="156" t="n"/>
      <c r="I24" s="1228" t="n"/>
      <c r="L24" s="32" t="n"/>
      <c r="O24" s="1084" t="inlineStr">
        <is>
          <t>d</t>
        </is>
      </c>
      <c r="P24" s="1084" t="n">
        <v>25305</v>
      </c>
      <c r="R24" s="1084">
        <f>+P24</f>
        <v/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496" t="n"/>
      <c r="D25" s="1497">
        <f>+C25*9%</f>
        <v/>
      </c>
      <c r="E25" s="1497">
        <f>+D25</f>
        <v/>
      </c>
      <c r="F25" s="1497">
        <f>IF(D25&gt;0," ",C25*18%)</f>
        <v/>
      </c>
      <c r="G25" s="1228" t="n"/>
      <c r="H25" s="156" t="n"/>
      <c r="I25" s="1228" t="n"/>
      <c r="L25" s="32" t="n"/>
      <c r="P25" s="1084" t="n">
        <v>366</v>
      </c>
      <c r="R25" s="1084">
        <f>+P25</f>
        <v/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496" t="n"/>
      <c r="D26" s="1497">
        <f>+C26*9%</f>
        <v/>
      </c>
      <c r="E26" s="1497">
        <f>+D26</f>
        <v/>
      </c>
      <c r="F26" s="1497">
        <f>IF(D26&gt;0," ",C26*18%)</f>
        <v/>
      </c>
      <c r="G26" s="1228" t="n"/>
      <c r="H26" s="156" t="n"/>
      <c r="I26" s="1228" t="n"/>
      <c r="P26" s="1084" t="n">
        <v>57300</v>
      </c>
      <c r="Q26" s="1084" t="n">
        <v>8698</v>
      </c>
      <c r="R26" s="1084">
        <f>+P26-Q23</f>
        <v/>
      </c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496" t="n"/>
      <c r="D27" s="1497">
        <f>+C27*9%</f>
        <v/>
      </c>
      <c r="E27" s="1497">
        <f>+D27</f>
        <v/>
      </c>
      <c r="F27" s="1497">
        <f>IF(D27&gt;0," ",C27*18%)</f>
        <v/>
      </c>
      <c r="G27" s="1228" t="n"/>
      <c r="H27" s="156" t="n"/>
      <c r="I27" s="1228" t="n"/>
      <c r="P27" s="1084">
        <f>SUM(P10:P26)</f>
        <v/>
      </c>
      <c r="Q27" s="1084">
        <f>SUM(Q23:Q26)</f>
        <v/>
      </c>
      <c r="R27" s="1084">
        <f>SUM(R10:R26)</f>
        <v/>
      </c>
    </row>
    <row r="28" ht="15.75" customHeight="1">
      <c r="A28" s="137" t="n">
        <v>3291</v>
      </c>
      <c r="B28" s="33" t="inlineStr">
        <is>
          <t>CIBIL CHARGES</t>
        </is>
      </c>
      <c r="C28" s="1496" t="n"/>
      <c r="D28" s="1497">
        <f>+C28*9%</f>
        <v/>
      </c>
      <c r="E28" s="1497">
        <f>+D28</f>
        <v/>
      </c>
      <c r="F28" s="1497">
        <f>IF(D28&gt;0," ",C28*18%)</f>
        <v/>
      </c>
      <c r="G28" s="1228" t="n"/>
      <c r="H28" s="156" t="n"/>
      <c r="I28" s="1228" t="n"/>
      <c r="R28" s="1084">
        <f>R27*9%</f>
        <v/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496" t="n"/>
      <c r="D29" s="1497">
        <f>+C29*9%</f>
        <v/>
      </c>
      <c r="E29" s="1497">
        <f>+D29</f>
        <v/>
      </c>
      <c r="F29" s="1497">
        <f>IF(D29&gt;0," ",C29*18%)</f>
        <v/>
      </c>
      <c r="G29" s="1228" t="n"/>
      <c r="H29" s="156" t="n"/>
      <c r="I29" s="1228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496" t="n"/>
      <c r="D30" s="1497">
        <f>+C30*9%</f>
        <v/>
      </c>
      <c r="E30" s="1497">
        <f>+D30</f>
        <v/>
      </c>
      <c r="F30" s="1497">
        <f>IF(D30&gt;0," ",C30*18%)</f>
        <v/>
      </c>
      <c r="G30" s="1228" t="n"/>
      <c r="H30" s="156" t="n"/>
      <c r="I30" s="1228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496" t="n"/>
      <c r="D31" s="1497">
        <f>+C31*9%</f>
        <v/>
      </c>
      <c r="E31" s="1497">
        <f>+D31</f>
        <v/>
      </c>
      <c r="F31" s="1497">
        <f>IF(D31&gt;0," ",C31*18%)</f>
        <v/>
      </c>
      <c r="G31" s="1228" t="n"/>
      <c r="H31" s="156" t="n"/>
      <c r="I31" s="1228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496" t="n"/>
      <c r="D32" s="1497">
        <f>+C32*9%</f>
        <v/>
      </c>
      <c r="E32" s="1497">
        <f>+D32</f>
        <v/>
      </c>
      <c r="F32" s="1497">
        <f>IF(D32&gt;0," ",C32*18%)</f>
        <v/>
      </c>
      <c r="G32" s="1228" t="n"/>
      <c r="H32" s="156" t="n"/>
      <c r="I32" s="1228" t="n"/>
      <c r="J32" s="1084" t="inlineStr">
        <is>
          <t xml:space="preserve"> </t>
        </is>
      </c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496" t="n"/>
      <c r="D33" s="1497">
        <f>+C33*9%</f>
        <v/>
      </c>
      <c r="E33" s="1497">
        <f>+D33</f>
        <v/>
      </c>
      <c r="F33" s="1497" t="n">
        <v>0</v>
      </c>
      <c r="G33" s="1228" t="n"/>
      <c r="H33" s="156" t="n"/>
      <c r="I33" s="1228" t="n"/>
      <c r="J33" s="1084" t="inlineStr">
        <is>
          <t xml:space="preserve"> </t>
        </is>
      </c>
    </row>
    <row r="34" ht="15.75" customHeight="1">
      <c r="A34" s="13" t="n">
        <v>3301</v>
      </c>
      <c r="B34" s="1220" t="inlineStr">
        <is>
          <t>INOPERATIVE CHARGES</t>
        </is>
      </c>
      <c r="C34" s="1496" t="n"/>
      <c r="D34" s="1497">
        <f>+C34*9%</f>
        <v/>
      </c>
      <c r="E34" s="1497">
        <f>+D34</f>
        <v/>
      </c>
      <c r="F34" s="1497">
        <f>IF(D34&gt;0," ",C34*18%)</f>
        <v/>
      </c>
      <c r="G34" s="1228" t="n"/>
      <c r="H34" s="156" t="n"/>
      <c r="I34" s="1228" t="n"/>
    </row>
    <row r="35" ht="15.75" customHeight="1">
      <c r="A35" s="13" t="n">
        <v>3302</v>
      </c>
      <c r="B35" s="1220" t="inlineStr">
        <is>
          <t>PO CANCEL CHARGES</t>
        </is>
      </c>
      <c r="C35" s="1496" t="n"/>
      <c r="D35" s="1497">
        <f>+C35*9%</f>
        <v/>
      </c>
      <c r="E35" s="1497">
        <f>+D35</f>
        <v/>
      </c>
      <c r="F35" s="1497">
        <f>IF(D35&gt;0," ",C35*18%)</f>
        <v/>
      </c>
      <c r="G35" s="1228" t="n"/>
      <c r="H35" s="156" t="n"/>
      <c r="I35" s="1228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496" t="n"/>
      <c r="D36" s="1497">
        <f>+C36*9%</f>
        <v/>
      </c>
      <c r="E36" s="1497">
        <f>+D36</f>
        <v/>
      </c>
      <c r="F36" s="1497">
        <f>IF(D36&gt;0," ",C36*18%)</f>
        <v/>
      </c>
      <c r="G36" s="1228" t="n"/>
      <c r="H36" s="156" t="n"/>
      <c r="I36" s="1228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496" t="n"/>
      <c r="D37" s="1497">
        <f>+C37*9%</f>
        <v/>
      </c>
      <c r="E37" s="1497">
        <f>+D37</f>
        <v/>
      </c>
      <c r="F37" s="1497">
        <f>IF(D37&gt;0," ",C37*18%)</f>
        <v/>
      </c>
      <c r="G37" s="1228" t="n"/>
      <c r="H37" s="156" t="n"/>
      <c r="I37" s="1228" t="n"/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496" t="n"/>
      <c r="D38" s="1497">
        <f>+C38*9%</f>
        <v/>
      </c>
      <c r="E38" s="1497">
        <f>+D38</f>
        <v/>
      </c>
      <c r="F38" s="1497">
        <f>IF(D38&gt;0," ",C38*18%)</f>
        <v/>
      </c>
      <c r="G38" s="1228" t="n"/>
      <c r="H38" s="156" t="n"/>
      <c r="I38" s="1228" t="n"/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496" t="n"/>
      <c r="D39" s="1497">
        <f>+C39*9%</f>
        <v/>
      </c>
      <c r="E39" s="1497">
        <f>+D39</f>
        <v/>
      </c>
      <c r="F39" s="1497">
        <f>IF(D39&gt;0," ",C39*18%)</f>
        <v/>
      </c>
      <c r="G39" s="1228" t="n"/>
      <c r="H39" s="156" t="n"/>
      <c r="I39" s="1228" t="n"/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496" t="n"/>
      <c r="D40" s="1497">
        <f>+C40*9%</f>
        <v/>
      </c>
      <c r="E40" s="1497">
        <f>+D40</f>
        <v/>
      </c>
      <c r="F40" s="1497">
        <f>IF(D40&gt;0," ",C40*18%)</f>
        <v/>
      </c>
      <c r="G40" s="1228" t="n"/>
      <c r="H40" s="156" t="n"/>
      <c r="I40" s="1228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496" t="n"/>
      <c r="D41" s="1497">
        <f>+C41*9%</f>
        <v/>
      </c>
      <c r="E41" s="1497">
        <f>+D41</f>
        <v/>
      </c>
      <c r="F41" s="1497">
        <f>IF(D41&gt;0," ",C41*18%)</f>
        <v/>
      </c>
      <c r="G41" s="1496" t="n"/>
      <c r="H41" s="156" t="n"/>
      <c r="I41" s="1228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496" t="n"/>
      <c r="D42" s="1497">
        <f>+C42*9%</f>
        <v/>
      </c>
      <c r="E42" s="1497">
        <f>+D42</f>
        <v/>
      </c>
      <c r="F42" s="1497">
        <f>IF(D42&gt;0," ",C42*18%)</f>
        <v/>
      </c>
      <c r="G42" s="1228" t="n"/>
      <c r="H42" s="156" t="n"/>
      <c r="I42" s="1228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496" t="n"/>
      <c r="D43" s="1497">
        <f>+C43*9%</f>
        <v/>
      </c>
      <c r="E43" s="1497">
        <f>+D43</f>
        <v/>
      </c>
      <c r="F43" s="1497" t="n">
        <v>0</v>
      </c>
      <c r="G43" s="1228" t="n"/>
      <c r="H43" s="156" t="n"/>
      <c r="I43" s="1228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496" t="n"/>
      <c r="D44" s="1497">
        <f>+C44*9%</f>
        <v/>
      </c>
      <c r="E44" s="1497">
        <f>+D44</f>
        <v/>
      </c>
      <c r="F44" s="1497">
        <f>IF(D44&gt;0," ",C44*18%)</f>
        <v/>
      </c>
      <c r="G44" s="1228" t="n"/>
      <c r="H44" s="156" t="n"/>
      <c r="I44" s="1228" t="n"/>
    </row>
    <row r="45" ht="15.75" customHeight="1">
      <c r="A45" s="1187" t="n">
        <v>3317</v>
      </c>
      <c r="B45" s="1220" t="inlineStr">
        <is>
          <t>THE P&amp;T CHARGES FOR LC/BG</t>
        </is>
      </c>
      <c r="C45" s="1496" t="n"/>
      <c r="D45" s="1497">
        <f>+C45*9%</f>
        <v/>
      </c>
      <c r="E45" s="1497">
        <f>+D45</f>
        <v/>
      </c>
      <c r="F45" s="1497">
        <f>IF(D45&gt;0," ",C45*18%)</f>
        <v/>
      </c>
      <c r="G45" s="1228" t="n"/>
      <c r="H45" s="156" t="n"/>
      <c r="I45" s="1228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496" t="n"/>
      <c r="D46" s="1497">
        <f>+C46*9%</f>
        <v/>
      </c>
      <c r="E46" s="1497">
        <f>+D46</f>
        <v/>
      </c>
      <c r="F46" s="1497">
        <f>IF(D46&gt;0," ",C46*18%)</f>
        <v/>
      </c>
      <c r="G46" s="1228" t="n"/>
      <c r="H46" s="156" t="n"/>
      <c r="I46" s="1228" t="n"/>
    </row>
    <row r="47" ht="15.75" customHeight="1">
      <c r="A47" s="1187" t="n">
        <v>3320</v>
      </c>
      <c r="B47" s="1220" t="inlineStr">
        <is>
          <t>RENT ON LOCKER</t>
        </is>
      </c>
      <c r="C47" s="1496" t="n"/>
      <c r="D47" s="1497">
        <f>+C47*9%</f>
        <v/>
      </c>
      <c r="E47" s="1497">
        <f>+D47</f>
        <v/>
      </c>
      <c r="F47" s="1497" t="n">
        <v>0</v>
      </c>
      <c r="G47" s="1228" t="n"/>
      <c r="H47" s="156" t="n"/>
      <c r="I47" s="1228" t="n"/>
    </row>
    <row r="48" ht="15.75" customHeight="1">
      <c r="A48" s="1187" t="n">
        <v>3321</v>
      </c>
      <c r="B48" s="1220" t="inlineStr">
        <is>
          <t>ADHOC LIMIT CHARGES</t>
        </is>
      </c>
      <c r="C48" s="1496" t="n"/>
      <c r="D48" s="1497">
        <f>+C48*9%</f>
        <v/>
      </c>
      <c r="E48" s="1497">
        <f>+D48</f>
        <v/>
      </c>
      <c r="F48" s="1497">
        <f>IF(D48&gt;0," ",C48*18%)</f>
        <v/>
      </c>
      <c r="G48" s="1228" t="n"/>
      <c r="H48" s="156" t="n"/>
      <c r="I48" s="1228" t="n"/>
    </row>
    <row r="49" ht="15.75" customHeight="1">
      <c r="A49" s="1187" t="n">
        <v>3322</v>
      </c>
      <c r="B49" s="1220" t="inlineStr">
        <is>
          <t>INCOME FROM SALE OF OLD NEWS PAPERS</t>
        </is>
      </c>
      <c r="C49" s="1496" t="n"/>
      <c r="D49" s="1497">
        <f>+C49*5%</f>
        <v/>
      </c>
      <c r="E49" s="1497">
        <f>+D49</f>
        <v/>
      </c>
      <c r="F49" s="1497" t="n"/>
      <c r="G49" s="1228" t="n"/>
      <c r="H49" s="156" t="n"/>
      <c r="I49" s="1228" t="n"/>
    </row>
    <row r="50" ht="15.75" customHeight="1">
      <c r="A50" s="1187" t="n">
        <v>3324</v>
      </c>
      <c r="B50" s="1220" t="inlineStr">
        <is>
          <t>PENALTY ON OVERDUE LOCKER RENT</t>
        </is>
      </c>
      <c r="C50" s="1496" t="n"/>
      <c r="D50" s="1497">
        <f>+C50*9%</f>
        <v/>
      </c>
      <c r="E50" s="1497">
        <f>+D50</f>
        <v/>
      </c>
      <c r="F50" s="1497" t="n"/>
      <c r="G50" s="1228" t="n"/>
      <c r="H50" s="156" t="n"/>
      <c r="I50" s="1228" t="n"/>
    </row>
    <row r="51" ht="15.75" customHeight="1">
      <c r="A51" s="161" t="n">
        <v>3325</v>
      </c>
      <c r="B51" s="1220" t="inlineStr">
        <is>
          <t>MICR CHARGES</t>
        </is>
      </c>
      <c r="C51" s="1496" t="n"/>
      <c r="D51" s="1497">
        <f>+C51*2.5%</f>
        <v/>
      </c>
      <c r="E51" s="1497">
        <f>+D51</f>
        <v/>
      </c>
      <c r="F51" s="1497">
        <f>IF(D51&gt;0," ",C51*18%)</f>
        <v/>
      </c>
      <c r="G51" s="1228" t="n"/>
      <c r="H51" s="156" t="n"/>
      <c r="I51" s="1228" t="n"/>
    </row>
    <row r="52" ht="15.75" customHeight="1">
      <c r="A52" s="1187" t="n">
        <v>3391</v>
      </c>
      <c r="B52" s="1220" t="inlineStr">
        <is>
          <t>SMS CHARGES INCOME RECEIVED</t>
        </is>
      </c>
      <c r="C52" s="1496" t="n"/>
      <c r="D52" s="1497">
        <f>+C52*9%</f>
        <v/>
      </c>
      <c r="E52" s="1497">
        <f>+D52</f>
        <v/>
      </c>
      <c r="F52" s="1497">
        <f>IF(D52&gt;0," ",C52*18%)</f>
        <v/>
      </c>
      <c r="G52" s="1228" t="n"/>
      <c r="H52" s="156" t="n"/>
      <c r="I52" s="1228" t="n"/>
    </row>
    <row r="53" ht="15.75" customHeight="1">
      <c r="A53" s="1187" t="n">
        <v>3359</v>
      </c>
      <c r="B53" s="1220" t="inlineStr">
        <is>
          <t>COMMITMENT CHARGES</t>
        </is>
      </c>
      <c r="C53" s="1496" t="n"/>
      <c r="D53" s="1497">
        <f>+C53*9%</f>
        <v/>
      </c>
      <c r="E53" s="1497">
        <f>+D53</f>
        <v/>
      </c>
      <c r="F53" s="1497" t="n">
        <v>0</v>
      </c>
      <c r="G53" s="1228" t="n"/>
      <c r="H53" s="156" t="n"/>
      <c r="I53" s="1228" t="n"/>
    </row>
    <row r="54" ht="15.75" customHeight="1">
      <c r="A54" s="1187" t="n">
        <v>3825</v>
      </c>
      <c r="B54" s="1220" t="inlineStr">
        <is>
          <t>EXTERNAL AUDIT FEES</t>
        </is>
      </c>
      <c r="C54" s="1496" t="n"/>
      <c r="D54" s="1497">
        <f>+C54*9%</f>
        <v/>
      </c>
      <c r="E54" s="1497">
        <f>+D54</f>
        <v/>
      </c>
      <c r="F54" s="1497">
        <f>IF(D54&gt;0," ",C54*18%)</f>
        <v/>
      </c>
      <c r="G54" s="1228" t="n"/>
      <c r="H54" s="156" t="n"/>
      <c r="I54" s="1228" t="n"/>
    </row>
    <row r="55" ht="15.75" customHeight="1">
      <c r="A55" s="1187" t="n">
        <v>3362</v>
      </c>
      <c r="B55" s="1220" t="inlineStr">
        <is>
          <t>FORECLOSURE CHARGES</t>
        </is>
      </c>
      <c r="C55" s="1496" t="n"/>
      <c r="D55" s="1497" t="n"/>
      <c r="E55" s="1497" t="n"/>
      <c r="F55" s="1497" t="n"/>
      <c r="G55" s="1228" t="n"/>
      <c r="H55" s="156" t="n"/>
      <c r="I55" s="1228" t="n"/>
    </row>
    <row r="56" ht="15.75" customHeight="1">
      <c r="A56" s="1187" t="n">
        <v>3340</v>
      </c>
      <c r="B56" s="1220" t="inlineStr">
        <is>
          <t>LOAN PROCESSING FEES</t>
        </is>
      </c>
      <c r="C56" s="1496" t="n"/>
      <c r="D56" s="1497">
        <f>+C56*9%</f>
        <v/>
      </c>
      <c r="E56" s="1497">
        <f>+D56</f>
        <v/>
      </c>
      <c r="F56" s="1497">
        <f>IF(D56&gt;0," ",C56*18%)</f>
        <v/>
      </c>
      <c r="G56" s="1228" t="n"/>
      <c r="H56" s="156" t="n"/>
      <c r="I56" s="1228" t="n"/>
    </row>
    <row r="57" ht="15.75" customHeight="1">
      <c r="A57" s="15" t="inlineStr">
        <is>
          <t>GL</t>
        </is>
      </c>
      <c r="B57" s="1220" t="n"/>
      <c r="C57" s="1496" t="n"/>
      <c r="D57" s="1497" t="n"/>
      <c r="E57" s="1497" t="n"/>
      <c r="F57" s="1497" t="n"/>
      <c r="G57" s="1228" t="n"/>
      <c r="H57" s="156" t="n"/>
      <c r="I57" s="1228" t="n"/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496" t="n"/>
      <c r="D58" s="1497">
        <f>+C58*9%</f>
        <v/>
      </c>
      <c r="E58" s="1497">
        <f>+D58</f>
        <v/>
      </c>
      <c r="F58" s="1497" t="n">
        <v>0</v>
      </c>
      <c r="G58" s="1228" t="n"/>
      <c r="H58" s="156" t="n"/>
      <c r="I58" s="1228" t="n"/>
      <c r="J58" s="32" t="n"/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496" t="n"/>
      <c r="D59" s="1497">
        <f>+C59*9%</f>
        <v/>
      </c>
      <c r="E59" s="1497">
        <f>+D59</f>
        <v/>
      </c>
      <c r="F59" s="1497">
        <f>IF(D59&gt;0," ",C59*18%)</f>
        <v/>
      </c>
      <c r="G59" s="1496" t="n"/>
      <c r="H59" s="156" t="n"/>
      <c r="I59" s="1228" t="n"/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496" t="n"/>
      <c r="D60" s="1497">
        <f>+C60*9%</f>
        <v/>
      </c>
      <c r="E60" s="1497">
        <f>+D60</f>
        <v/>
      </c>
      <c r="F60" s="1497" t="n"/>
      <c r="G60" s="1228" t="n"/>
      <c r="H60" s="156" t="n"/>
      <c r="I60" s="1228" t="n"/>
    </row>
    <row r="61" ht="15.75" customHeight="1">
      <c r="A61" s="435" t="n"/>
      <c r="B61" s="433" t="inlineStr">
        <is>
          <t>SALE OF ASSET ( CASH COUNTING MACHINE)</t>
        </is>
      </c>
      <c r="C61" s="1496" t="n"/>
      <c r="D61" s="1500">
        <f>+C61*9%</f>
        <v/>
      </c>
      <c r="E61" s="1500">
        <f>+D61</f>
        <v/>
      </c>
      <c r="F61" s="1500" t="n"/>
      <c r="G61" s="1228" t="n"/>
      <c r="H61" s="156" t="n"/>
      <c r="I61" s="1228" t="n"/>
    </row>
    <row r="62" ht="16.5" customHeight="1" thickBot="1">
      <c r="A62" s="12" t="n"/>
      <c r="B62" s="11" t="inlineStr">
        <is>
          <t>TOTAL :</t>
        </is>
      </c>
      <c r="C62" s="1501">
        <f>+SUM(C9:C61)</f>
        <v/>
      </c>
      <c r="D62" s="1501">
        <f>+SUM(D9:D61)</f>
        <v/>
      </c>
      <c r="E62" s="1501">
        <f>+SUM(E9:E61)</f>
        <v/>
      </c>
      <c r="F62" s="1501">
        <f>SUM(F9:F59)</f>
        <v/>
      </c>
      <c r="G62" s="1501">
        <f>SUM(G9:G60)</f>
        <v/>
      </c>
      <c r="H62" s="1501">
        <f>SUM(H9:H59)</f>
        <v/>
      </c>
      <c r="I62" s="1501" t="n"/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" customHeight="1">
      <c r="A68" s="29" t="inlineStr">
        <is>
          <t>(1) INCOME</t>
        </is>
      </c>
      <c r="B68" s="29" t="n"/>
      <c r="C68" s="3" t="n"/>
      <c r="D68" s="3" t="inlineStr">
        <is>
          <t xml:space="preserve"> </t>
        </is>
      </c>
      <c r="E68" s="3" t="n"/>
      <c r="F68" s="3" t="n"/>
    </row>
    <row r="69" ht="15" customHeight="1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+G62</f>
        <v/>
      </c>
      <c r="D72" s="106">
        <f>+C72*0.09</f>
        <v/>
      </c>
      <c r="E72" s="106">
        <f>+C72*0.09</f>
        <v/>
      </c>
      <c r="F72" s="106" t="n">
        <v>0</v>
      </c>
      <c r="G72" s="1499" t="n"/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  <c r="G73" s="944" t="n"/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G74" s="1087" t="n"/>
      <c r="I74" s="253" t="n"/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IF(F71&gt;F74,F71,F74)</f>
        <v/>
      </c>
      <c r="G75" s="627">
        <f>+D75/0.09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1532" t="n"/>
      <c r="E77" s="3" t="n"/>
      <c r="F77" s="3" t="n"/>
      <c r="H77" s="32" t="inlineStr">
        <is>
          <t xml:space="preserve"> </t>
        </is>
      </c>
    </row>
    <row r="78" ht="15" customHeight="1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421" t="inlineStr">
        <is>
          <t>GL 8547 CGST</t>
        </is>
      </c>
      <c r="F78" s="1421" t="inlineStr">
        <is>
          <t>GL 8548 IGST</t>
        </is>
      </c>
    </row>
    <row r="79" ht="15" customHeight="1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800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+C92</f>
        <v/>
      </c>
      <c r="E82" s="105">
        <f>+D82</f>
        <v/>
      </c>
      <c r="F82" s="10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8">
        <f>+D81-D82</f>
        <v/>
      </c>
      <c r="E83" s="108">
        <f>+E81-E82</f>
        <v/>
      </c>
      <c r="F83" s="800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4">
      <c r="F84" s="1533" t="n"/>
    </row>
    <row r="85" ht="15" customHeight="1">
      <c r="A85" s="606" t="n"/>
      <c r="B85" s="606" t="n"/>
      <c r="C85" s="606" t="n"/>
      <c r="D85" s="606" t="n"/>
      <c r="E85" s="606" t="n"/>
      <c r="F85" s="606" t="n"/>
    </row>
    <row r="86">
      <c r="B86" s="145" t="inlineStr">
        <is>
          <t>OUR GST NO. NOT REFLECTED ON CENVAT BILLS</t>
        </is>
      </c>
      <c r="C86" s="112" t="n"/>
      <c r="D86" s="112" t="n"/>
    </row>
    <row r="87">
      <c r="B87" s="252" t="inlineStr">
        <is>
          <t>PARTY NAME</t>
        </is>
      </c>
      <c r="C87" s="169" t="inlineStr">
        <is>
          <t>GGST</t>
        </is>
      </c>
      <c r="D87" s="169" t="inlineStr">
        <is>
          <t>CGST</t>
        </is>
      </c>
    </row>
    <row r="88">
      <c r="B88" s="431" t="inlineStr">
        <is>
          <t>BSNL</t>
        </is>
      </c>
      <c r="C88" s="752" t="n">
        <v>0</v>
      </c>
      <c r="D88" s="745">
        <f>C88</f>
        <v/>
      </c>
    </row>
    <row r="89">
      <c r="B89" s="431" t="inlineStr">
        <is>
          <t>BSNL</t>
        </is>
      </c>
      <c r="C89" s="745" t="n">
        <v>0</v>
      </c>
      <c r="D89" s="745">
        <f>+C89</f>
        <v/>
      </c>
    </row>
    <row r="90">
      <c r="B90" s="724" t="inlineStr">
        <is>
          <t>ROHAN AGENCY</t>
        </is>
      </c>
      <c r="C90" s="745" t="n"/>
      <c r="D90" s="746">
        <f>C90</f>
        <v/>
      </c>
    </row>
    <row r="91">
      <c r="B91" s="431" t="inlineStr">
        <is>
          <t>BSNL</t>
        </is>
      </c>
      <c r="C91" s="629" t="n"/>
      <c r="D91" s="745">
        <f>+C91</f>
        <v/>
      </c>
    </row>
    <row r="92">
      <c r="B92" s="252" t="inlineStr">
        <is>
          <t>Total</t>
        </is>
      </c>
      <c r="C92" s="1534">
        <f>+SUM(C88:C91)</f>
        <v/>
      </c>
      <c r="D92" s="1534">
        <f>+SUM(D88:D91)</f>
        <v/>
      </c>
      <c r="G92" s="1084">
        <f>+C92/2</f>
        <v/>
      </c>
    </row>
    <row r="93">
      <c r="A93" s="1087" t="n"/>
    </row>
    <row r="96">
      <c r="A96" s="1258" t="n"/>
      <c r="E96" s="1259" t="n"/>
      <c r="F96" s="1259" t="n"/>
      <c r="G96" s="1259" t="n"/>
      <c r="I96" s="1259" t="n"/>
      <c r="J96" s="1259" t="n"/>
    </row>
    <row r="97">
      <c r="A97" s="1258" t="n"/>
      <c r="E97" s="1259" t="n"/>
      <c r="F97" s="1257" t="n"/>
      <c r="G97" s="1257" t="n"/>
      <c r="I97" s="1535" t="n"/>
    </row>
    <row r="98">
      <c r="A98" s="1258" t="n"/>
      <c r="E98" s="1259" t="n"/>
      <c r="F98" s="1257" t="n"/>
      <c r="G98" s="1257" t="n"/>
      <c r="I98" s="1535" t="n"/>
    </row>
    <row r="99">
      <c r="A99" s="1256" t="n"/>
      <c r="E99" s="1259" t="n"/>
      <c r="F99" s="1257" t="n"/>
      <c r="G99" s="1257" t="n"/>
      <c r="I99" s="1535" t="n"/>
    </row>
    <row r="100">
      <c r="A100" s="1258" t="n"/>
      <c r="E100" s="1259" t="n"/>
      <c r="F100" s="1257" t="n"/>
      <c r="G100" s="1257" t="n"/>
      <c r="I100" s="1535" t="n"/>
    </row>
    <row r="102">
      <c r="A102" s="1087" t="n"/>
    </row>
  </sheetData>
  <mergeCells count="38">
    <mergeCell ref="A80:C80"/>
    <mergeCell ref="A66:F66"/>
    <mergeCell ref="A75:C75"/>
    <mergeCell ref="A97:D97"/>
    <mergeCell ref="A100:D100"/>
    <mergeCell ref="A96:D96"/>
    <mergeCell ref="A74:C74"/>
    <mergeCell ref="E78:E79"/>
    <mergeCell ref="G7:G8"/>
    <mergeCell ref="G98:H98"/>
    <mergeCell ref="E69:E70"/>
    <mergeCell ref="I7:I8"/>
    <mergeCell ref="A3:F3"/>
    <mergeCell ref="G97:H97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A98:D98"/>
    <mergeCell ref="E7:E8"/>
    <mergeCell ref="A83:C83"/>
    <mergeCell ref="A99:D99"/>
    <mergeCell ref="A82:C82"/>
    <mergeCell ref="G100:H100"/>
    <mergeCell ref="A1:F1"/>
    <mergeCell ref="B7:B8"/>
    <mergeCell ref="D69:D70"/>
    <mergeCell ref="F78:F79"/>
    <mergeCell ref="F69:F70"/>
    <mergeCell ref="G99:H99"/>
    <mergeCell ref="F7:F8"/>
    <mergeCell ref="G96:H96"/>
  </mergeCells>
  <conditionalFormatting sqref="A102">
    <cfRule type="containsText" priority="4" operator="containsText" dxfId="27" text="EXC">
      <formula>NOT(ISERROR(SEARCH("EXC",A102)))</formula>
    </cfRule>
  </conditionalFormatting>
  <conditionalFormatting sqref="A9:B21 G81:H93 I63:XFD93">
    <cfRule type="containsText" priority="31" operator="containsText" dxfId="0" text="LESS COLLECTED">
      <formula>NOT(ISERROR(SEARCH("LESS COLLECTED",A9)))</formula>
    </cfRule>
  </conditionalFormatting>
  <conditionalFormatting sqref="A22:B50">
    <cfRule type="containsText" priority="45" operator="containsText" dxfId="0" text="LESS COLLECTED">
      <formula>NOT(ISERROR(SEARCH("LESS COLLECTED",A22)))</formula>
    </cfRule>
  </conditionalFormatting>
  <conditionalFormatting sqref="A28:B32">
    <cfRule type="containsText" priority="44" operator="containsText" dxfId="1" text="EXCESS COLLECTED">
      <formula>NOT(ISERROR(SEARCH("EXCESS COLLECTED",A28)))</formula>
    </cfRule>
  </conditionalFormatting>
  <conditionalFormatting sqref="A47:B56">
    <cfRule type="containsText" priority="7" operator="containsText" dxfId="1" text="EXCESS COLLECTED">
      <formula>NOT(ISERROR(SEARCH("EXCESS COLLECTED",A47)))</formula>
    </cfRule>
  </conditionalFormatting>
  <conditionalFormatting sqref="A51:B56">
    <cfRule type="containsText" priority="8" operator="containsText" dxfId="0" text="LESS COLLECTED">
      <formula>NOT(ISERROR(SEARCH("LESS COLLECTED",A51)))</formula>
    </cfRule>
  </conditionalFormatting>
  <conditionalFormatting sqref="A57:B61">
    <cfRule type="containsText" priority="49" operator="containsText" dxfId="0" text="LESS COLLECTED">
      <formula>NOT(ISERROR(SEARCH("LESS COLLECTED",A57)))</formula>
    </cfRule>
  </conditionalFormatting>
  <conditionalFormatting sqref="A1:F8 A91:B91 A92:F93 G1:XFD7 G76:H79 H75 H80 J8:XFD8">
    <cfRule type="containsText" priority="150" operator="containsText" dxfId="0" text="LESS COLLECTED">
      <formula>NOT(ISERROR(SEARCH("LESS COLLECTED",A1)))</formula>
    </cfRule>
  </conditionalFormatting>
  <conditionalFormatting sqref="A72:F73">
    <cfRule type="containsText" priority="13" operator="containsText" dxfId="1" text="EXCESS COLLECTED">
      <formula>NOT(ISERROR(SEARCH("EXCESS COLLECTED",A72)))</formula>
    </cfRule>
  </conditionalFormatting>
  <conditionalFormatting sqref="B61">
    <cfRule type="containsText" priority="48" operator="containsText" dxfId="1" text="EXCESS COLLECTED">
      <formula>NOT(ISERROR(SEARCH("EXCESS COLLECTED",B61)))</formula>
    </cfRule>
  </conditionalFormatting>
  <conditionalFormatting sqref="B88:B91 E91:F91">
    <cfRule type="containsText" priority="65" operator="containsText" dxfId="0" text="LESS COLLECTED">
      <formula>NOT(ISERROR(SEARCH("LESS COLLECTED",B88)))</formula>
    </cfRule>
  </conditionalFormatting>
  <conditionalFormatting sqref="B88:B91">
    <cfRule type="containsText" priority="64" operator="containsText" dxfId="1" text="EXCESS COLLECTED">
      <formula>NOT(ISERROR(SEARCH("EXCESS COLLECTED",B88)))</formula>
    </cfRule>
  </conditionalFormatting>
  <conditionalFormatting sqref="C9:C61">
    <cfRule type="containsText" priority="30" operator="containsText" dxfId="0" text="LESS COLLECTED">
      <formula>NOT(ISERROR(SEARCH("LESS COLLECTED",C9)))</formula>
    </cfRule>
  </conditionalFormatting>
  <conditionalFormatting sqref="B86:D86 B92:D92 C87:D87 D7:F8 D69:E70 D88:D90 F58:F59">
    <cfRule type="containsText" priority="140" operator="containsText" dxfId="1" text="EXCESS COLLECTED">
      <formula>NOT(ISERROR(SEARCH("EXCESS COLLECTED",B7)))</formula>
    </cfRule>
  </conditionalFormatting>
  <conditionalFormatting sqref="A66:F71 A85:A90 B86:F86 B92:D92 C87:F87 D7:F28 D52:F61 D88:F90">
    <cfRule type="containsText" priority="141" operator="containsText" dxfId="0" text="LESS COLLECTED">
      <formula>NOT(ISERROR(SEARCH("LESS COLLECTED",A7)))</formula>
    </cfRule>
  </conditionalFormatting>
  <conditionalFormatting sqref="D29:F32">
    <cfRule type="containsText" priority="42" operator="containsText" dxfId="0" text="LESS COLLECTED">
      <formula>NOT(ISERROR(SEARCH("LESS COLLECTED",D29)))</formula>
    </cfRule>
  </conditionalFormatting>
  <conditionalFormatting sqref="D33:F49 F50">
    <cfRule type="containsText" priority="63" operator="containsText" dxfId="0" text="LESS COLLECTED">
      <formula>NOT(ISERROR(SEARCH("LESS COLLECTED",D33)))</formula>
    </cfRule>
  </conditionalFormatting>
  <conditionalFormatting sqref="D48:F49 F50">
    <cfRule type="containsText" priority="62" operator="containsText" dxfId="1" text="EXCESS COLLECTED">
      <formula>NOT(ISERROR(SEARCH("EXCESS COLLECTED",D48)))</formula>
    </cfRule>
  </conditionalFormatting>
  <conditionalFormatting sqref="D51:F51">
    <cfRule type="containsText" priority="18" operator="containsText" dxfId="0" text="LESS COLLECTED">
      <formula>NOT(ISERROR(SEARCH("LESS COLLECTED",D51)))</formula>
    </cfRule>
  </conditionalFormatting>
  <conditionalFormatting sqref="D51:F56">
    <cfRule type="containsText" priority="17" operator="containsText" dxfId="1" text="EXCESS COLLECTED">
      <formula>NOT(ISERROR(SEARCH("EXCESS COLLECTED",D51)))</formula>
    </cfRule>
  </conditionalFormatting>
  <conditionalFormatting sqref="G41">
    <cfRule type="containsText" priority="2" operator="containsText" dxfId="0" text="LESS COLLECTED">
      <formula>NOT(ISERROR(SEARCH("LESS COLLECTED",G41)))</formula>
    </cfRule>
  </conditionalFormatting>
  <conditionalFormatting sqref="G59">
    <cfRule type="containsText" priority="1" operator="containsText" dxfId="0" text="LESS COLLECTED">
      <formula>NOT(ISERROR(SEARCH("LESS COLLECTED",G59)))</formula>
    </cfRule>
  </conditionalFormatting>
  <conditionalFormatting sqref="G65">
    <cfRule type="containsText" priority="11" operator="containsText" dxfId="1" text="EXCESS COLLECTED">
      <formula>NOT(ISERROR(SEARCH("EXCESS COLLECTED",G65)))</formula>
    </cfRule>
  </conditionalFormatting>
  <conditionalFormatting sqref="G63:H73">
    <cfRule type="containsText" priority="12" operator="containsText" dxfId="0" text="LESS COLLECTED">
      <formula>NOT(ISERROR(SEARCH("LESS COLLECTED",G63)))</formula>
    </cfRule>
  </conditionalFormatting>
  <pageMargins left="1.155511811" right="0.118110236220472" top="0.25" bottom="0" header="0.31496062992126" footer="0.31496062992126"/>
  <pageSetup orientation="portrait" paperSize="9" scale="5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O96"/>
  <sheetViews>
    <sheetView topLeftCell="A79" workbookViewId="0">
      <selection activeCell="G92" sqref="G92"/>
    </sheetView>
  </sheetViews>
  <sheetFormatPr baseColWidth="8" defaultColWidth="9.140625" defaultRowHeight="15"/>
  <cols>
    <col width="11.42578125" customWidth="1" style="1084" min="1" max="1"/>
    <col width="51" customWidth="1" style="1084" min="2" max="2"/>
    <col width="13.42578125" customWidth="1" style="1084" min="3" max="3"/>
    <col width="17.28515625" bestFit="1" customWidth="1" style="1084" min="4" max="4"/>
    <col width="16.140625" bestFit="1" customWidth="1" style="1084" min="5" max="5"/>
    <col width="11.42578125" customWidth="1" style="1084" min="6" max="6"/>
    <col width="19.85546875" customWidth="1" style="1084" min="7" max="7"/>
    <col width="23.42578125" bestFit="1" customWidth="1" style="32" min="8" max="8"/>
    <col width="9.140625" customWidth="1" style="1084" min="9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61" t="inlineStr">
        <is>
          <t>BRANCH NAME : MANINAGAR BRANCH</t>
        </is>
      </c>
    </row>
    <row r="4" ht="15.75" customHeight="1">
      <c r="A4" s="1214" t="inlineStr">
        <is>
          <t>BRANCH CODE: 19</t>
        </is>
      </c>
    </row>
    <row r="5" ht="15.75" customHeight="1">
      <c r="A5" s="1210">
        <f>+ISANPUR!A5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496" t="n"/>
      <c r="D9" s="1497">
        <f>+C9*9%</f>
        <v/>
      </c>
      <c r="E9" s="1497">
        <f>+D9</f>
        <v/>
      </c>
      <c r="F9" s="1497">
        <f>IF(D9&gt;0," ",C9*18%)</f>
        <v/>
      </c>
      <c r="G9" s="1228" t="n"/>
      <c r="H9" s="156" t="n"/>
      <c r="I9" s="1228" t="n"/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496" t="n"/>
      <c r="D10" s="1497">
        <f>+C10*9%</f>
        <v/>
      </c>
      <c r="E10" s="1497">
        <f>+D10</f>
        <v/>
      </c>
      <c r="F10" s="1497">
        <f>IF(D10&gt;0," ",C10*18%)</f>
        <v/>
      </c>
      <c r="G10" s="1228" t="n"/>
      <c r="H10" s="156" t="n"/>
      <c r="I10" s="1228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496" t="n"/>
      <c r="D11" s="1497">
        <f>+C11*9%</f>
        <v/>
      </c>
      <c r="E11" s="1497">
        <f>+D11</f>
        <v/>
      </c>
      <c r="F11" s="1497">
        <f>IF(D11&gt;0," ",C11*18%)</f>
        <v/>
      </c>
      <c r="G11" s="1228" t="n"/>
      <c r="H11" s="156" t="n"/>
      <c r="I11" s="1228" t="n"/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496" t="n"/>
      <c r="D12" s="1497">
        <f>+C12*9%</f>
        <v/>
      </c>
      <c r="E12" s="1497">
        <f>+D12</f>
        <v/>
      </c>
      <c r="F12" s="1497">
        <f>IF(D12&gt;0," ",C12*18%)</f>
        <v/>
      </c>
      <c r="G12" s="1228" t="n"/>
      <c r="H12" s="156" t="n"/>
      <c r="I12" s="1228" t="n"/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496" t="n"/>
      <c r="D13" s="1497">
        <f>+C13*9%</f>
        <v/>
      </c>
      <c r="E13" s="1497">
        <f>+D13</f>
        <v/>
      </c>
      <c r="F13" s="1497">
        <f>IF(D13&gt;0," ",C13*18%)</f>
        <v/>
      </c>
      <c r="G13" s="1228" t="n"/>
      <c r="H13" s="156" t="n"/>
      <c r="I13" s="1228" t="n"/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496" t="n"/>
      <c r="D14" s="1497">
        <f>+C14*9%</f>
        <v/>
      </c>
      <c r="E14" s="1497">
        <f>+D14</f>
        <v/>
      </c>
      <c r="F14" s="1497">
        <f>IF(D14&gt;0," ",C14*18%)</f>
        <v/>
      </c>
      <c r="G14" s="1228" t="n"/>
      <c r="H14" s="156" t="n"/>
      <c r="I14" s="1228" t="n"/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496" t="n"/>
      <c r="D15" s="1497">
        <f>+C15*9%</f>
        <v/>
      </c>
      <c r="E15" s="1497">
        <f>+D15</f>
        <v/>
      </c>
      <c r="F15" s="1497">
        <f>IF(D15&gt;0," ",C15*18%)</f>
        <v/>
      </c>
      <c r="G15" s="1228" t="n"/>
      <c r="H15" s="156" t="n"/>
      <c r="I15" s="1228" t="n"/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496" t="n"/>
      <c r="D16" s="1497">
        <f>+C16*9%</f>
        <v/>
      </c>
      <c r="E16" s="1497">
        <f>+D16</f>
        <v/>
      </c>
      <c r="F16" s="1497">
        <f>IF(D16&gt;0," ",C16*18%)</f>
        <v/>
      </c>
      <c r="G16" s="1228" t="n"/>
      <c r="H16" s="156" t="n"/>
      <c r="I16" s="1228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496" t="n"/>
      <c r="D17" s="1497">
        <f>+C17*9%</f>
        <v/>
      </c>
      <c r="E17" s="1497">
        <f>+D17</f>
        <v/>
      </c>
      <c r="F17" s="1497">
        <f>IF(D17&gt;0," ",C17*18%)</f>
        <v/>
      </c>
      <c r="G17" s="1228" t="n"/>
      <c r="H17" s="156" t="n"/>
      <c r="I17" s="1228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496" t="n"/>
      <c r="D18" s="1497">
        <f>+C18*9%</f>
        <v/>
      </c>
      <c r="E18" s="1497">
        <f>+D18</f>
        <v/>
      </c>
      <c r="F18" s="1497">
        <f>IF(D18&gt;0," ",C18*18%)</f>
        <v/>
      </c>
      <c r="G18" s="1228" t="n"/>
      <c r="H18" s="156" t="n"/>
      <c r="I18" s="1228" t="n"/>
    </row>
    <row r="19" ht="15.75" customHeight="1">
      <c r="A19" s="13" t="n">
        <v>3270</v>
      </c>
      <c r="B19" s="1220" t="inlineStr">
        <is>
          <t>PROCESSING CHARGE</t>
        </is>
      </c>
      <c r="C19" s="1536" t="n"/>
      <c r="D19" s="1497">
        <f>+C19*9%</f>
        <v/>
      </c>
      <c r="E19" s="1497">
        <f>+D19</f>
        <v/>
      </c>
      <c r="F19" s="1497">
        <f>IF(D19&gt;0," ",C19*18%)</f>
        <v/>
      </c>
      <c r="G19" s="1228" t="n"/>
      <c r="H19" s="156" t="n"/>
      <c r="I19" s="1228" t="n"/>
    </row>
    <row r="20" ht="15.75" customHeight="1">
      <c r="A20" s="13" t="n">
        <v>3271</v>
      </c>
      <c r="B20" s="1220" t="inlineStr">
        <is>
          <t>RENEWAL FEES</t>
        </is>
      </c>
      <c r="C20" s="1496" t="n"/>
      <c r="D20" s="1497">
        <f>+C20*9%</f>
        <v/>
      </c>
      <c r="E20" s="1497">
        <f>+D20</f>
        <v/>
      </c>
      <c r="F20" s="1497">
        <f>IF(D20&gt;0," ",C20*18%)</f>
        <v/>
      </c>
      <c r="G20" s="1228" t="n"/>
      <c r="H20" s="156" t="n"/>
      <c r="I20" s="1228" t="n"/>
    </row>
    <row r="21" ht="15.75" customHeight="1">
      <c r="A21" s="13" t="n">
        <v>3274</v>
      </c>
      <c r="B21" s="1220" t="inlineStr">
        <is>
          <t>INCOME FROM E-STAMPING</t>
        </is>
      </c>
      <c r="C21" s="1496" t="n"/>
      <c r="D21" s="1497">
        <f>+C21*9%</f>
        <v/>
      </c>
      <c r="E21" s="1497">
        <f>+D21</f>
        <v/>
      </c>
      <c r="F21" s="1497">
        <f>IF(D21&gt;0," ",C21*18%)</f>
        <v/>
      </c>
      <c r="G21" s="1228" t="n"/>
      <c r="H21" s="156" t="n"/>
      <c r="I21" s="1228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496" t="n"/>
      <c r="D22" s="1497">
        <f>+C22*9%</f>
        <v/>
      </c>
      <c r="E22" s="1497">
        <f>+D22</f>
        <v/>
      </c>
      <c r="F22" s="1497">
        <f>IF(D22&gt;0," ",C22*18%)</f>
        <v/>
      </c>
      <c r="G22" s="1228" t="n"/>
      <c r="H22" s="156" t="n"/>
      <c r="I22" s="1228" t="n"/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496" t="n"/>
      <c r="D23" s="1497">
        <f>+C23*9%</f>
        <v/>
      </c>
      <c r="E23" s="1497">
        <f>+D23</f>
        <v/>
      </c>
      <c r="F23" s="1497">
        <f>IF(D23&gt;0," ",C23*18%)</f>
        <v/>
      </c>
      <c r="G23" s="1228" t="n"/>
      <c r="H23" s="156" t="n"/>
      <c r="I23" s="1228" t="n"/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496" t="n"/>
      <c r="D24" s="1497">
        <f>+C24*9%</f>
        <v/>
      </c>
      <c r="E24" s="1497">
        <f>+D24</f>
        <v/>
      </c>
      <c r="F24" s="1497">
        <f>IF(D24&gt;0," ",C24*18%)</f>
        <v/>
      </c>
      <c r="G24" s="1228" t="n"/>
      <c r="H24" s="156" t="n"/>
      <c r="I24" s="1228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496" t="n"/>
      <c r="D25" s="1497">
        <f>+C25*9%</f>
        <v/>
      </c>
      <c r="E25" s="1497">
        <f>+D25</f>
        <v/>
      </c>
      <c r="F25" s="1497">
        <f>IF(D25&gt;0," ",C25*18%)</f>
        <v/>
      </c>
      <c r="G25" s="1228" t="n"/>
      <c r="H25" s="156" t="n"/>
      <c r="I25" s="1228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496" t="n"/>
      <c r="D26" s="1497">
        <f>+C26*9%</f>
        <v/>
      </c>
      <c r="E26" s="1497">
        <f>+D26</f>
        <v/>
      </c>
      <c r="F26" s="1497">
        <f>IF(D26&gt;0," ",C26*18%)</f>
        <v/>
      </c>
      <c r="G26" s="1228" t="n"/>
      <c r="H26" s="156" t="n"/>
      <c r="I26" s="1228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496" t="n"/>
      <c r="D27" s="1497">
        <f>+C27*9%</f>
        <v/>
      </c>
      <c r="E27" s="1497">
        <f>+D27</f>
        <v/>
      </c>
      <c r="F27" s="1497">
        <f>IF(D27&gt;0," ",C27*18%)</f>
        <v/>
      </c>
      <c r="G27" s="1228" t="n"/>
      <c r="H27" s="156" t="n"/>
      <c r="I27" s="1228" t="n"/>
    </row>
    <row r="28" ht="15.75" customHeight="1">
      <c r="A28" s="137" t="n">
        <v>3291</v>
      </c>
      <c r="B28" s="33" t="inlineStr">
        <is>
          <t>CIBIL CHARGES</t>
        </is>
      </c>
      <c r="C28" s="1496" t="n"/>
      <c r="D28" s="1497">
        <f>+C28*9%</f>
        <v/>
      </c>
      <c r="E28" s="1497">
        <f>+D28</f>
        <v/>
      </c>
      <c r="F28" s="1497">
        <f>IF(D28&gt;0," ",C28*18%)</f>
        <v/>
      </c>
      <c r="G28" s="1228" t="n"/>
      <c r="H28" s="156" t="n"/>
      <c r="I28" s="1228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36" t="n"/>
      <c r="D29" s="1497">
        <f>+C29*9%</f>
        <v/>
      </c>
      <c r="E29" s="1497">
        <f>+D29</f>
        <v/>
      </c>
      <c r="F29" s="1497">
        <f>IF(D29&gt;0," ",C29*18%)</f>
        <v/>
      </c>
      <c r="G29" s="1228" t="n"/>
      <c r="H29" s="156" t="n"/>
      <c r="I29" s="1228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36" t="n"/>
      <c r="D30" s="1497">
        <f>+C30*9%</f>
        <v/>
      </c>
      <c r="E30" s="1497">
        <f>+D30</f>
        <v/>
      </c>
      <c r="F30" s="1497">
        <f>IF(D30&gt;0," ",C30*18%)</f>
        <v/>
      </c>
      <c r="G30" s="1228" t="n"/>
      <c r="H30" s="156" t="n"/>
      <c r="I30" s="1228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36" t="n"/>
      <c r="D31" s="1497">
        <f>+C31*9%</f>
        <v/>
      </c>
      <c r="E31" s="1497">
        <f>+D31</f>
        <v/>
      </c>
      <c r="F31" s="1497">
        <f>IF(D31&gt;0," ",C31*18%)</f>
        <v/>
      </c>
      <c r="G31" s="1228" t="n"/>
      <c r="H31" s="156" t="n"/>
      <c r="I31" s="1228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496" t="n"/>
      <c r="D32" s="1497">
        <f>+C32*9%</f>
        <v/>
      </c>
      <c r="E32" s="1497">
        <f>+D32</f>
        <v/>
      </c>
      <c r="F32" s="1497">
        <f>IF(D32&gt;0," ",C32*18%)</f>
        <v/>
      </c>
      <c r="G32" s="1228" t="n"/>
      <c r="H32" s="156" t="n"/>
      <c r="I32" s="1228" t="n"/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36" t="n"/>
      <c r="D33" s="1497">
        <f>+C33*9%</f>
        <v/>
      </c>
      <c r="E33" s="1497">
        <f>+D33</f>
        <v/>
      </c>
      <c r="F33" s="1497">
        <f>IF(D33&gt;0," ",C33*18%)</f>
        <v/>
      </c>
      <c r="G33" s="1228" t="n"/>
      <c r="H33" s="156" t="n"/>
      <c r="I33" s="1228" t="n"/>
    </row>
    <row r="34" ht="15.75" customHeight="1">
      <c r="A34" s="13" t="n">
        <v>3301</v>
      </c>
      <c r="B34" s="1220" t="inlineStr">
        <is>
          <t>INOPERATIVE CHARGES</t>
        </is>
      </c>
      <c r="C34" s="1496" t="n"/>
      <c r="D34" s="1497">
        <f>+C34*9%</f>
        <v/>
      </c>
      <c r="E34" s="1497">
        <f>+D34</f>
        <v/>
      </c>
      <c r="F34" s="1497">
        <f>IF(D34&gt;0," ",C34*18%)</f>
        <v/>
      </c>
      <c r="G34" s="1228" t="n"/>
      <c r="H34" s="156" t="n"/>
      <c r="I34" s="1228" t="n"/>
    </row>
    <row r="35" ht="15.75" customHeight="1">
      <c r="A35" s="13" t="n">
        <v>3302</v>
      </c>
      <c r="B35" s="1220" t="inlineStr">
        <is>
          <t>PO CANCEL CHARGES</t>
        </is>
      </c>
      <c r="C35" s="1496" t="n"/>
      <c r="D35" s="1497">
        <f>+C35*9%</f>
        <v/>
      </c>
      <c r="E35" s="1497">
        <f>+D35</f>
        <v/>
      </c>
      <c r="F35" s="1497">
        <f>IF(D35&gt;0," ",C35*18%)</f>
        <v/>
      </c>
      <c r="G35" s="1228" t="n"/>
      <c r="H35" s="156" t="n"/>
      <c r="I35" s="1228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496" t="n"/>
      <c r="D36" s="1497">
        <f>+C36*9%</f>
        <v/>
      </c>
      <c r="E36" s="1497">
        <f>+D36</f>
        <v/>
      </c>
      <c r="F36" s="1497">
        <f>IF(D36&gt;0," ",C36*18%)</f>
        <v/>
      </c>
      <c r="G36" s="1228" t="n"/>
      <c r="H36" s="156" t="n"/>
      <c r="I36" s="1228" t="n"/>
      <c r="J36" s="1084" t="inlineStr">
        <is>
          <t xml:space="preserve"> </t>
        </is>
      </c>
    </row>
    <row r="37" ht="21" customHeight="1">
      <c r="A37" s="1496" t="inlineStr">
        <is>
          <t>3309</t>
        </is>
      </c>
      <c r="B37" s="1220" t="inlineStr">
        <is>
          <t>MIS. INCOME WITH GST</t>
        </is>
      </c>
      <c r="C37" s="1496" t="n"/>
      <c r="D37" s="1497">
        <f>+C37*9%</f>
        <v/>
      </c>
      <c r="E37" s="1497">
        <f>+D37</f>
        <v/>
      </c>
      <c r="F37" s="1497">
        <f>IF(D37&gt;0," ",C37*18%)</f>
        <v/>
      </c>
      <c r="G37" s="1228" t="n"/>
      <c r="H37" s="156" t="n"/>
      <c r="I37" s="1228" t="n"/>
      <c r="J37" s="1262" t="inlineStr">
        <is>
          <t xml:space="preserve"> </t>
        </is>
      </c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36" t="n"/>
      <c r="D38" s="1497">
        <f>+C38*9%</f>
        <v/>
      </c>
      <c r="E38" s="1497">
        <f>+D38</f>
        <v/>
      </c>
      <c r="F38" s="1497">
        <f>IF(D38&gt;0," ",C38*18%)</f>
        <v/>
      </c>
      <c r="G38" s="1228" t="n"/>
      <c r="H38" s="156" t="n"/>
      <c r="I38" s="1228" t="n"/>
      <c r="J38" s="1084">
        <f>+C39-J39</f>
        <v/>
      </c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37" t="n"/>
      <c r="D39" s="1497">
        <f>+C39*9%</f>
        <v/>
      </c>
      <c r="E39" s="1497">
        <f>+D39</f>
        <v/>
      </c>
      <c r="F39" s="1497">
        <f>IF(D39&gt;0," ",C39*18%)</f>
        <v/>
      </c>
      <c r="G39" s="1228" t="n"/>
      <c r="H39" s="156" t="n"/>
      <c r="I39" s="1228" t="n"/>
      <c r="J39" s="1084" t="n">
        <v>7150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36" t="n"/>
      <c r="D40" s="1497">
        <f>+C40*9%</f>
        <v/>
      </c>
      <c r="E40" s="1497">
        <f>+D40</f>
        <v/>
      </c>
      <c r="F40" s="1497">
        <f>IF(D40&gt;0," ",C40*18%)</f>
        <v/>
      </c>
      <c r="G40" s="1228" t="n"/>
      <c r="H40" s="156" t="n"/>
      <c r="I40" s="1228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37" t="n"/>
      <c r="D41" s="1497">
        <f>+C41*9%</f>
        <v/>
      </c>
      <c r="E41" s="1497">
        <f>+D41</f>
        <v/>
      </c>
      <c r="F41" s="1497">
        <f>IF(D41&gt;0," ",C41*18%)</f>
        <v/>
      </c>
      <c r="G41" s="1228" t="n"/>
      <c r="H41" s="156" t="n"/>
      <c r="I41" s="1228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36" t="n"/>
      <c r="D42" s="1497">
        <f>+C42*9%</f>
        <v/>
      </c>
      <c r="E42" s="1497">
        <f>+D42</f>
        <v/>
      </c>
      <c r="F42" s="1497">
        <f>IF(D42&gt;0," ",C42*18%)</f>
        <v/>
      </c>
      <c r="G42" s="1228" t="n"/>
      <c r="H42" s="156" t="n"/>
      <c r="I42" s="1228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36" t="n"/>
      <c r="D43" s="1497">
        <f>+C43*9%</f>
        <v/>
      </c>
      <c r="E43" s="1497">
        <f>+D43</f>
        <v/>
      </c>
      <c r="F43" s="1497">
        <f>IF(D43&gt;0," ",C43*18%)</f>
        <v/>
      </c>
      <c r="G43" s="1228" t="n"/>
      <c r="H43" s="156" t="n"/>
      <c r="I43" s="1228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36" t="n"/>
      <c r="D44" s="1497">
        <f>+C44*9%</f>
        <v/>
      </c>
      <c r="E44" s="1497">
        <f>+D44</f>
        <v/>
      </c>
      <c r="F44" s="1497">
        <f>IF(D44&gt;0," ",C44*18%)</f>
        <v/>
      </c>
      <c r="G44" s="1228" t="n"/>
      <c r="H44" s="156" t="n"/>
      <c r="I44" s="1228" t="n"/>
    </row>
    <row r="45" ht="15.75" customHeight="1">
      <c r="A45" s="671" t="n">
        <v>3317</v>
      </c>
      <c r="B45" s="1220" t="inlineStr">
        <is>
          <t>THE P&amp;T CHARGES FOR LC/BG</t>
        </is>
      </c>
      <c r="C45" s="1496" t="n"/>
      <c r="D45" s="1497">
        <f>+C45*9%</f>
        <v/>
      </c>
      <c r="E45" s="1497">
        <f>+D45</f>
        <v/>
      </c>
      <c r="F45" s="1497">
        <f>IF(D45&gt;0," ",C45*18%)</f>
        <v/>
      </c>
      <c r="G45" s="1228" t="n"/>
      <c r="H45" s="156" t="n"/>
      <c r="I45" s="1228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496" t="n"/>
      <c r="D46" s="1497">
        <f>+C46*9%</f>
        <v/>
      </c>
      <c r="E46" s="1497">
        <f>+D46</f>
        <v/>
      </c>
      <c r="F46" s="1497">
        <f>IF(D46&gt;0," ",C46*18%)</f>
        <v/>
      </c>
      <c r="G46" s="1228" t="n"/>
      <c r="H46" s="156" t="n"/>
      <c r="I46" s="1228" t="n"/>
    </row>
    <row r="47" ht="15.75" customHeight="1">
      <c r="A47" s="1187" t="n">
        <v>3320</v>
      </c>
      <c r="B47" s="1220" t="inlineStr">
        <is>
          <t>RENT ON LOCKER</t>
        </is>
      </c>
      <c r="C47" s="1496" t="n"/>
      <c r="D47" s="1497">
        <f>+C47*9%</f>
        <v/>
      </c>
      <c r="E47" s="1497">
        <f>+D47</f>
        <v/>
      </c>
      <c r="F47" s="1497" t="n">
        <v>0</v>
      </c>
      <c r="G47" s="1228" t="n"/>
      <c r="H47" s="156" t="n"/>
      <c r="I47" s="1228" t="n"/>
    </row>
    <row r="48" ht="15.75" customHeight="1">
      <c r="A48" s="1187" t="n">
        <v>3321</v>
      </c>
      <c r="B48" s="1220" t="inlineStr">
        <is>
          <t>ADHOC LIMIT CHARGES</t>
        </is>
      </c>
      <c r="C48" s="1496" t="n"/>
      <c r="D48" s="1497">
        <f>+C48*9%</f>
        <v/>
      </c>
      <c r="E48" s="1497">
        <f>+D48</f>
        <v/>
      </c>
      <c r="F48" s="1497">
        <f>IF(D48&gt;0," ",C48*18%)</f>
        <v/>
      </c>
      <c r="G48" s="1228" t="n"/>
      <c r="H48" s="156" t="n"/>
      <c r="I48" s="1228" t="n"/>
    </row>
    <row r="49" ht="15.75" customHeight="1">
      <c r="A49" s="1187" t="n">
        <v>3322</v>
      </c>
      <c r="B49" s="1220" t="inlineStr">
        <is>
          <t>INCOME FROM SALE OF OLD NEWS PAPERS</t>
        </is>
      </c>
      <c r="C49" s="1496" t="n"/>
      <c r="D49" s="1497">
        <f>+C49*2.5%</f>
        <v/>
      </c>
      <c r="E49" s="1497">
        <f>+D49</f>
        <v/>
      </c>
      <c r="F49" s="1497" t="n"/>
      <c r="G49" s="1228" t="n"/>
      <c r="H49" s="156" t="n"/>
      <c r="I49" s="1228" t="n"/>
    </row>
    <row r="50" ht="15.75" customHeight="1">
      <c r="A50" s="1187" t="n">
        <v>3324</v>
      </c>
      <c r="B50" s="1220" t="inlineStr">
        <is>
          <t>PENALTY ON OVERDUE LOCKER RENT</t>
        </is>
      </c>
      <c r="C50" s="1536" t="n"/>
      <c r="D50" s="1531">
        <f>C50*9%</f>
        <v/>
      </c>
      <c r="E50" s="1538">
        <f>+D50</f>
        <v/>
      </c>
      <c r="F50" s="1539" t="n">
        <v>0</v>
      </c>
      <c r="G50" s="1228" t="n"/>
      <c r="H50" s="156" t="n"/>
      <c r="I50" s="1228" t="n"/>
    </row>
    <row r="51" ht="15.75" customHeight="1">
      <c r="A51" s="161" t="n">
        <v>3325</v>
      </c>
      <c r="B51" s="1220" t="inlineStr">
        <is>
          <t>MICR CHARGES</t>
        </is>
      </c>
      <c r="C51" s="1496" t="n"/>
      <c r="D51" s="1497">
        <f>+C51*2.5%</f>
        <v/>
      </c>
      <c r="E51" s="1497">
        <f>+D51</f>
        <v/>
      </c>
      <c r="F51" s="1497">
        <f>IF(D51&gt;0," ",C51*18%)</f>
        <v/>
      </c>
      <c r="G51" s="1228" t="n"/>
      <c r="H51" s="156" t="n"/>
      <c r="I51" s="1228" t="n"/>
    </row>
    <row r="52" ht="15.75" customHeight="1">
      <c r="A52" s="1187" t="n">
        <v>3391</v>
      </c>
      <c r="B52" s="1220" t="inlineStr">
        <is>
          <t>SMS CHARGES INCOME RECEIVED</t>
        </is>
      </c>
      <c r="C52" s="1536" t="n"/>
      <c r="D52" s="1497">
        <f>+C52*9%</f>
        <v/>
      </c>
      <c r="E52" s="1497">
        <f>+D52</f>
        <v/>
      </c>
      <c r="F52" s="1497">
        <f>IF(D52&gt;0," ",C52*18%)</f>
        <v/>
      </c>
      <c r="G52" s="1228" t="n"/>
      <c r="H52" s="156" t="n"/>
      <c r="I52" s="1228" t="n"/>
    </row>
    <row r="53" ht="15.75" customHeight="1">
      <c r="A53" s="1187" t="n">
        <v>3359</v>
      </c>
      <c r="B53" s="1220" t="inlineStr">
        <is>
          <t>COMMITMENT CHARGES</t>
        </is>
      </c>
      <c r="C53" s="1496" t="n"/>
      <c r="D53" s="1497">
        <f>+C53*9%</f>
        <v/>
      </c>
      <c r="E53" s="1497">
        <f>+D53</f>
        <v/>
      </c>
      <c r="F53" s="1497" t="n"/>
      <c r="G53" s="1228" t="n"/>
      <c r="H53" s="156" t="n"/>
      <c r="I53" s="1228" t="n"/>
    </row>
    <row r="54" ht="15.75" customHeight="1">
      <c r="A54" s="1187" t="n">
        <v>3825</v>
      </c>
      <c r="B54" s="1220" t="inlineStr">
        <is>
          <t>EXTERNAL AUDIT FEES</t>
        </is>
      </c>
      <c r="C54" s="1496" t="n"/>
      <c r="D54" s="1497">
        <f>+C54*9%</f>
        <v/>
      </c>
      <c r="E54" s="1497">
        <f>+D54</f>
        <v/>
      </c>
      <c r="F54" s="1497" t="n"/>
      <c r="G54" s="1228" t="n"/>
      <c r="H54" s="156" t="n"/>
      <c r="I54" s="1228" t="n"/>
    </row>
    <row r="55" ht="15.75" customHeight="1">
      <c r="A55" s="1187" t="n">
        <v>3362</v>
      </c>
      <c r="B55" s="1220" t="inlineStr">
        <is>
          <t>FORECLOSURE CHARGES</t>
        </is>
      </c>
      <c r="C55" s="1496" t="n"/>
      <c r="D55" s="1497" t="n"/>
      <c r="E55" s="1497" t="n"/>
      <c r="F55" s="1497" t="n"/>
      <c r="G55" s="1228" t="n"/>
      <c r="H55" s="156" t="n"/>
      <c r="I55" s="1228" t="n"/>
    </row>
    <row r="56" ht="15.75" customHeight="1">
      <c r="A56" s="1187" t="n">
        <v>3340</v>
      </c>
      <c r="B56" s="1220" t="inlineStr">
        <is>
          <t>LOAN PROCESSING FEES</t>
        </is>
      </c>
      <c r="C56" s="1496" t="n"/>
      <c r="D56" s="1497">
        <f>+C56*9%</f>
        <v/>
      </c>
      <c r="E56" s="1497">
        <f>+D56</f>
        <v/>
      </c>
      <c r="F56" s="1497">
        <f>IF(D56&gt;0," ",C56*18%)</f>
        <v/>
      </c>
      <c r="G56" s="1228" t="n"/>
      <c r="H56" s="156" t="n"/>
      <c r="I56" s="1228" t="n"/>
    </row>
    <row r="57" ht="15.75" customHeight="1">
      <c r="A57" s="15" t="inlineStr">
        <is>
          <t>GL</t>
        </is>
      </c>
      <c r="B57" s="1220" t="n"/>
      <c r="C57" s="1496" t="n"/>
      <c r="D57" s="1497" t="n"/>
      <c r="E57" s="1497" t="n"/>
      <c r="F57" s="1497" t="n"/>
      <c r="G57" s="1228" t="n"/>
      <c r="H57" s="156" t="n"/>
      <c r="I57" s="1228" t="n"/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496" t="n"/>
      <c r="D58" s="1497">
        <f>+C58*9%</f>
        <v/>
      </c>
      <c r="E58" s="1497">
        <f>+D58</f>
        <v/>
      </c>
      <c r="F58" s="1497">
        <f>IF(D58&gt;0," ",C58*18%)</f>
        <v/>
      </c>
      <c r="G58" s="1228" t="n"/>
      <c r="H58" s="156" t="n"/>
      <c r="I58" s="1228" t="n"/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36" t="n"/>
      <c r="D59" s="1497">
        <f>+C59*9%</f>
        <v/>
      </c>
      <c r="E59" s="1497">
        <f>+D59</f>
        <v/>
      </c>
      <c r="F59" s="1497">
        <f>IF(D59&gt;0," ",C59*18%)</f>
        <v/>
      </c>
      <c r="G59" s="1228" t="n"/>
      <c r="H59" s="156" t="n"/>
      <c r="I59" s="1228" t="n"/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496" t="n"/>
      <c r="D60" s="1497" t="n"/>
      <c r="E60" s="1497" t="n"/>
      <c r="F60" s="1497" t="n"/>
      <c r="G60" s="1228" t="n"/>
      <c r="H60" s="156" t="n"/>
      <c r="I60" s="1228" t="n"/>
    </row>
    <row r="61" ht="15.75" customHeight="1">
      <c r="A61" s="435" t="n"/>
      <c r="B61" s="433" t="inlineStr">
        <is>
          <t>SALE OF ASSET ( CASH COUNTING MACHINE)</t>
        </is>
      </c>
      <c r="C61" s="1496" t="n"/>
      <c r="D61" s="1500" t="n"/>
      <c r="E61" s="1500" t="n"/>
      <c r="F61" s="1500" t="n"/>
      <c r="G61" s="1228" t="n"/>
      <c r="H61" s="156" t="n"/>
      <c r="I61" s="1228" t="n"/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+SUM(G9:G61)</f>
        <v/>
      </c>
      <c r="H62" s="1501">
        <f>SUM(H9:H59)</f>
        <v/>
      </c>
      <c r="I62" s="1501" t="n"/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/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503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  <c r="G67" s="1499" t="n"/>
    </row>
    <row r="68" ht="15" customHeight="1">
      <c r="A68" s="29" t="inlineStr">
        <is>
          <t>(1) INCOME</t>
        </is>
      </c>
      <c r="B68" s="29" t="n"/>
      <c r="C68" s="3" t="n"/>
      <c r="D68" s="3" t="inlineStr">
        <is>
          <t xml:space="preserve"> </t>
        </is>
      </c>
      <c r="E68" s="3" t="n"/>
      <c r="F68" s="3" t="n"/>
    </row>
    <row r="69" ht="15" customHeight="1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+C72*0.09</f>
        <v/>
      </c>
      <c r="F72" s="105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>
        <v>37918.81</v>
      </c>
      <c r="E74" s="108">
        <f>+D74</f>
        <v/>
      </c>
      <c r="F74" s="108" t="n">
        <v>0</v>
      </c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IF(F71&gt;F74,F71,F74)</f>
        <v/>
      </c>
      <c r="G75" s="1084">
        <f>-D75/9*100</f>
        <v/>
      </c>
      <c r="H75" s="32">
        <f>+G75*9%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5841</v>
      </c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  <c r="J81" s="32" t="n"/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+C91</f>
        <v/>
      </c>
      <c r="E82" s="105">
        <f>+D91</f>
        <v/>
      </c>
      <c r="F82" s="1529">
        <f>+E91</f>
        <v/>
      </c>
      <c r="G82" s="32">
        <f>+D82/2</f>
        <v/>
      </c>
      <c r="H82" s="32">
        <f>+E82/2</f>
        <v/>
      </c>
      <c r="I82" s="32">
        <f>+F82/2</f>
        <v/>
      </c>
      <c r="J82" s="32" t="n"/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+D83/2</f>
        <v/>
      </c>
      <c r="H83" s="32">
        <f>+E83/2</f>
        <v/>
      </c>
      <c r="I83" s="32">
        <f>+F83/2</f>
        <v/>
      </c>
      <c r="J83" s="32" t="n"/>
    </row>
    <row r="84">
      <c r="A84" s="420" t="n"/>
      <c r="B84" s="420" t="n"/>
      <c r="C84" s="420" t="n"/>
      <c r="D84" s="420" t="n"/>
      <c r="E84" s="420" t="n"/>
      <c r="F84" s="420" t="n"/>
    </row>
    <row r="85">
      <c r="A85" s="402" t="n"/>
      <c r="B85" s="402" t="n"/>
      <c r="C85" s="402" t="n"/>
      <c r="D85" s="402" t="n"/>
      <c r="E85" s="402" t="n"/>
      <c r="F85" s="402" t="n"/>
      <c r="G85" s="1518" t="n"/>
    </row>
    <row r="86" ht="15.75" customHeight="1">
      <c r="B86" s="172" t="inlineStr">
        <is>
          <t>INELIBILBLE CREDIT</t>
        </is>
      </c>
      <c r="C86" s="173" t="n"/>
      <c r="D86" s="173" t="n"/>
      <c r="E86" s="173" t="n"/>
      <c r="F86" s="136" t="n"/>
    </row>
    <row r="87">
      <c r="B87" s="419" t="inlineStr">
        <is>
          <t>PARTY NAME</t>
        </is>
      </c>
      <c r="C87" s="1233" t="inlineStr">
        <is>
          <t>SGST</t>
        </is>
      </c>
      <c r="D87" s="1233" t="inlineStr">
        <is>
          <t>CGST</t>
        </is>
      </c>
      <c r="E87" s="1234" t="inlineStr">
        <is>
          <t>IGST</t>
        </is>
      </c>
    </row>
    <row r="88">
      <c r="B88" s="485" t="inlineStr">
        <is>
          <t>BSNL</t>
        </is>
      </c>
      <c r="C88" s="1228" t="n">
        <v>0</v>
      </c>
      <c r="D88" s="1228">
        <f>+C88</f>
        <v/>
      </c>
      <c r="E88" s="1228" t="n"/>
    </row>
    <row r="89">
      <c r="B89" s="1228" t="inlineStr">
        <is>
          <t>ROHAN AGENCY</t>
        </is>
      </c>
      <c r="C89" t="n">
        <v>0</v>
      </c>
      <c r="D89" s="1228">
        <f>+C89</f>
        <v/>
      </c>
      <c r="E89" s="1228" t="n"/>
    </row>
    <row r="90">
      <c r="B90" s="483" t="n"/>
      <c r="C90" s="484" t="n"/>
      <c r="D90" s="484" t="n"/>
      <c r="E90" s="484" t="n"/>
    </row>
    <row r="91">
      <c r="B91" s="478" t="inlineStr">
        <is>
          <t>TOTAL</t>
        </is>
      </c>
      <c r="C91" s="169">
        <f>SUM(C88:C90)</f>
        <v/>
      </c>
      <c r="D91" s="169">
        <f>SUM(D88:D90)</f>
        <v/>
      </c>
      <c r="E91" s="170">
        <f>SUM(E90:E90)</f>
        <v/>
      </c>
    </row>
    <row r="92">
      <c r="B92" s="1086" t="n"/>
      <c r="C92" s="1087" t="n"/>
      <c r="D92" s="1087" t="n"/>
      <c r="E92" s="1088" t="n"/>
    </row>
    <row r="93" ht="15.75" customHeight="1" thickBot="1">
      <c r="C93" s="110" t="n"/>
      <c r="D93" s="110" t="n"/>
    </row>
    <row r="94">
      <c r="A94" s="1540" t="inlineStr">
        <is>
          <t>Note-1: The difference of Rs. 2128.50/- which is shown the GL 1878 &amp; 1879. There is 50% SETOFF 08/26 TRF EXP on 29/09/2026.</t>
        </is>
      </c>
      <c r="B94" s="1522" t="n"/>
      <c r="C94" s="1522" t="n"/>
      <c r="D94" s="1522" t="n"/>
      <c r="E94" s="1522" t="n"/>
      <c r="F94" s="1523" t="n"/>
    </row>
    <row r="95" ht="15.75" customHeight="1" thickBot="1">
      <c r="A95" s="1524" t="n"/>
      <c r="B95" s="1525" t="n"/>
      <c r="C95" s="1525" t="n"/>
      <c r="D95" s="1525" t="n"/>
      <c r="E95" s="1525" t="n"/>
      <c r="F95" s="1526" t="n"/>
    </row>
    <row r="96">
      <c r="A96" s="692" t="n"/>
      <c r="B96" s="692" t="n"/>
      <c r="C96" s="692" t="n"/>
      <c r="D96" s="692" t="n"/>
      <c r="E96" s="692" t="n"/>
      <c r="F96" s="692" t="n"/>
    </row>
  </sheetData>
  <mergeCells count="30">
    <mergeCell ref="A80:C80"/>
    <mergeCell ref="A66:F66"/>
    <mergeCell ref="A75:C75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A94:F9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J37:L37"/>
    <mergeCell ref="A1:F1"/>
    <mergeCell ref="D69:D70"/>
    <mergeCell ref="B7:B8"/>
    <mergeCell ref="F78:F79"/>
    <mergeCell ref="F69:F70"/>
    <mergeCell ref="F7:F8"/>
  </mergeCells>
  <conditionalFormatting sqref="A22:B34 G84:XFD85">
    <cfRule type="containsText" priority="35" operator="containsText" dxfId="0" text="LESS COLLECTED">
      <formula>NOT(ISERROR(SEARCH("LESS COLLECTED",A22)))</formula>
    </cfRule>
  </conditionalFormatting>
  <conditionalFormatting sqref="A28:B32">
    <cfRule type="containsText" priority="34" operator="containsText" dxfId="1" text="EXCESS COLLECTED">
      <formula>NOT(ISERROR(SEARCH("EXCESS COLLECTED",A28)))</formula>
    </cfRule>
  </conditionalFormatting>
  <conditionalFormatting sqref="A35:B52 A53 A54:B56">
    <cfRule type="containsText" priority="6" operator="containsText" dxfId="0" text="LESS COLLECTED">
      <formula>NOT(ISERROR(SEARCH("LESS COLLECTED",A35)))</formula>
    </cfRule>
  </conditionalFormatting>
  <conditionalFormatting sqref="A47:B52 A53 A54:B56">
    <cfRule type="containsText" priority="5" operator="containsText" dxfId="1" text="EXCESS COLLECTED">
      <formula>NOT(ISERROR(SEARCH("EXCESS COLLECTED",A47)))</formula>
    </cfRule>
  </conditionalFormatting>
  <conditionalFormatting sqref="A57:B61 A88:A89 F88:XFD89">
    <cfRule type="containsText" priority="39" operator="containsText" dxfId="0" text="LESS COLLECTED">
      <formula>NOT(ISERROR(SEARCH("LESS COLLECTED",A57)))</formula>
    </cfRule>
  </conditionalFormatting>
  <conditionalFormatting sqref="A1:XFD3 A4 A5:XFD6 A7:F8 A62:I62 A63:XFD64 A66:XFD73 A75:XFD79 A80:F80 A81:XFD83 A84 A94 A99:XFD1048576 G4:XFD4 G7:I7 G9:I61 G94:XFD98 H74:XFD74 H80:XFD80">
    <cfRule type="containsText" priority="210" operator="containsText" dxfId="0" text="LESS COLLECTED">
      <formula>NOT(ISERROR(SEARCH("LESS COLLECTED",A1)))</formula>
    </cfRule>
  </conditionalFormatting>
  <conditionalFormatting sqref="A65:XFD65">
    <cfRule type="containsText" priority="13" operator="containsText" dxfId="0" text="LESS COLLECTED">
      <formula>NOT(ISERROR(SEARCH("LESS COLLECTED",A65)))</formula>
    </cfRule>
  </conditionalFormatting>
  <conditionalFormatting sqref="B61">
    <cfRule type="containsText" priority="38" operator="containsText" dxfId="1" text="EXCESS COLLECTED">
      <formula>NOT(ISERROR(SEARCH("EXCESS COLLECTED",B61)))</formula>
    </cfRule>
  </conditionalFormatting>
  <conditionalFormatting sqref="C9:C56">
    <cfRule type="containsText" priority="8" operator="containsText" dxfId="0" text="LESS COLLECTED">
      <formula>NOT(ISERROR(SEARCH("LESS COLLECTED",C9)))</formula>
    </cfRule>
  </conditionalFormatting>
  <conditionalFormatting sqref="C59">
    <cfRule type="containsText" priority="4" operator="containsText" dxfId="0" text="LESS COLLECTED">
      <formula>NOT(ISERROR(SEARCH("LESS COLLECTED",C59)))</formula>
    </cfRule>
  </conditionalFormatting>
  <conditionalFormatting sqref="A72:F73 B64 B86 B87:D87 B90:D93 C91:E92 D7:F8 D69:E70">
    <cfRule type="containsText" priority="198" operator="containsText" dxfId="1" text="EXCESS COLLECTED">
      <formula>NOT(ISERROR(SEARCH("EXCESS COLLECTED",A7)))</formula>
    </cfRule>
  </conditionalFormatting>
  <conditionalFormatting sqref="A72:F74 A87:XFD87 A90:XFD93 B64 B86:XFD86 D7:F34 D69:E70">
    <cfRule type="containsText" priority="199" operator="containsText" dxfId="0" text="LESS COLLECTED">
      <formula>NOT(ISERROR(SEARCH("LESS COLLECTED",A7)))</formula>
    </cfRule>
  </conditionalFormatting>
  <conditionalFormatting sqref="D35:F56">
    <cfRule type="containsText" priority="10" operator="containsText" dxfId="0" text="LESS COLLECTED">
      <formula>NOT(ISERROR(SEARCH("LESS COLLECTED",D35)))</formula>
    </cfRule>
  </conditionalFormatting>
  <conditionalFormatting sqref="D48:F56">
    <cfRule type="containsText" priority="7" operator="containsText" dxfId="1" text="EXCESS COLLECTED">
      <formula>NOT(ISERROR(SEARCH("EXCESS COLLECTED",D48)))</formula>
    </cfRule>
  </conditionalFormatting>
  <conditionalFormatting sqref="G65">
    <cfRule type="containsText" priority="12" operator="containsText" dxfId="1" text="EXCESS COLLECTED">
      <formula>NOT(ISERROR(SEARCH("EXCESS COLLECTED",G65)))</formula>
    </cfRule>
  </conditionalFormatting>
  <conditionalFormatting sqref="A9:B21 J7:XFD36 J37 J39:XFD62 K38:XFD38 M37:XFD37">
    <cfRule type="containsText" priority="27" operator="containsText" dxfId="0" text="LESS COLLECTED">
      <formula>NOT(ISERROR(SEARCH("LESS COLLECTED",A7)))</formula>
    </cfRule>
  </conditionalFormatting>
  <conditionalFormatting sqref="B53">
    <cfRule type="containsText" priority="1" operator="containsText" dxfId="1" text="EXCESS COLLECTED">
      <formula>NOT(ISERROR(SEARCH("EXCESS COLLECTED",B53)))</formula>
    </cfRule>
    <cfRule type="containsText" priority="2" operator="containsText" dxfId="0" text="LESS COLLECTED">
      <formula>NOT(ISERROR(SEARCH("LESS COLLECTED",B53)))</formula>
    </cfRule>
  </conditionalFormatting>
  <pageMargins left="0.905511811" right="0.868110236" top="0" bottom="0" header="0.31496062992126" footer="0.31496062992126"/>
  <pageSetup orientation="portrait" paperSize="9" scale="56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O95"/>
  <sheetViews>
    <sheetView topLeftCell="A79" workbookViewId="0">
      <selection activeCell="H95" sqref="H95"/>
    </sheetView>
  </sheetViews>
  <sheetFormatPr baseColWidth="8" defaultColWidth="9.140625" defaultRowHeight="15"/>
  <cols>
    <col width="11.42578125" customWidth="1" style="1084" min="1" max="1"/>
    <col width="41.28515625" customWidth="1" style="1084" min="2" max="2"/>
    <col width="15.7109375" bestFit="1" customWidth="1" style="1084" min="3" max="3"/>
    <col width="17.28515625" bestFit="1" customWidth="1" style="1084" min="4" max="4"/>
    <col width="16.5703125" bestFit="1" customWidth="1" style="1084" min="5" max="5"/>
    <col width="11.42578125" customWidth="1" style="1084" min="6" max="6"/>
    <col width="20.28515625" bestFit="1" customWidth="1" style="1084" min="7" max="7"/>
    <col width="11.85546875" bestFit="1" customWidth="1" style="32" min="8" max="8"/>
    <col width="6.85546875" bestFit="1" customWidth="1" style="1084" min="9" max="9"/>
    <col width="9.140625" customWidth="1" style="1084" min="10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SHANTI COMMERCIAL BRANCH</t>
        </is>
      </c>
    </row>
    <row r="4" ht="15.75" customHeight="1">
      <c r="A4" s="1214" t="inlineStr">
        <is>
          <t>BRANCH CODE: 04</t>
        </is>
      </c>
    </row>
    <row r="5" ht="15.75" customHeight="1">
      <c r="A5" s="1210">
        <f>+MANINAGAR!A5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496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228" t="n"/>
      <c r="J9" s="1541" t="n"/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496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228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496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228" t="n"/>
    </row>
    <row r="12" ht="15.75" customHeight="1">
      <c r="A12" s="561" t="inlineStr">
        <is>
          <t>3220</t>
        </is>
      </c>
      <c r="B12" s="1220" t="inlineStr">
        <is>
          <t>COMMISION ON U.B.D.</t>
        </is>
      </c>
      <c r="C12" s="1496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228" t="n"/>
    </row>
    <row r="13" ht="15.75" customHeight="1">
      <c r="A13" s="562" t="inlineStr">
        <is>
          <t>3225</t>
        </is>
      </c>
      <c r="B13" s="1220" t="inlineStr">
        <is>
          <t>COMMISION I.B.C.</t>
        </is>
      </c>
      <c r="C13" s="1496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228" t="n"/>
    </row>
    <row r="14" ht="15.75" customHeight="1">
      <c r="A14" s="562" t="inlineStr">
        <is>
          <t>3230</t>
        </is>
      </c>
      <c r="B14" s="1220" t="inlineStr">
        <is>
          <t>COMMISION ON GUARANTEE</t>
        </is>
      </c>
      <c r="C14" s="1496" t="n"/>
      <c r="D14" s="1531">
        <f>+C14*9%</f>
        <v/>
      </c>
      <c r="E14" s="1531">
        <f>+D14</f>
        <v/>
      </c>
      <c r="F14" s="1497" t="n">
        <v>0</v>
      </c>
      <c r="G14" s="1510" t="n"/>
      <c r="H14" s="1510" t="n"/>
      <c r="I14" s="1228" t="n"/>
      <c r="J14" s="73" t="n"/>
    </row>
    <row r="15" ht="15.75" customHeight="1">
      <c r="A15" s="561" t="n">
        <v>3235</v>
      </c>
      <c r="B15" s="1220" t="inlineStr">
        <is>
          <t>COMMISION ON DEMAND DRAFT</t>
        </is>
      </c>
      <c r="C15" s="1496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228" t="n"/>
    </row>
    <row r="16" ht="15.75" customHeight="1">
      <c r="A16" s="561" t="inlineStr">
        <is>
          <t>3240</t>
        </is>
      </c>
      <c r="B16" s="1220" t="inlineStr">
        <is>
          <t>COMMISION ON U.B.C.</t>
        </is>
      </c>
      <c r="C16" s="1496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228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496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228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496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228" t="n"/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496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  <c r="I19" s="1228" t="n"/>
    </row>
    <row r="20" ht="15.75" customHeight="1">
      <c r="A20" s="13" t="n">
        <v>3271</v>
      </c>
      <c r="B20" s="1220" t="inlineStr">
        <is>
          <t>RENEWAL FEES</t>
        </is>
      </c>
      <c r="C20" s="1496" t="n"/>
      <c r="D20" s="1497">
        <f>+C20*9%</f>
        <v/>
      </c>
      <c r="E20" s="1497">
        <f>+D20</f>
        <v/>
      </c>
      <c r="F20" s="1497">
        <f>IF(D20&gt;0," ",C20*18%)</f>
        <v/>
      </c>
      <c r="G20" s="1510" t="n"/>
      <c r="H20" s="1510" t="n"/>
      <c r="I20" s="1228" t="n"/>
    </row>
    <row r="21" ht="15.75" customHeight="1">
      <c r="A21" s="13" t="n">
        <v>3274</v>
      </c>
      <c r="B21" s="1220" t="inlineStr">
        <is>
          <t>INCOME FROM E-STAMPING</t>
        </is>
      </c>
      <c r="C21" s="1496" t="n"/>
      <c r="D21" s="1497">
        <f>+C21*9%</f>
        <v/>
      </c>
      <c r="E21" s="1497">
        <f>+D21</f>
        <v/>
      </c>
      <c r="F21" s="1497">
        <f>IF(D21&gt;0," ",C21*18%)</f>
        <v/>
      </c>
      <c r="G21" s="1510" t="n"/>
      <c r="H21" s="1510" t="n"/>
      <c r="I21" s="1228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496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228" t="n"/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496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228" t="n"/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496" t="n"/>
      <c r="D24" s="1497">
        <f>+C24*9%</f>
        <v/>
      </c>
      <c r="E24" s="1497">
        <f>+D24</f>
        <v/>
      </c>
      <c r="F24" s="1497" t="n">
        <v>0</v>
      </c>
      <c r="G24" s="1510" t="n"/>
      <c r="H24" s="1510" t="n"/>
      <c r="I24" s="1228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496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228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496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228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496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228" t="n"/>
    </row>
    <row r="28" ht="15.75" customHeight="1">
      <c r="A28" s="137" t="inlineStr">
        <is>
          <t>3291</t>
        </is>
      </c>
      <c r="B28" s="1220" t="inlineStr">
        <is>
          <t>CIBIL CHARGES</t>
        </is>
      </c>
      <c r="C28" s="1496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228" t="n"/>
    </row>
    <row r="29" ht="15.75" customHeight="1">
      <c r="A29" s="137" t="inlineStr">
        <is>
          <t>3296</t>
        </is>
      </c>
      <c r="B29" s="1220" t="inlineStr">
        <is>
          <t>RTGS/NEFT MANUAL CHARGES</t>
        </is>
      </c>
      <c r="C29" s="1496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228" t="n"/>
    </row>
    <row r="30" ht="15.75" customHeight="1">
      <c r="A30" s="137" t="inlineStr">
        <is>
          <t>3297</t>
        </is>
      </c>
      <c r="B30" s="1220" t="inlineStr">
        <is>
          <t>ASBA FORM PRINT CHARGES</t>
        </is>
      </c>
      <c r="C30" s="1496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228" t="n"/>
    </row>
    <row r="31" ht="15.75" customHeight="1">
      <c r="A31" s="137" t="inlineStr">
        <is>
          <t>3298</t>
        </is>
      </c>
      <c r="B31" s="1220" t="inlineStr">
        <is>
          <t>MANDATE HANDLING CHARGES</t>
        </is>
      </c>
      <c r="C31" s="1496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228" t="n"/>
    </row>
    <row r="32" ht="15.75" customHeight="1">
      <c r="A32" s="137" t="inlineStr">
        <is>
          <t>3299</t>
        </is>
      </c>
      <c r="B32" s="1220" t="inlineStr">
        <is>
          <t>SI  EXECUTION  FAILED CHARGES</t>
        </is>
      </c>
      <c r="C32" s="1496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228" t="n"/>
    </row>
    <row r="33" ht="15.75" customHeight="1">
      <c r="A33" s="1187" t="n">
        <v>3300</v>
      </c>
      <c r="B33" s="1220" t="inlineStr">
        <is>
          <t>INCIDENTAL CHARGES</t>
        </is>
      </c>
      <c r="C33" s="1496" t="n"/>
      <c r="D33" s="1497">
        <f>+C33*9%</f>
        <v/>
      </c>
      <c r="E33" s="1497">
        <f>+D33</f>
        <v/>
      </c>
      <c r="F33" s="1497" t="n">
        <v>0</v>
      </c>
      <c r="G33" s="1510" t="n"/>
      <c r="H33" s="1510" t="n"/>
      <c r="I33" s="1228" t="n"/>
    </row>
    <row r="34" ht="15.75" customHeight="1">
      <c r="A34" s="1187" t="inlineStr">
        <is>
          <t>3301</t>
        </is>
      </c>
      <c r="B34" s="1220" t="inlineStr">
        <is>
          <t>INOPERATIVE CHARGES</t>
        </is>
      </c>
      <c r="C34" s="1496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228" t="n"/>
    </row>
    <row r="35" ht="15.75" customHeight="1">
      <c r="A35" s="1187" t="n">
        <v>3302</v>
      </c>
      <c r="B35" s="1220" t="inlineStr">
        <is>
          <t>PO CANCEL CHARGES</t>
        </is>
      </c>
      <c r="C35" s="1496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228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496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228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496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228" t="n"/>
    </row>
    <row r="38" ht="15.75" customHeight="1">
      <c r="A38" s="13" t="n">
        <v>3310</v>
      </c>
      <c r="B38" s="1220" t="inlineStr">
        <is>
          <t>MIS. INCOME</t>
        </is>
      </c>
      <c r="C38" s="1496" t="n"/>
      <c r="D38" s="1497">
        <f>+C38*9%</f>
        <v/>
      </c>
      <c r="E38" s="1497">
        <f>+D38</f>
        <v/>
      </c>
      <c r="F38" s="1497">
        <f>IF(D38&gt;0," ",C38*18%)</f>
        <v/>
      </c>
      <c r="G38" s="1510" t="n"/>
      <c r="H38" s="1510" t="n"/>
      <c r="I38" s="1228" t="n"/>
    </row>
    <row r="39" ht="15.75" customHeight="1">
      <c r="A39" s="13" t="n">
        <v>3311</v>
      </c>
      <c r="B39" s="1220" t="inlineStr">
        <is>
          <t>I/W CHQ. RET. CHARGES</t>
        </is>
      </c>
      <c r="C39" s="1496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  <c r="I39" s="1228" t="n"/>
    </row>
    <row r="40" ht="15.75" customHeight="1">
      <c r="A40" s="13" t="n">
        <v>3312</v>
      </c>
      <c r="B40" s="1220" t="inlineStr">
        <is>
          <t>O/W CHQ. RET. CHARGES</t>
        </is>
      </c>
      <c r="C40" s="1496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228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496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228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496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228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496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228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496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228" t="n"/>
    </row>
    <row r="45" ht="15.75" customHeight="1">
      <c r="A45" s="1187" t="n">
        <v>3317</v>
      </c>
      <c r="B45" s="1220" t="inlineStr">
        <is>
          <t>THE P&amp;T CHARGES FOR LC/BG</t>
        </is>
      </c>
      <c r="C45" s="1496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228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496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228" t="n"/>
    </row>
    <row r="47" ht="15.75" customHeight="1">
      <c r="A47" s="1187" t="n">
        <v>3320</v>
      </c>
      <c r="B47" s="1220" t="inlineStr">
        <is>
          <t>RENT ON LOCKER</t>
        </is>
      </c>
      <c r="C47" s="1496" t="n"/>
      <c r="D47" s="1497">
        <f>+C47*9%</f>
        <v/>
      </c>
      <c r="E47" s="1497">
        <f>+D47</f>
        <v/>
      </c>
      <c r="F47" s="1497">
        <f>IF(D47&gt;0," ",C47*18%)</f>
        <v/>
      </c>
      <c r="G47" s="1510" t="n"/>
      <c r="H47" s="1510" t="n"/>
      <c r="I47" s="1228" t="n"/>
    </row>
    <row r="48" ht="15.75" customHeight="1">
      <c r="A48" s="1187" t="n">
        <v>3321</v>
      </c>
      <c r="B48" s="1220" t="inlineStr">
        <is>
          <t>ADHOC LIMIT CHARGES</t>
        </is>
      </c>
      <c r="C48" s="1496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228" t="n"/>
    </row>
    <row r="49" ht="15.75" customHeight="1">
      <c r="A49" s="1187" t="n">
        <v>3322</v>
      </c>
      <c r="B49" s="1220" t="inlineStr">
        <is>
          <t>INCOME FROM SALE OF OLD NEWS PAPERS</t>
        </is>
      </c>
      <c r="C49" s="1496" t="n"/>
      <c r="D49" s="1497">
        <f>+C49*5%</f>
        <v/>
      </c>
      <c r="E49" s="1497">
        <f>+D49</f>
        <v/>
      </c>
      <c r="F49" s="1497" t="n"/>
      <c r="G49" s="1510" t="n"/>
      <c r="H49" s="1510" t="n"/>
      <c r="I49" s="1228" t="n"/>
    </row>
    <row r="50" ht="15.75" customHeight="1">
      <c r="A50" s="1187" t="n">
        <v>3324</v>
      </c>
      <c r="B50" s="1220" t="inlineStr">
        <is>
          <t>PENALTY ON OVERDUE LOCKER RENT</t>
        </is>
      </c>
      <c r="C50" s="1496" t="n"/>
      <c r="D50" s="1497">
        <f>+C50*5%</f>
        <v/>
      </c>
      <c r="E50" s="1497">
        <f>+D50</f>
        <v/>
      </c>
      <c r="F50" s="1497" t="n"/>
      <c r="G50" s="1510" t="n"/>
      <c r="H50" s="1510" t="n"/>
      <c r="I50" s="1228" t="n"/>
    </row>
    <row r="51" ht="15.75" customHeight="1">
      <c r="A51" s="161" t="n">
        <v>3325</v>
      </c>
      <c r="B51" s="1220" t="inlineStr">
        <is>
          <t>MICR CHARGES</t>
        </is>
      </c>
      <c r="C51" s="1496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228" t="n"/>
    </row>
    <row r="52" ht="15.75" customHeight="1">
      <c r="A52" s="1187" t="n">
        <v>3391</v>
      </c>
      <c r="B52" s="1220" t="inlineStr">
        <is>
          <t>SMS CHARGES INCOME RECEIVED</t>
        </is>
      </c>
      <c r="C52" s="1496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  <c r="I52" s="1228" t="n"/>
    </row>
    <row r="53" ht="15.75" customHeight="1">
      <c r="A53" s="1187" t="n">
        <v>3359</v>
      </c>
      <c r="B53" s="1220" t="inlineStr">
        <is>
          <t>COMMITMENT CHARGES</t>
        </is>
      </c>
      <c r="C53" s="1496" t="n"/>
      <c r="D53" s="1497">
        <f>+C53*9%</f>
        <v/>
      </c>
      <c r="E53" s="1497">
        <f>+D53</f>
        <v/>
      </c>
      <c r="F53" s="1497" t="n"/>
      <c r="G53" s="1510" t="n"/>
      <c r="H53" s="1510" t="n"/>
      <c r="I53" s="1228" t="n"/>
    </row>
    <row r="54" ht="15.75" customHeight="1">
      <c r="A54" s="1187" t="n">
        <v>3825</v>
      </c>
      <c r="B54" s="1220" t="inlineStr">
        <is>
          <t>EXTERNAL AUDIT FEES</t>
        </is>
      </c>
      <c r="C54" s="1496" t="n"/>
      <c r="D54" s="1497" t="n"/>
      <c r="E54" s="1497" t="n"/>
      <c r="F54" s="1497" t="n"/>
      <c r="G54" s="1510" t="n"/>
      <c r="H54" s="1510" t="n"/>
      <c r="I54" s="1228" t="n"/>
    </row>
    <row r="55" ht="15.75" customHeight="1">
      <c r="A55" s="1187" t="n">
        <v>3362</v>
      </c>
      <c r="B55" s="1220" t="inlineStr">
        <is>
          <t>FORECLOSURE CHARGES</t>
        </is>
      </c>
      <c r="C55" s="1496" t="n"/>
      <c r="D55" s="1497" t="n"/>
      <c r="E55" s="1497" t="n"/>
      <c r="F55" s="1497" t="n"/>
      <c r="G55" s="1510" t="n"/>
      <c r="H55" s="1510" t="n"/>
      <c r="I55" s="1228" t="n"/>
    </row>
    <row r="56" ht="15.75" customHeight="1">
      <c r="A56" s="1187" t="n">
        <v>3340</v>
      </c>
      <c r="B56" s="1220" t="inlineStr">
        <is>
          <t>LOAN PROCESSING FEES</t>
        </is>
      </c>
      <c r="C56" s="1496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228" t="n"/>
    </row>
    <row r="57" ht="15.75" customHeight="1">
      <c r="A57" s="15" t="inlineStr">
        <is>
          <t>GL</t>
        </is>
      </c>
      <c r="B57" s="1220" t="n"/>
      <c r="C57" s="1496" t="n"/>
      <c r="D57" s="1497" t="n"/>
      <c r="E57" s="1497" t="n"/>
      <c r="F57" s="1497" t="n"/>
      <c r="G57" s="1510" t="n"/>
      <c r="H57" s="1510" t="n"/>
      <c r="I57" s="1228" t="n"/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496" t="n"/>
      <c r="D58" s="1497">
        <f>+C58*9%</f>
        <v/>
      </c>
      <c r="E58" s="1497">
        <f>+D58</f>
        <v/>
      </c>
      <c r="F58" s="1497" t="n">
        <v>0</v>
      </c>
      <c r="G58" s="1510" t="n"/>
      <c r="H58" s="1510" t="n"/>
      <c r="I58" s="1228" t="n"/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496" t="n"/>
      <c r="D59" s="1497">
        <f>+C59*9%</f>
        <v/>
      </c>
      <c r="E59" s="1497">
        <f>+D59</f>
        <v/>
      </c>
      <c r="F59" s="1497">
        <f>IF(D59&gt;0," ",C59*18%)</f>
        <v/>
      </c>
      <c r="G59" s="1510" t="n"/>
      <c r="H59" s="1510" t="n"/>
      <c r="I59" s="1228" t="n"/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496" t="n"/>
      <c r="D60" s="1497" t="n"/>
      <c r="E60" s="1497" t="n"/>
      <c r="F60" s="1497" t="n"/>
      <c r="G60" s="1510" t="n"/>
      <c r="H60" s="1510" t="n"/>
      <c r="I60" s="1228" t="n"/>
    </row>
    <row r="61" ht="15.75" customHeight="1">
      <c r="A61" s="435" t="n"/>
      <c r="B61" s="433" t="inlineStr">
        <is>
          <t>SALE OF ASSET (CASH COUNTING MACHINE)</t>
        </is>
      </c>
      <c r="C61" s="1496" t="n"/>
      <c r="D61" s="1500">
        <f>+C61*0.09</f>
        <v/>
      </c>
      <c r="E61" s="1500">
        <f>+D61</f>
        <v/>
      </c>
      <c r="F61" s="1500" t="n"/>
      <c r="G61" s="1510" t="n"/>
      <c r="H61" s="1510" t="n"/>
      <c r="I61" s="1228" t="n"/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228">
        <f>+SUM(G9:G60)</f>
        <v/>
      </c>
      <c r="H62" s="1228">
        <f>+SUM(H9:H60)</f>
        <v/>
      </c>
      <c r="I62" s="1228">
        <f>+SUM(I9:I60)</f>
        <v/>
      </c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inlineStr">
        <is>
          <t xml:space="preserve"> </t>
        </is>
      </c>
      <c r="E68" s="3" t="n"/>
      <c r="F68" s="3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  <c r="G69" s="1499" t="n"/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779">
        <f>+G62</f>
        <v/>
      </c>
      <c r="D72" s="106">
        <f>+C72*0.09</f>
        <v/>
      </c>
      <c r="E72" s="106">
        <f>+C72*0.09</f>
        <v/>
      </c>
      <c r="F72" s="106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>
        <f>+F71+F72</f>
        <v/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+F73-F74</f>
        <v/>
      </c>
      <c r="G75" s="1084">
        <f>+D75/9*100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  <c r="G80" s="32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+C91</f>
        <v/>
      </c>
      <c r="E82" s="105">
        <f>+D82</f>
        <v/>
      </c>
      <c r="F82" s="152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6.5" customHeight="1" thickBo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4">
      <c r="A84" s="1542" t="n"/>
      <c r="B84" s="1522" t="n"/>
      <c r="C84" s="1522" t="n"/>
      <c r="D84" s="1522" t="n"/>
      <c r="E84" s="1522" t="n"/>
      <c r="F84" s="1523" t="n"/>
      <c r="G84" s="1543" t="n"/>
    </row>
    <row r="85" ht="15.75" customHeight="1" thickBot="1">
      <c r="A85" s="1524" t="n"/>
      <c r="B85" s="1525" t="n"/>
      <c r="C85" s="1525" t="n"/>
      <c r="D85" s="1525" t="n"/>
      <c r="E85" s="1525" t="n"/>
      <c r="F85" s="1526" t="n"/>
      <c r="G85" s="1544" t="n"/>
    </row>
    <row r="86" ht="15.75" customHeight="1" thickBot="1">
      <c r="B86" s="749" t="inlineStr">
        <is>
          <t>PARTY NAME</t>
        </is>
      </c>
      <c r="C86" s="1323" t="inlineStr">
        <is>
          <t>GGST</t>
        </is>
      </c>
      <c r="D86" s="1323" t="inlineStr">
        <is>
          <t>CGST</t>
        </is>
      </c>
      <c r="E86" s="750" t="inlineStr">
        <is>
          <t>IGST</t>
        </is>
      </c>
      <c r="G86" s="1543" t="n"/>
    </row>
    <row r="87">
      <c r="B87" s="227" t="inlineStr">
        <is>
          <t>BSNL</t>
        </is>
      </c>
      <c r="C87" s="228" t="n">
        <v>0</v>
      </c>
      <c r="D87" s="228">
        <f>+C87</f>
        <v/>
      </c>
      <c r="E87" s="220" t="n">
        <v>0</v>
      </c>
      <c r="G87" s="1543" t="n"/>
    </row>
    <row r="88">
      <c r="B88" s="743" t="inlineStr">
        <is>
          <t>ROHAN AGENCY</t>
        </is>
      </c>
      <c r="C88" s="1084" t="n">
        <v>0</v>
      </c>
      <c r="D88" s="1084">
        <f>+C88</f>
        <v/>
      </c>
      <c r="E88" s="226" t="n"/>
      <c r="G88" s="1543" t="n"/>
    </row>
    <row r="89">
      <c r="B89" s="215" t="inlineStr">
        <is>
          <t>BSNL</t>
        </is>
      </c>
      <c r="D89" s="1084">
        <f>+C89</f>
        <v/>
      </c>
      <c r="E89" s="226" t="n">
        <v>0</v>
      </c>
    </row>
    <row r="90" ht="15.75" customHeight="1" thickBot="1">
      <c r="B90" s="217" t="inlineStr">
        <is>
          <t>BSNL</t>
        </is>
      </c>
      <c r="D90" s="218">
        <f>+C90</f>
        <v/>
      </c>
      <c r="E90" s="219" t="n">
        <v>0</v>
      </c>
    </row>
    <row r="91" ht="15.75" customHeight="1" thickBot="1">
      <c r="A91" s="1084" t="inlineStr">
        <is>
          <t xml:space="preserve"> </t>
        </is>
      </c>
      <c r="B91" s="216" t="inlineStr">
        <is>
          <t>TOTAL</t>
        </is>
      </c>
      <c r="C91" s="229">
        <f>+SUM(C87:C90)</f>
        <v/>
      </c>
      <c r="D91" s="229">
        <f>+SUM(D87:D90)</f>
        <v/>
      </c>
      <c r="E91" s="421">
        <f>+SUM(E87:E90)</f>
        <v/>
      </c>
    </row>
    <row r="92">
      <c r="G92" s="135" t="n"/>
      <c r="O92" s="1084" t="inlineStr">
        <is>
          <t xml:space="preserve"> </t>
        </is>
      </c>
    </row>
    <row r="93" ht="15" customHeight="1" thickBot="1">
      <c r="A93" s="402" t="n"/>
      <c r="B93" s="402" t="n"/>
      <c r="C93" s="402" t="n"/>
      <c r="D93" s="402" t="n"/>
      <c r="E93" s="402" t="n"/>
      <c r="F93" s="402" t="n"/>
    </row>
    <row r="94" ht="15" customHeight="1">
      <c r="A94" s="1542" t="n"/>
      <c r="B94" s="1522" t="n"/>
      <c r="C94" s="1522" t="n"/>
      <c r="D94" s="1522" t="n"/>
      <c r="E94" s="1522" t="n"/>
      <c r="F94" s="1523" t="n"/>
    </row>
    <row r="95" ht="15.75" customHeight="1" thickBot="1">
      <c r="A95" s="1524" t="n"/>
      <c r="B95" s="1525" t="n"/>
      <c r="C95" s="1525" t="n"/>
      <c r="D95" s="1525" t="n"/>
      <c r="E95" s="1525" t="n"/>
      <c r="F95" s="1526" t="n"/>
    </row>
  </sheetData>
  <mergeCells count="30">
    <mergeCell ref="A80:C80"/>
    <mergeCell ref="A75:C75"/>
    <mergeCell ref="A66:F66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A94:F95"/>
    <mergeCell ref="D7:D8"/>
    <mergeCell ref="D78:D79"/>
    <mergeCell ref="H7:H8"/>
    <mergeCell ref="A4:F4"/>
    <mergeCell ref="A78:C79"/>
    <mergeCell ref="A84:F85"/>
    <mergeCell ref="A69:C70"/>
    <mergeCell ref="A81:C81"/>
    <mergeCell ref="E7:E8"/>
    <mergeCell ref="A83:C83"/>
    <mergeCell ref="A82:C82"/>
    <mergeCell ref="A1:F1"/>
    <mergeCell ref="F78:F79"/>
    <mergeCell ref="D69:D70"/>
    <mergeCell ref="B7:B8"/>
    <mergeCell ref="F69:F70"/>
    <mergeCell ref="F7:F8"/>
  </mergeCells>
  <conditionalFormatting sqref="A84">
    <cfRule type="containsText" priority="9" operator="containsText" dxfId="12" text="LESS COLLECTED">
      <formula>NOT(ISERROR(SEARCH("LESS COLLECTED",A84)))</formula>
    </cfRule>
    <cfRule type="containsText" priority="10" operator="containsText" dxfId="0" text="LESS COLLECTED">
      <formula>NOT(ISERROR(SEARCH("LESS COLLECTED",A84)))</formula>
    </cfRule>
  </conditionalFormatting>
  <conditionalFormatting sqref="A10:B21 G93:XFD96">
    <cfRule type="containsText" priority="44" operator="containsText" dxfId="0" text="LESS COLLECTED">
      <formula>NOT(ISERROR(SEARCH("LESS COLLECTED",A10)))</formula>
    </cfRule>
  </conditionalFormatting>
  <conditionalFormatting sqref="A22:B50">
    <cfRule type="containsText" priority="54" operator="containsText" dxfId="0" text="LESS COLLECTED">
      <formula>NOT(ISERROR(SEARCH("LESS COLLECTED",A22)))</formula>
    </cfRule>
  </conditionalFormatting>
  <conditionalFormatting sqref="A28:B32">
    <cfRule type="containsText" priority="53" operator="containsText" dxfId="1" text="EXCESS COLLECTED">
      <formula>NOT(ISERROR(SEARCH("EXCESS COLLECTED",A28)))</formula>
    </cfRule>
  </conditionalFormatting>
  <conditionalFormatting sqref="A47:B56">
    <cfRule type="containsText" priority="11" operator="containsText" dxfId="1" text="EXCESS COLLECTED">
      <formula>NOT(ISERROR(SEARCH("EXCESS COLLECTED",A47)))</formula>
    </cfRule>
  </conditionalFormatting>
  <conditionalFormatting sqref="A51:B56">
    <cfRule type="containsText" priority="12" operator="containsText" dxfId="0" text="LESS COLLECTED">
      <formula>NOT(ISERROR(SEARCH("LESS COLLECTED",A51)))</formula>
    </cfRule>
  </conditionalFormatting>
  <conditionalFormatting sqref="A57:B62">
    <cfRule type="containsText" priority="62" operator="containsText" dxfId="0" text="LESS COLLECTED">
      <formula>NOT(ISERROR(SEARCH("LESS COLLECTED",A57)))</formula>
    </cfRule>
  </conditionalFormatting>
  <conditionalFormatting sqref="A1:XFD6 A7:F9 A93 A98:XFD1048576 B97:XFD97 D38:F48 F28:F31 G76:XFD79 G81:XFD91 H80:XFD80 H92:XFD92 J7:XFD8">
    <cfRule type="containsText" priority="139" operator="containsText" dxfId="0" text="LESS COLLECTED">
      <formula>NOT(ISERROR(SEARCH("LESS COLLECTED",A1)))</formula>
    </cfRule>
  </conditionalFormatting>
  <conditionalFormatting sqref="A63:F65">
    <cfRule type="containsText" priority="74" operator="containsText" dxfId="0" text="LESS COLLECTED">
      <formula>NOT(ISERROR(SEARCH("LESS COLLECTED",A63)))</formula>
    </cfRule>
  </conditionalFormatting>
  <conditionalFormatting sqref="A71:F73">
    <cfRule type="containsText" priority="2" operator="containsText" dxfId="0" text="LESS COLLECTED">
      <formula>NOT(ISERROR(SEARCH("LESS COLLECTED",A71)))</formula>
    </cfRule>
  </conditionalFormatting>
  <conditionalFormatting sqref="A72:F73">
    <cfRule type="containsText" priority="1" operator="containsText" dxfId="1" text="EXCESS COLLECTED">
      <formula>NOT(ISERROR(SEARCH("EXCESS COLLECTED",A72)))</formula>
    </cfRule>
  </conditionalFormatting>
  <conditionalFormatting sqref="B61">
    <cfRule type="containsText" priority="61" operator="containsText" dxfId="1" text="EXCESS COLLECTED">
      <formula>NOT(ISERROR(SEARCH("EXCESS COLLECTED",B61)))</formula>
    </cfRule>
  </conditionalFormatting>
  <conditionalFormatting sqref="B86:D92">
    <cfRule type="containsText" priority="34" operator="containsText" dxfId="1" text="EXCESS COLLECTED">
      <formula>NOT(ISERROR(SEARCH("EXCESS COLLECTED",B86)))</formula>
    </cfRule>
  </conditionalFormatting>
  <conditionalFormatting sqref="C10:C61">
    <cfRule type="containsText" priority="8" operator="containsText" dxfId="0" text="LESS COLLECTED">
      <formula>NOT(ISERROR(SEARCH("LESS COLLECTED",C10)))</formula>
    </cfRule>
  </conditionalFormatting>
  <conditionalFormatting sqref="C91:E91 D7:F8 D48 D52 D69:E70 F48 F52:F55">
    <cfRule type="containsText" priority="127" operator="containsText" dxfId="1" text="EXCESS COLLECTED">
      <formula>NOT(ISERROR(SEARCH("EXCESS COLLECTED",C7)))</formula>
    </cfRule>
  </conditionalFormatting>
  <conditionalFormatting sqref="C62:F62">
    <cfRule type="containsText" priority="25" operator="containsText" dxfId="0" text="LESS COLLECTED">
      <formula>NOT(ISERROR(SEARCH("LESS COLLECTED",C62)))</formula>
    </cfRule>
  </conditionalFormatting>
  <conditionalFormatting sqref="D53:E55">
    <cfRule type="containsText" priority="40" operator="containsText" dxfId="1" text="EXCESS COLLECTED">
      <formula>NOT(ISERROR(SEARCH("EXCESS COLLECTED",D53)))</formula>
    </cfRule>
    <cfRule type="containsText" priority="41" operator="containsText" dxfId="0" text="LESS COLLECTED">
      <formula>NOT(ISERROR(SEARCH("LESS COLLECTED",D53)))</formula>
    </cfRule>
  </conditionalFormatting>
  <conditionalFormatting sqref="A66:F70 A86:F86 A91:F92 D7:F8 D48 D52:F52 D87:F90 F48 F53:F55">
    <cfRule type="containsText" priority="128" operator="containsText" dxfId="0" text="LESS COLLECTED">
      <formula>NOT(ISERROR(SEARCH("LESS COLLECTED",A7)))</formula>
    </cfRule>
  </conditionalFormatting>
  <conditionalFormatting sqref="D10:F37">
    <cfRule type="containsText" priority="3" operator="containsText" dxfId="0" text="LESS COLLECTED">
      <formula>NOT(ISERROR(SEARCH("LESS COLLECTED",D10)))</formula>
    </cfRule>
  </conditionalFormatting>
  <conditionalFormatting sqref="D49:F51">
    <cfRule type="containsText" priority="20" operator="containsText" dxfId="1" text="EXCESS COLLECTED">
      <formula>NOT(ISERROR(SEARCH("EXCESS COLLECTED",D49)))</formula>
    </cfRule>
    <cfRule type="containsText" priority="21" operator="containsText" dxfId="0" text="LESS COLLECTED">
      <formula>NOT(ISERROR(SEARCH("LESS COLLECTED",D49)))</formula>
    </cfRule>
  </conditionalFormatting>
  <conditionalFormatting sqref="D56:F56">
    <cfRule type="containsText" priority="13" operator="containsText" dxfId="1" text="EXCESS COLLECTED">
      <formula>NOT(ISERROR(SEARCH("EXCESS COLLECTED",D56)))</formula>
    </cfRule>
  </conditionalFormatting>
  <conditionalFormatting sqref="E87:E91">
    <cfRule type="containsText" priority="67" operator="containsText" dxfId="1" text="EXCESS COLLECTED">
      <formula>NOT(ISERROR(SEARCH("EXCESS COLLECTED",E87)))</formula>
    </cfRule>
    <cfRule type="containsText" priority="68" operator="containsText" dxfId="0" text="LESS COLLECTED">
      <formula>NOT(ISERROR(SEARCH("LESS COLLECTED",E87)))</formula>
    </cfRule>
  </conditionalFormatting>
  <conditionalFormatting sqref="E91">
    <cfRule type="containsText" priority="65" operator="containsText" dxfId="1" text="EXCESS COLLECTED">
      <formula>NOT(ISERROR(SEARCH("EXCESS COLLECTED",E91)))</formula>
    </cfRule>
    <cfRule type="containsText" priority="66" operator="containsText" dxfId="0" text="LESS COLLECTED">
      <formula>NOT(ISERROR(SEARCH("LESS COLLECTED",E91)))</formula>
    </cfRule>
  </conditionalFormatting>
  <conditionalFormatting sqref="G65">
    <cfRule type="containsText" priority="18" operator="containsText" dxfId="1" text="EXCESS COLLECTED">
      <formula>NOT(ISERROR(SEARCH("EXCESS COLLECTED",G65)))</formula>
    </cfRule>
  </conditionalFormatting>
  <conditionalFormatting sqref="G75">
    <cfRule type="containsText" priority="4" operator="containsText" dxfId="1" text="EXC">
      <formula>NOT(ISERROR(SEARCH("EXC",G75)))</formula>
    </cfRule>
    <cfRule type="containsText" priority="5" operator="containsText" dxfId="1" text="LESS">
      <formula>NOT(ISERROR(SEARCH("LESS",G75)))</formula>
    </cfRule>
    <cfRule type="containsText" priority="6" operator="containsText" dxfId="27" text="EXC">
      <formula>NOT(ISERROR(SEARCH("EXC",G75)))</formula>
    </cfRule>
  </conditionalFormatting>
  <conditionalFormatting sqref="G9:XFD73">
    <cfRule type="containsText" priority="19" operator="containsText" dxfId="0" text="LESS COLLECTED">
      <formula>NOT(ISERROR(SEARCH("LESS COLLECTED",G9)))</formula>
    </cfRule>
  </conditionalFormatting>
  <conditionalFormatting sqref="H74:XFD75">
    <cfRule type="containsText" priority="7" operator="containsText" dxfId="0" text="LESS COLLECTED">
      <formula>NOT(ISERROR(SEARCH("LESS COLLECTED",H74)))</formula>
    </cfRule>
  </conditionalFormatting>
  <pageMargins left="0.905511811023622" right="0.868110236" top="0.75" bottom="0.5" header="0.31496062992126" footer="0.31496062992126"/>
  <pageSetup orientation="portrait" paperSize="9" scale="49"/>
  <rowBreaks count="1" manualBreakCount="1">
    <brk id="97" min="0" max="5" man="1"/>
  </rowBreaks>
  <colBreaks count="1" manualBreakCount="1">
    <brk id="6" min="0" max="1048575" man="1"/>
  </colBreaks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O116"/>
  <sheetViews>
    <sheetView topLeftCell="A62" workbookViewId="0">
      <selection activeCell="G74" sqref="G74"/>
    </sheetView>
  </sheetViews>
  <sheetFormatPr baseColWidth="8" defaultColWidth="9.140625" defaultRowHeight="15"/>
  <cols>
    <col width="15.7109375" bestFit="1" customWidth="1" style="1084" min="1" max="1"/>
    <col width="41.28515625" customWidth="1" style="1084" min="2" max="2"/>
    <col width="13.42578125" customWidth="1" style="1084" min="3" max="3"/>
    <col width="16.140625" bestFit="1" customWidth="1" style="1084" min="4" max="4"/>
    <col width="14.85546875" customWidth="1" style="1084" min="5" max="5"/>
    <col width="16.5703125" bestFit="1" customWidth="1" style="1084" min="6" max="6"/>
    <col width="19.85546875" customWidth="1" style="1084" min="7" max="7"/>
    <col width="17.7109375" bestFit="1" customWidth="1" style="32" min="8" max="8"/>
    <col width="10.85546875" bestFit="1" customWidth="1" style="1084" min="9" max="9"/>
    <col width="16.285156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:MASKATI BRANCH</t>
        </is>
      </c>
    </row>
    <row r="4" ht="15.75" customHeight="1">
      <c r="A4" s="1214" t="inlineStr">
        <is>
          <t>BRANCH CODE:2</t>
        </is>
      </c>
    </row>
    <row r="5" ht="15.75" customHeight="1">
      <c r="A5" s="1210">
        <f>+'SHANTI COMM'!A5:F5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  <c r="J6" s="1545" t="n"/>
    </row>
    <row r="7" ht="15.75" customHeight="1">
      <c r="A7" s="175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546" t="n"/>
      <c r="D9" s="1497">
        <f>+C9*9%</f>
        <v/>
      </c>
      <c r="E9" s="1497">
        <f>+D9</f>
        <v/>
      </c>
      <c r="F9" s="1497">
        <f>IF(D9&gt;0," ",C9*18%)</f>
        <v/>
      </c>
      <c r="G9" s="1228" t="n"/>
      <c r="H9" s="156" t="n"/>
      <c r="I9" s="1228" t="n"/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46" t="n"/>
      <c r="D10" s="1497">
        <f>+C10*9%</f>
        <v/>
      </c>
      <c r="E10" s="1497">
        <f>+D10</f>
        <v/>
      </c>
      <c r="F10" s="1497">
        <f>IF(D10&gt;0," ",C10*18%)</f>
        <v/>
      </c>
      <c r="G10" s="1228" t="n"/>
      <c r="H10" s="156" t="n"/>
      <c r="I10" s="1228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46" t="n"/>
      <c r="D11" s="1497">
        <f>+C11*9%</f>
        <v/>
      </c>
      <c r="E11" s="1497">
        <f>+D11</f>
        <v/>
      </c>
      <c r="F11" s="1497">
        <f>IF(D11&gt;0," ",C11*18%)</f>
        <v/>
      </c>
      <c r="G11" s="1228" t="n"/>
      <c r="H11" s="156" t="n"/>
      <c r="I11" s="1228" t="n"/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46" t="n"/>
      <c r="D12" s="1531">
        <f>+C12*9%</f>
        <v/>
      </c>
      <c r="E12" s="1531">
        <f>+D12</f>
        <v/>
      </c>
      <c r="F12" s="1497">
        <f>IF(D12&gt;0," ",C12*18%)</f>
        <v/>
      </c>
      <c r="G12" s="1228" t="n"/>
      <c r="H12" s="156" t="n"/>
      <c r="I12" s="1228" t="n"/>
    </row>
    <row r="13" ht="15.75" customHeight="1">
      <c r="A13" s="1187" t="inlineStr">
        <is>
          <t>3225</t>
        </is>
      </c>
      <c r="B13" s="1220" t="inlineStr">
        <is>
          <t>COMMISION I.B.C.</t>
        </is>
      </c>
      <c r="C13" s="1546" t="n"/>
      <c r="D13" s="1531">
        <f>+C13*9%</f>
        <v/>
      </c>
      <c r="E13" s="1531">
        <f>+D13</f>
        <v/>
      </c>
      <c r="F13" s="1497">
        <f>IF(D13&gt;0," ",C13*18%)</f>
        <v/>
      </c>
      <c r="G13" s="1228" t="n"/>
      <c r="H13" s="156" t="n"/>
      <c r="I13" s="1228" t="n"/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546" t="n"/>
      <c r="D14" s="1531">
        <f>+C14*9%</f>
        <v/>
      </c>
      <c r="E14" s="1531">
        <f>+D14</f>
        <v/>
      </c>
      <c r="F14" s="1497" t="n">
        <v>0</v>
      </c>
      <c r="G14" s="1228" t="n"/>
      <c r="H14" s="156" t="n"/>
      <c r="I14" s="1228" t="n"/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46" t="n"/>
      <c r="D15" s="1531">
        <f>+C15*9%</f>
        <v/>
      </c>
      <c r="E15" s="1531">
        <f>+D15</f>
        <v/>
      </c>
      <c r="F15" s="1497">
        <f>IF(D15&gt;0," ",C15*18%)</f>
        <v/>
      </c>
      <c r="G15" s="1228" t="n"/>
      <c r="H15" s="156" t="n"/>
      <c r="I15" s="1228" t="n"/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46" t="n"/>
      <c r="D16" s="1531">
        <f>+C16*9%</f>
        <v/>
      </c>
      <c r="E16" s="1531">
        <f>+D16</f>
        <v/>
      </c>
      <c r="F16" s="1497">
        <f>IF(D16&gt;0," ",C16*18%)</f>
        <v/>
      </c>
      <c r="G16" s="1228" t="n"/>
      <c r="H16" s="156" t="n"/>
      <c r="I16" s="1228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46" t="n"/>
      <c r="D17" s="1531">
        <f>+C17*9%</f>
        <v/>
      </c>
      <c r="E17" s="1531">
        <f>+D17</f>
        <v/>
      </c>
      <c r="F17" s="1497">
        <f>IF(D17&gt;0," ",C17*18%)</f>
        <v/>
      </c>
      <c r="G17" s="1228" t="n"/>
      <c r="H17" s="156" t="n"/>
      <c r="I17" s="1228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46" t="n"/>
      <c r="D18" s="1531">
        <f>+C18*9%</f>
        <v/>
      </c>
      <c r="E18" s="1531">
        <f>+D18</f>
        <v/>
      </c>
      <c r="F18" s="1497">
        <f>IF(D18&gt;0," ",C18*18%)</f>
        <v/>
      </c>
      <c r="G18" s="1228" t="n"/>
      <c r="H18" s="156" t="n"/>
      <c r="I18" s="1228" t="n"/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46" t="n"/>
      <c r="D19" s="1531">
        <f>+C19*9%</f>
        <v/>
      </c>
      <c r="E19" s="1531">
        <f>+D19</f>
        <v/>
      </c>
      <c r="F19" s="1497" t="n">
        <v>0</v>
      </c>
      <c r="G19" s="1228" t="n"/>
      <c r="H19" s="156" t="n"/>
      <c r="I19" s="1228" t="n"/>
    </row>
    <row r="20" ht="15.75" customHeight="1">
      <c r="A20" s="13" t="n">
        <v>3271</v>
      </c>
      <c r="B20" s="1220" t="inlineStr">
        <is>
          <t>RENEWAL FEES</t>
        </is>
      </c>
      <c r="C20" s="1546" t="n"/>
      <c r="D20" s="1531">
        <f>+C20*9%</f>
        <v/>
      </c>
      <c r="E20" s="1531">
        <f>+D20</f>
        <v/>
      </c>
      <c r="F20" s="1497" t="n">
        <v>0</v>
      </c>
      <c r="G20" s="1228" t="n"/>
      <c r="H20" s="156" t="n"/>
      <c r="I20" s="1228" t="n"/>
    </row>
    <row r="21" ht="15.75" customHeight="1">
      <c r="A21" s="13" t="n">
        <v>3274</v>
      </c>
      <c r="B21" s="1220" t="inlineStr">
        <is>
          <t>INCOME FROM E-STAMPING</t>
        </is>
      </c>
      <c r="C21" s="1546" t="n"/>
      <c r="D21" s="1531" t="n"/>
      <c r="E21" s="1531" t="n"/>
      <c r="F21" s="1497" t="n"/>
      <c r="G21" s="1228" t="n"/>
      <c r="H21" s="156" t="n"/>
      <c r="I21" s="1228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46" t="n"/>
      <c r="D22" s="1531">
        <f>+C22*9%</f>
        <v/>
      </c>
      <c r="E22" s="1531">
        <f>+D22</f>
        <v/>
      </c>
      <c r="F22" s="1497">
        <f>IF(D22&gt;0," ",C22*18%)</f>
        <v/>
      </c>
      <c r="G22" s="1228" t="n"/>
      <c r="H22" s="156" t="n"/>
      <c r="I22" s="1228" t="n"/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46" t="n"/>
      <c r="D23" s="1531">
        <f>+C23*9%</f>
        <v/>
      </c>
      <c r="E23" s="1531">
        <f>+D23</f>
        <v/>
      </c>
      <c r="F23" s="1497">
        <f>IF(D23&gt;0," ",C23*18%)</f>
        <v/>
      </c>
      <c r="G23" s="1228" t="n"/>
      <c r="H23" s="156" t="n"/>
      <c r="I23" s="1228" t="n"/>
      <c r="N23" s="1084" t="n">
        <v>26113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46" t="n"/>
      <c r="D24" s="1531">
        <f>+C24*9%</f>
        <v/>
      </c>
      <c r="E24" s="1531">
        <f>+D24</f>
        <v/>
      </c>
      <c r="F24" s="1497">
        <f>IF(D24&gt;0," ",C24*18%)</f>
        <v/>
      </c>
      <c r="G24" s="1228" t="n"/>
      <c r="H24" s="156" t="n"/>
      <c r="I24" s="1228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46" t="n"/>
      <c r="D25" s="1531">
        <f>+C25*9%</f>
        <v/>
      </c>
      <c r="E25" s="1531">
        <f>+D25</f>
        <v/>
      </c>
      <c r="F25" s="1497" t="n">
        <v>0</v>
      </c>
      <c r="G25" s="1228" t="n"/>
      <c r="H25" s="156" t="n"/>
      <c r="I25" s="1228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46" t="n"/>
      <c r="D26" s="1531">
        <f>+C26*9%</f>
        <v/>
      </c>
      <c r="E26" s="1531">
        <f>+D26</f>
        <v/>
      </c>
      <c r="F26" s="1497">
        <f>IF(D26&gt;0," ",C26*18%)</f>
        <v/>
      </c>
      <c r="G26" s="1228" t="n"/>
      <c r="H26" s="156" t="n"/>
      <c r="I26" s="1228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46" t="n"/>
      <c r="D27" s="1531">
        <f>+C27*9%</f>
        <v/>
      </c>
      <c r="E27" s="1531">
        <f>+D27</f>
        <v/>
      </c>
      <c r="F27" s="1497">
        <f>IF(D27&gt;0," ",C27*18%)</f>
        <v/>
      </c>
      <c r="G27" s="1228" t="n"/>
      <c r="H27" s="156" t="n"/>
      <c r="I27" s="1228" t="n"/>
    </row>
    <row r="28" ht="15.75" customHeight="1">
      <c r="A28" s="137" t="n">
        <v>3291</v>
      </c>
      <c r="B28" s="33" t="inlineStr">
        <is>
          <t>CIBIL CHARGES</t>
        </is>
      </c>
      <c r="C28" s="1546" t="n"/>
      <c r="D28" s="1531">
        <f>+C28*9%</f>
        <v/>
      </c>
      <c r="E28" s="1531">
        <f>+D28</f>
        <v/>
      </c>
      <c r="F28" s="1497">
        <f>IF(D28&gt;0," ",C28*18%)</f>
        <v/>
      </c>
      <c r="G28" s="1228" t="n"/>
      <c r="H28" s="156" t="n"/>
      <c r="I28" s="1228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46" t="n"/>
      <c r="D29" s="1531">
        <f>+C29*9%</f>
        <v/>
      </c>
      <c r="E29" s="1531">
        <f>+D29</f>
        <v/>
      </c>
      <c r="F29" s="1497">
        <f>IF(D29&gt;0," ",C29*18%)</f>
        <v/>
      </c>
      <c r="G29" s="932" t="n"/>
      <c r="H29" s="933" t="n"/>
      <c r="I29" s="932" t="n"/>
      <c r="J29" s="645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46" t="n"/>
      <c r="D30" s="1531">
        <f>+C30*9%</f>
        <v/>
      </c>
      <c r="E30" s="1531">
        <f>+D30</f>
        <v/>
      </c>
      <c r="F30" s="1497">
        <f>IF(D30&gt;0," ",C30*18%)</f>
        <v/>
      </c>
      <c r="G30" s="1228" t="n"/>
      <c r="H30" s="156" t="n"/>
      <c r="I30" s="1228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46" t="n"/>
      <c r="D31" s="1531">
        <f>+C31*9%</f>
        <v/>
      </c>
      <c r="E31" s="1531">
        <f>+D31</f>
        <v/>
      </c>
      <c r="F31" s="1497">
        <f>IF(D31&gt;0," ",C31*18%)</f>
        <v/>
      </c>
      <c r="G31" s="1228" t="n"/>
      <c r="H31" s="156" t="n"/>
      <c r="I31" s="1228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46" t="n"/>
      <c r="D32" s="1531">
        <f>+C32*9%</f>
        <v/>
      </c>
      <c r="E32" s="1531">
        <f>+D32</f>
        <v/>
      </c>
      <c r="F32" s="1497">
        <f>IF(D32&gt;0," ",C32*18%)</f>
        <v/>
      </c>
      <c r="G32" s="1228" t="n"/>
      <c r="H32" s="156" t="n"/>
      <c r="I32" s="1228" t="n"/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46" t="n"/>
      <c r="D33" s="1531">
        <f>+C33*9%</f>
        <v/>
      </c>
      <c r="E33" s="1531">
        <f>+D33</f>
        <v/>
      </c>
      <c r="F33" s="1497" t="n">
        <v>0</v>
      </c>
      <c r="G33" s="1228" t="n"/>
      <c r="H33" s="156" t="n"/>
      <c r="I33" s="1228" t="n"/>
      <c r="J33" s="32" t="n"/>
    </row>
    <row r="34" ht="15.75" customHeight="1">
      <c r="A34" s="1187" t="inlineStr">
        <is>
          <t>3301</t>
        </is>
      </c>
      <c r="B34" s="1220" t="inlineStr">
        <is>
          <t>INOPERATIVE CHARGES</t>
        </is>
      </c>
      <c r="C34" s="1546" t="n"/>
      <c r="D34" s="1531">
        <f>+C34*9%</f>
        <v/>
      </c>
      <c r="E34" s="1531">
        <f>+D34</f>
        <v/>
      </c>
      <c r="F34" s="1497">
        <f>IF(D34&gt;0," ",C34*18%)</f>
        <v/>
      </c>
      <c r="G34" s="1228" t="n"/>
      <c r="H34" s="156" t="n"/>
      <c r="I34" s="1228" t="n"/>
    </row>
    <row r="35" ht="15.75" customHeight="1">
      <c r="A35" s="1187" t="n">
        <v>3302</v>
      </c>
      <c r="B35" s="1220" t="inlineStr">
        <is>
          <t>PO CANCEL CHRAGES</t>
        </is>
      </c>
      <c r="C35" s="1546" t="n"/>
      <c r="D35" s="1531">
        <f>+C35*9%</f>
        <v/>
      </c>
      <c r="E35" s="1531">
        <f>+D35</f>
        <v/>
      </c>
      <c r="F35" s="1497">
        <f>IF(D35&gt;0," ",C35*18%)</f>
        <v/>
      </c>
      <c r="G35" s="1228" t="n"/>
      <c r="H35" s="156" t="n"/>
      <c r="I35" s="1228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46" t="n"/>
      <c r="D36" s="1531">
        <f>+C36*9%</f>
        <v/>
      </c>
      <c r="E36" s="1531">
        <f>+D36</f>
        <v/>
      </c>
      <c r="F36" s="1497">
        <f>IF(D36&gt;0," ",C36*18%)</f>
        <v/>
      </c>
      <c r="G36" s="1228" t="n"/>
      <c r="H36" s="156" t="n"/>
      <c r="I36" s="1228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46" t="n"/>
      <c r="D37" s="1531">
        <f>+C37*9%</f>
        <v/>
      </c>
      <c r="E37" s="1531">
        <f>+D37</f>
        <v/>
      </c>
      <c r="F37" s="1497">
        <f>IF(D37&gt;0," ",C37*18%)</f>
        <v/>
      </c>
      <c r="G37" s="1228" t="n"/>
      <c r="H37" s="156" t="n"/>
      <c r="I37" s="1228" t="n"/>
    </row>
    <row r="38" ht="15.75" customHeight="1">
      <c r="A38" s="1187" t="inlineStr">
        <is>
          <t>3310</t>
        </is>
      </c>
      <c r="B38" s="1220" t="inlineStr">
        <is>
          <t>MIS. INCOME</t>
        </is>
      </c>
      <c r="C38" s="1546" t="n"/>
      <c r="D38" s="1531">
        <f>+C38*9%</f>
        <v/>
      </c>
      <c r="E38" s="1531">
        <f>+D38</f>
        <v/>
      </c>
      <c r="F38" s="1497">
        <f>IF(D38&gt;0," ",C38*18%)</f>
        <v/>
      </c>
      <c r="G38" s="1228" t="n"/>
      <c r="H38" s="156" t="n"/>
      <c r="I38" s="1228" t="n"/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46" t="n"/>
      <c r="D39" s="1531">
        <f>+C39*9%</f>
        <v/>
      </c>
      <c r="E39" s="1531">
        <f>+D39</f>
        <v/>
      </c>
      <c r="F39" s="1497">
        <f>IF(D39&gt;0," ",C39*18%)</f>
        <v/>
      </c>
      <c r="G39" s="1228" t="n"/>
      <c r="H39" s="156" t="n"/>
      <c r="I39" s="1228" t="n"/>
    </row>
    <row r="40" ht="15.75" customHeight="1">
      <c r="A40" s="1187" t="inlineStr">
        <is>
          <t>3312</t>
        </is>
      </c>
      <c r="B40" s="1220" t="inlineStr">
        <is>
          <t>O/W CHQ. RET. CHARGES</t>
        </is>
      </c>
      <c r="C40" s="1546" t="n"/>
      <c r="D40" s="1531">
        <f>+C40*9%</f>
        <v/>
      </c>
      <c r="E40" s="1531">
        <f>+D40</f>
        <v/>
      </c>
      <c r="F40" s="1497">
        <f>IF(D40&gt;0," ",C40*18%)</f>
        <v/>
      </c>
      <c r="G40" s="1228" t="n"/>
      <c r="H40" s="156" t="n"/>
      <c r="I40" s="1228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46" t="n"/>
      <c r="D41" s="1531">
        <f>+C41*9%</f>
        <v/>
      </c>
      <c r="E41" s="1531">
        <f>+D41</f>
        <v/>
      </c>
      <c r="F41" s="1497">
        <f>IF(D41&gt;0," ",C41*18%)</f>
        <v/>
      </c>
      <c r="G41" s="1228" t="n"/>
      <c r="H41" s="156" t="n"/>
      <c r="I41" s="1228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46" t="n"/>
      <c r="D42" s="1531">
        <f>+C42*9%</f>
        <v/>
      </c>
      <c r="E42" s="1531">
        <f>+D42</f>
        <v/>
      </c>
      <c r="F42" s="1497">
        <f>IF(D42&gt;0," ",C42*18%)</f>
        <v/>
      </c>
      <c r="G42" s="1228" t="n"/>
      <c r="H42" s="156" t="n"/>
      <c r="I42" s="1228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46" t="n"/>
      <c r="D43" s="1531">
        <f>+C43*9%</f>
        <v/>
      </c>
      <c r="E43" s="1531">
        <f>+D43</f>
        <v/>
      </c>
      <c r="F43" s="1497">
        <f>IF(D43&gt;0," ",C43*18%)</f>
        <v/>
      </c>
      <c r="G43" s="1228" t="n"/>
      <c r="H43" s="156" t="n"/>
      <c r="I43" s="1228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46" t="n"/>
      <c r="D44" s="1531">
        <f>+C44*9%</f>
        <v/>
      </c>
      <c r="E44" s="1531">
        <f>+D44</f>
        <v/>
      </c>
      <c r="F44" s="1497">
        <f>IF(D44&gt;0," ",C44*18%)</f>
        <v/>
      </c>
      <c r="G44" s="1228" t="n"/>
      <c r="H44" s="156" t="n"/>
      <c r="I44" s="1228" t="n"/>
    </row>
    <row r="45" ht="15.75" customHeight="1">
      <c r="A45" s="1187" t="inlineStr">
        <is>
          <t>3317</t>
        </is>
      </c>
      <c r="B45" s="1220" t="inlineStr">
        <is>
          <t>THE P&amp;T CHARGES FOR LC/BG</t>
        </is>
      </c>
      <c r="C45" s="1546" t="n"/>
      <c r="D45" s="1531">
        <f>+C45*9%</f>
        <v/>
      </c>
      <c r="E45" s="1531">
        <f>+D45</f>
        <v/>
      </c>
      <c r="F45" s="1497">
        <f>IF(D45&gt;0," ",C45*18%)</f>
        <v/>
      </c>
      <c r="G45" s="1228" t="n"/>
      <c r="H45" s="156" t="n"/>
      <c r="I45" s="1228" t="n"/>
    </row>
    <row r="46" ht="16.5" customHeight="1">
      <c r="A46" s="1187" t="inlineStr">
        <is>
          <t>3318</t>
        </is>
      </c>
      <c r="B46" s="1220" t="inlineStr">
        <is>
          <t>OBC POSTAGE CHARGES</t>
        </is>
      </c>
      <c r="C46" s="1546" t="n"/>
      <c r="D46" s="1531">
        <f>+C46*9%</f>
        <v/>
      </c>
      <c r="E46" s="1531">
        <f>+D46</f>
        <v/>
      </c>
      <c r="F46" s="1497">
        <f>IF(D46&gt;0," ",C46*18%)</f>
        <v/>
      </c>
      <c r="G46" s="1228" t="n"/>
      <c r="H46" s="156" t="n"/>
      <c r="I46" s="1228" t="n"/>
      <c r="J46" s="1499" t="n"/>
    </row>
    <row r="47" ht="15.75" customHeight="1">
      <c r="A47" s="1187" t="inlineStr">
        <is>
          <t>3320</t>
        </is>
      </c>
      <c r="B47" s="1220" t="inlineStr">
        <is>
          <t>RENT ON LOCKER</t>
        </is>
      </c>
      <c r="C47" s="1546" t="n"/>
      <c r="D47" s="1531">
        <f>+C47*9%</f>
        <v/>
      </c>
      <c r="E47" s="1531">
        <f>+D47</f>
        <v/>
      </c>
      <c r="F47" s="1497">
        <f>IF(D47&gt;0," ",C47*18%)</f>
        <v/>
      </c>
      <c r="G47" s="1228" t="n"/>
      <c r="H47" s="156" t="n"/>
      <c r="I47" s="1228" t="n"/>
    </row>
    <row r="48" ht="15.75" customHeight="1">
      <c r="A48" s="1187" t="inlineStr">
        <is>
          <t>3321</t>
        </is>
      </c>
      <c r="B48" s="1220" t="inlineStr">
        <is>
          <t>ADHOC LIMIT CHARGES</t>
        </is>
      </c>
      <c r="C48" s="1546" t="n"/>
      <c r="D48" s="1531">
        <f>+C48*9%</f>
        <v/>
      </c>
      <c r="E48" s="1531">
        <f>+D48</f>
        <v/>
      </c>
      <c r="F48" s="1497">
        <f>IF(D48&gt;0," ",C48*18%)</f>
        <v/>
      </c>
      <c r="G48" s="1228" t="n"/>
      <c r="H48" s="156" t="n"/>
      <c r="I48" s="1228" t="n"/>
    </row>
    <row r="49" ht="15.75" customHeight="1">
      <c r="A49" s="1187" t="inlineStr">
        <is>
          <t>3322</t>
        </is>
      </c>
      <c r="B49" s="1220" t="inlineStr">
        <is>
          <t>INCOME FROM SALE OF OLD NEWS PAPERS</t>
        </is>
      </c>
      <c r="C49" s="1546" t="n"/>
      <c r="D49" s="1531">
        <f>+C49*5%</f>
        <v/>
      </c>
      <c r="E49" s="1531">
        <f>+D49</f>
        <v/>
      </c>
      <c r="F49" s="1497" t="n"/>
      <c r="G49" s="1228" t="n"/>
      <c r="H49" s="156" t="n"/>
      <c r="I49" s="1228" t="n"/>
    </row>
    <row r="50" ht="15.75" customHeight="1">
      <c r="A50" s="1187" t="n">
        <v>3324</v>
      </c>
      <c r="B50" s="1220" t="inlineStr">
        <is>
          <t>PENALTY ON OVERDUE LOCKER RENT</t>
        </is>
      </c>
      <c r="C50" s="1546" t="n"/>
      <c r="D50" s="1531">
        <f>+C50*5%</f>
        <v/>
      </c>
      <c r="E50" s="1531">
        <f>+D50</f>
        <v/>
      </c>
      <c r="F50" s="1497" t="n"/>
      <c r="G50" s="1228" t="n"/>
      <c r="H50" s="156" t="n"/>
      <c r="I50" s="1228" t="n"/>
    </row>
    <row r="51" ht="15.75" customHeight="1">
      <c r="A51" s="161" t="n">
        <v>3325</v>
      </c>
      <c r="B51" s="1220" t="inlineStr">
        <is>
          <t>MICR CHARGES</t>
        </is>
      </c>
      <c r="C51" s="1546" t="n"/>
      <c r="D51" s="1531">
        <f>+C51*2.5%</f>
        <v/>
      </c>
      <c r="E51" s="1531">
        <f>+D51</f>
        <v/>
      </c>
      <c r="F51" s="1497">
        <f>IF(D51&gt;0," ",C51*18%)</f>
        <v/>
      </c>
      <c r="G51" s="1228" t="n"/>
      <c r="H51" s="156" t="n"/>
      <c r="I51" s="1228" t="n"/>
    </row>
    <row r="52" ht="15.75" customHeight="1">
      <c r="A52" s="1187" t="inlineStr">
        <is>
          <t>3391</t>
        </is>
      </c>
      <c r="B52" s="1220" t="inlineStr">
        <is>
          <t>SMS CHARGES INCOME RECEIVED</t>
        </is>
      </c>
      <c r="C52" s="1546" t="n"/>
      <c r="D52" s="1531">
        <f>+C52*9%</f>
        <v/>
      </c>
      <c r="E52" s="1531">
        <f>+D52</f>
        <v/>
      </c>
      <c r="F52" s="1497">
        <f>IF(D52&gt;0," ",C52*18%)</f>
        <v/>
      </c>
      <c r="G52" s="1228" t="n"/>
      <c r="H52" s="156" t="n"/>
      <c r="I52" s="1228" t="n"/>
    </row>
    <row r="53" ht="15.75" customHeight="1">
      <c r="A53" s="1187" t="n">
        <v>3359</v>
      </c>
      <c r="B53" s="1220" t="inlineStr">
        <is>
          <t>COMMITMENT CHARGES</t>
        </is>
      </c>
      <c r="C53" s="1546" t="n"/>
      <c r="D53" s="1531">
        <f>+C53*9%</f>
        <v/>
      </c>
      <c r="E53" s="1531">
        <f>+D53</f>
        <v/>
      </c>
      <c r="F53" s="1497" t="n"/>
      <c r="G53" s="1228" t="n"/>
      <c r="H53" s="156" t="n"/>
      <c r="I53" s="1228" t="n"/>
    </row>
    <row r="54" ht="15.75" customHeight="1">
      <c r="A54" s="1187" t="n">
        <v>3825</v>
      </c>
      <c r="B54" s="1220" t="inlineStr">
        <is>
          <t>EXTERNAL AUDIT FEES</t>
        </is>
      </c>
      <c r="C54" s="1546" t="n"/>
      <c r="D54" s="1531">
        <f>+C54*9%</f>
        <v/>
      </c>
      <c r="E54" s="1531">
        <f>+D54</f>
        <v/>
      </c>
      <c r="F54" s="1497" t="n"/>
      <c r="G54" s="1228" t="n"/>
      <c r="H54" s="156" t="n"/>
      <c r="I54" s="1228" t="n"/>
    </row>
    <row r="55" ht="15.75" customHeight="1">
      <c r="A55" s="1187" t="n">
        <v>3362</v>
      </c>
      <c r="B55" s="1220" t="inlineStr">
        <is>
          <t>FORECLOSURE CHARGES</t>
        </is>
      </c>
      <c r="C55" s="1546" t="n"/>
      <c r="D55" s="1531" t="n"/>
      <c r="E55" s="1531" t="n"/>
      <c r="F55" s="1497" t="n"/>
      <c r="G55" s="1228" t="n"/>
      <c r="H55" s="156" t="n"/>
      <c r="I55" s="1228" t="n"/>
    </row>
    <row r="56" ht="15.75" customHeight="1">
      <c r="A56" s="1187" t="n">
        <v>3340</v>
      </c>
      <c r="B56" s="1220" t="inlineStr">
        <is>
          <t>LOAN PROCESSING FEES</t>
        </is>
      </c>
      <c r="C56" s="1546" t="n"/>
      <c r="D56" s="1497">
        <f>+C56*9%</f>
        <v/>
      </c>
      <c r="E56" s="1497">
        <f>+D56</f>
        <v/>
      </c>
      <c r="F56" s="1497">
        <f>IF(D56&gt;0," ",C56*18%)</f>
        <v/>
      </c>
      <c r="G56" s="1228" t="n"/>
      <c r="H56" s="156" t="n"/>
      <c r="I56" s="1228" t="n"/>
    </row>
    <row r="57" ht="15.75" customHeight="1">
      <c r="A57" s="15" t="inlineStr">
        <is>
          <t>GL</t>
        </is>
      </c>
      <c r="B57" s="1220" t="n"/>
      <c r="C57" s="1546" t="n"/>
      <c r="D57" s="1531" t="n"/>
      <c r="E57" s="1531" t="n"/>
      <c r="F57" s="1497" t="n"/>
      <c r="G57" s="1228" t="n"/>
      <c r="H57" s="156" t="n"/>
      <c r="I57" s="1228" t="n"/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46" t="n"/>
      <c r="D58" s="1531">
        <f>+C58*9%</f>
        <v/>
      </c>
      <c r="E58" s="1531">
        <f>+D58</f>
        <v/>
      </c>
      <c r="F58" s="1497" t="n">
        <v>0</v>
      </c>
      <c r="G58" s="1228" t="n"/>
      <c r="H58" s="156" t="n"/>
      <c r="I58" s="1228" t="n"/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46" t="n"/>
      <c r="D59" s="1531">
        <f>+C59*9%</f>
        <v/>
      </c>
      <c r="E59" s="1531">
        <f>+D59</f>
        <v/>
      </c>
      <c r="F59" s="1497">
        <f>IF(D59&gt;0," ",C59*18%)</f>
        <v/>
      </c>
      <c r="G59" s="1228" t="n"/>
      <c r="H59" s="156" t="n"/>
      <c r="I59" s="1228" t="n"/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46" t="n"/>
      <c r="D60" s="1531" t="n"/>
      <c r="E60" s="1531" t="n"/>
      <c r="F60" s="1497" t="n"/>
      <c r="G60" s="1228" t="n"/>
      <c r="H60" s="156" t="n"/>
      <c r="I60" s="1228" t="n"/>
    </row>
    <row r="61" ht="15.75" customHeight="1">
      <c r="A61" s="435" t="n"/>
      <c r="B61" s="433" t="inlineStr">
        <is>
          <t>SALE OF ASSET ( Air Conditioner)</t>
        </is>
      </c>
      <c r="C61" s="1546" t="n"/>
      <c r="D61" s="1497">
        <f>+C61*9%</f>
        <v/>
      </c>
      <c r="E61" s="1500">
        <f>+D61</f>
        <v/>
      </c>
      <c r="F61" s="1500" t="n"/>
      <c r="G61" s="1228" t="n"/>
      <c r="H61" s="156" t="n"/>
      <c r="I61" s="1228" t="n"/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SUM(G9:G59)</f>
        <v/>
      </c>
      <c r="H62" s="1501">
        <f>SUM(H9:H59)</f>
        <v/>
      </c>
      <c r="I62" s="1501" t="n"/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I68" s="1084" t="inlineStr">
        <is>
          <t xml:space="preserve"> </t>
        </is>
      </c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  <c r="G71" s="1084" t="inlineStr">
        <is>
          <t xml:space="preserve"> </t>
        </is>
      </c>
      <c r="H71" s="32" t="inlineStr">
        <is>
          <t xml:space="preserve"> </t>
        </is>
      </c>
    </row>
    <row r="72" ht="15.75" customHeight="1">
      <c r="A72" s="1243" t="inlineStr">
        <is>
          <t>(2) REFUND GIVEN BUT GST REFUND NOT GIVEN</t>
        </is>
      </c>
      <c r="B72" s="1243" t="n"/>
      <c r="C72" s="616">
        <f>G62</f>
        <v/>
      </c>
      <c r="D72" s="106">
        <f>+C72*0.09</f>
        <v/>
      </c>
      <c r="E72" s="106">
        <f>+C72*0.09</f>
        <v/>
      </c>
      <c r="F72" s="105" t="n">
        <v>0</v>
      </c>
    </row>
    <row r="73" ht="15.75" customHeight="1">
      <c r="A73" s="1243" t="n"/>
      <c r="B73" s="1243" t="n"/>
      <c r="C73" s="1243" t="inlineStr">
        <is>
          <t xml:space="preserve">   </t>
        </is>
      </c>
      <c r="D73" s="105">
        <f>+D71+D72</f>
        <v/>
      </c>
      <c r="E73" s="105">
        <f>+E71+E72</f>
        <v/>
      </c>
      <c r="F73" s="105" t="n">
        <v>0</v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>
        <v>52486.98</v>
      </c>
      <c r="E74" s="108">
        <f>+D74</f>
        <v/>
      </c>
      <c r="F74" s="105" t="n">
        <v>0</v>
      </c>
      <c r="H74" s="645" t="n"/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108">
        <f>+E73-E74</f>
        <v/>
      </c>
      <c r="F75" s="108">
        <f>IF(F71&gt;F74,F71,F74)</f>
        <v/>
      </c>
      <c r="G75" s="1084">
        <f>+D75/9*100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  <c r="H77" s="154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  <c r="G79" s="1518" t="n"/>
      <c r="H79" s="1518" t="n"/>
      <c r="I79" s="1518" t="n"/>
      <c r="J79" s="1518" t="n"/>
    </row>
    <row r="80">
      <c r="A80" s="1228" t="n"/>
      <c r="B80" s="1042" t="n"/>
      <c r="C80" s="1508" t="n"/>
      <c r="D80" s="1228" t="n"/>
      <c r="E80" s="1228" t="n"/>
      <c r="F80" s="1228" t="n"/>
      <c r="G80" s="1518" t="n"/>
      <c r="H80" s="1518" t="n"/>
      <c r="I80" s="1518" t="n"/>
      <c r="J80" s="151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1753.22</v>
      </c>
      <c r="E81" s="108">
        <f>D81</f>
        <v/>
      </c>
      <c r="F81" s="642" t="n">
        <v>15093.54</v>
      </c>
      <c r="G81" s="1518">
        <f>+D81/2</f>
        <v/>
      </c>
      <c r="H81" s="1518">
        <f>+E81/2</f>
        <v/>
      </c>
      <c r="I81" s="1518">
        <f>+F81/2</f>
        <v/>
      </c>
      <c r="J81" s="1518" t="n"/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+C99</f>
        <v/>
      </c>
      <c r="E82" s="105">
        <f>+D82</f>
        <v/>
      </c>
      <c r="F82" s="109">
        <f>+E99</f>
        <v/>
      </c>
      <c r="G82" s="1518">
        <f>+D82/2</f>
        <v/>
      </c>
      <c r="H82" s="1518">
        <f>+E82/2</f>
        <v/>
      </c>
      <c r="I82" s="1518">
        <f>+F82/2</f>
        <v/>
      </c>
      <c r="J82" s="1518" t="n"/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09">
        <f>SUM(F81:F82)</f>
        <v/>
      </c>
      <c r="G83" s="1518">
        <f>+G81-G82</f>
        <v/>
      </c>
      <c r="H83" s="1518">
        <f>+H81-H82</f>
        <v/>
      </c>
      <c r="I83" s="1518">
        <f>+I81-I82</f>
        <v/>
      </c>
      <c r="J83" s="1518" t="n"/>
    </row>
    <row r="84" ht="15.75" customHeight="1">
      <c r="A84" s="75" t="n"/>
      <c r="B84" s="75" t="n"/>
      <c r="C84" s="75" t="n"/>
      <c r="D84" s="199" t="n"/>
      <c r="E84" s="199" t="n"/>
      <c r="F84" s="560" t="n"/>
      <c r="G84" s="1518" t="n"/>
      <c r="H84" s="1518" t="n"/>
      <c r="I84" s="1518" t="n"/>
      <c r="J84" s="1518" t="n"/>
    </row>
    <row r="85">
      <c r="B85" s="145" t="inlineStr">
        <is>
          <t>INELLIGEBLE  CREDIT</t>
        </is>
      </c>
      <c r="C85" s="112" t="n"/>
      <c r="D85" s="112" t="n"/>
      <c r="E85" s="112" t="n"/>
    </row>
    <row r="86">
      <c r="B86" s="169" t="inlineStr">
        <is>
          <t>PARTY NAME</t>
        </is>
      </c>
      <c r="C86" s="1218" t="inlineStr">
        <is>
          <t>CGST</t>
        </is>
      </c>
      <c r="D86" s="1218" t="inlineStr">
        <is>
          <t>SGST</t>
        </is>
      </c>
      <c r="E86" s="1218" t="inlineStr">
        <is>
          <t>IGST</t>
        </is>
      </c>
    </row>
    <row r="87">
      <c r="B87" s="617" t="inlineStr">
        <is>
          <t>ROHAN AGENCY</t>
        </is>
      </c>
      <c r="C87" s="1218" t="n">
        <v>0</v>
      </c>
      <c r="D87" s="1218">
        <f>+C87</f>
        <v/>
      </c>
      <c r="E87" s="1218" t="n"/>
      <c r="G87" s="32" t="n"/>
    </row>
    <row r="88">
      <c r="B88" s="617" t="inlineStr">
        <is>
          <t>ROHAN AGENCY</t>
        </is>
      </c>
      <c r="C88" s="1218" t="n">
        <v>0</v>
      </c>
      <c r="D88" s="1218">
        <f>+C88</f>
        <v/>
      </c>
      <c r="E88" s="1218" t="n"/>
      <c r="G88" s="32" t="n"/>
    </row>
    <row r="89">
      <c r="B89" s="617" t="inlineStr">
        <is>
          <t>JET LIFTS PVT. LTD.</t>
        </is>
      </c>
      <c r="C89" s="1218" t="n">
        <v>0</v>
      </c>
      <c r="D89" s="1218">
        <f>+C89</f>
        <v/>
      </c>
      <c r="E89" s="1218" t="n"/>
      <c r="G89" s="32" t="n"/>
    </row>
    <row r="90">
      <c r="B90" s="617" t="inlineStr">
        <is>
          <t>INSTANT MARKETING INC.</t>
        </is>
      </c>
      <c r="C90" s="1218" t="n">
        <v>0</v>
      </c>
      <c r="D90" s="1218">
        <f>+C90</f>
        <v/>
      </c>
      <c r="E90" s="1218" t="n"/>
    </row>
    <row r="91">
      <c r="B91" s="617" t="inlineStr">
        <is>
          <t>INSTANT MARKETING INC.</t>
        </is>
      </c>
      <c r="C91" s="1218" t="n">
        <v>0</v>
      </c>
      <c r="D91" s="1218">
        <f>+C91</f>
        <v/>
      </c>
      <c r="E91" s="1218" t="n"/>
    </row>
    <row r="92">
      <c r="B92" s="617" t="inlineStr">
        <is>
          <t>BSNL</t>
        </is>
      </c>
      <c r="C92" s="1218" t="n"/>
      <c r="D92" s="1218">
        <f>+C92</f>
        <v/>
      </c>
      <c r="E92" s="1218" t="n"/>
    </row>
    <row r="93">
      <c r="B93" s="617" t="inlineStr">
        <is>
          <t>BSNL</t>
        </is>
      </c>
      <c r="C93" s="1218" t="n"/>
      <c r="D93" s="1218">
        <f>+C93</f>
        <v/>
      </c>
      <c r="E93" s="1218" t="n"/>
    </row>
    <row r="94">
      <c r="B94" s="617" t="inlineStr">
        <is>
          <t>BSNL</t>
        </is>
      </c>
      <c r="C94" s="1218" t="n">
        <v>0</v>
      </c>
      <c r="D94" s="1218">
        <f>+C94</f>
        <v/>
      </c>
      <c r="E94" s="1218" t="n"/>
    </row>
    <row r="95">
      <c r="B95" s="617" t="inlineStr">
        <is>
          <t>BSNL</t>
        </is>
      </c>
      <c r="C95" s="1218" t="n">
        <v>0</v>
      </c>
      <c r="D95" s="1218">
        <f>+C95</f>
        <v/>
      </c>
      <c r="E95" s="1218" t="n"/>
    </row>
    <row r="96">
      <c r="B96" s="617" t="inlineStr">
        <is>
          <t>BSNL</t>
        </is>
      </c>
      <c r="C96" s="1218" t="n">
        <v>0</v>
      </c>
      <c r="D96" s="1218">
        <f>+C96</f>
        <v/>
      </c>
      <c r="E96" s="1218" t="n"/>
    </row>
    <row r="97">
      <c r="B97" s="617" t="inlineStr">
        <is>
          <t>INTEL AIR TECHNOLOGIES</t>
        </is>
      </c>
      <c r="C97" s="1218" t="n">
        <v>0</v>
      </c>
      <c r="D97" s="1218">
        <f>+C97</f>
        <v/>
      </c>
      <c r="E97" s="1218" t="n"/>
    </row>
    <row r="98">
      <c r="B98" s="1087" t="n"/>
      <c r="C98" s="75" t="n"/>
      <c r="D98" s="75" t="n"/>
      <c r="E98" s="75" t="n"/>
    </row>
    <row r="99" ht="15.75" customHeight="1" thickBot="1">
      <c r="B99" s="141" t="inlineStr">
        <is>
          <t>TOTAL</t>
        </is>
      </c>
      <c r="C99" s="1548">
        <f>SUM(C87:C98)</f>
        <v/>
      </c>
      <c r="D99" s="1548">
        <f>SUM(D87:D98)</f>
        <v/>
      </c>
      <c r="E99" s="1548" t="n">
        <v>0</v>
      </c>
    </row>
    <row r="100" ht="15.75" customHeight="1" thickTop="1"/>
    <row r="101">
      <c r="A101" s="73" t="n"/>
      <c r="B101" s="73" t="n"/>
      <c r="C101" s="73" t="n"/>
      <c r="D101" s="73" t="n"/>
    </row>
    <row r="104">
      <c r="A104" s="951" t="n"/>
      <c r="B104" s="1270" t="n"/>
      <c r="G104" s="1259" t="n"/>
      <c r="H104" s="1259" t="n"/>
      <c r="J104" s="1259" t="n"/>
    </row>
    <row r="105">
      <c r="A105" s="1270" t="n"/>
    </row>
    <row r="106">
      <c r="A106" s="951" t="n"/>
      <c r="B106" s="1258" t="n"/>
      <c r="F106" s="1259" t="n"/>
      <c r="G106" s="1259" t="n"/>
      <c r="H106" s="1259" t="n"/>
      <c r="J106" s="1259" t="n"/>
    </row>
    <row r="107">
      <c r="A107" s="1270" t="n"/>
    </row>
    <row r="108">
      <c r="A108" s="952" t="n"/>
      <c r="B108" s="1258" t="n"/>
      <c r="F108" s="1259" t="n"/>
      <c r="G108" s="1257" t="n"/>
      <c r="H108" s="1257" t="n"/>
      <c r="J108" s="1535" t="n"/>
      <c r="K108" s="953" t="n"/>
    </row>
    <row r="109">
      <c r="A109" s="952" t="n"/>
      <c r="B109" s="1258" t="n"/>
      <c r="F109" s="1259" t="n"/>
      <c r="G109" s="1257" t="n"/>
      <c r="H109" s="1257" t="n"/>
      <c r="J109" s="1535" t="n"/>
    </row>
    <row r="110">
      <c r="A110" s="952" t="n"/>
      <c r="B110" s="1258" t="n"/>
      <c r="F110" s="1259" t="n"/>
      <c r="G110" s="1257" t="n"/>
      <c r="H110" s="1257" t="n"/>
      <c r="J110" s="1535" t="n"/>
    </row>
    <row r="111">
      <c r="A111" s="952" t="n"/>
      <c r="B111" s="1258" t="n"/>
      <c r="F111" s="1259" t="n"/>
      <c r="G111" s="1257" t="n"/>
      <c r="H111" s="1257" t="n"/>
      <c r="J111" s="1535" t="n"/>
      <c r="K111" s="953" t="n"/>
    </row>
    <row r="112">
      <c r="A112" s="952" t="n"/>
      <c r="B112" s="1258" t="n"/>
      <c r="F112" s="1259" t="n"/>
      <c r="G112" s="1257" t="n"/>
      <c r="H112" s="1257" t="n"/>
      <c r="J112" s="1535" t="n"/>
    </row>
    <row r="113">
      <c r="A113" s="952" t="n"/>
      <c r="B113" s="1258" t="n"/>
      <c r="F113" s="1259" t="n"/>
      <c r="G113" s="1257" t="n"/>
      <c r="H113" s="1257" t="n"/>
      <c r="J113" s="1535" t="n"/>
      <c r="K113" s="953" t="n"/>
    </row>
    <row r="114">
      <c r="A114" s="952" t="n"/>
      <c r="B114" s="1258" t="n"/>
      <c r="F114" s="1259" t="n"/>
      <c r="G114" s="1257" t="n"/>
      <c r="H114" s="1257" t="n"/>
      <c r="J114" s="1535" t="n"/>
    </row>
    <row r="115">
      <c r="A115" s="1270" t="n"/>
    </row>
    <row r="116">
      <c r="A116" s="951" t="n"/>
      <c r="B116" s="1270" t="n"/>
      <c r="F116" s="1259" t="n"/>
      <c r="G116" s="1271" t="n"/>
      <c r="H116" s="1271" t="n"/>
      <c r="J116" s="1535" t="n"/>
    </row>
  </sheetData>
  <mergeCells count="51">
    <mergeCell ref="B108:E108"/>
    <mergeCell ref="A80:C80"/>
    <mergeCell ref="A75:C75"/>
    <mergeCell ref="A66:F66"/>
    <mergeCell ref="H112:I112"/>
    <mergeCell ref="A74:C74"/>
    <mergeCell ref="E78:E79"/>
    <mergeCell ref="G7:G8"/>
    <mergeCell ref="E69:E70"/>
    <mergeCell ref="I7:I8"/>
    <mergeCell ref="A3:F3"/>
    <mergeCell ref="H113:I113"/>
    <mergeCell ref="B114:E114"/>
    <mergeCell ref="H114:I114"/>
    <mergeCell ref="A115:J115"/>
    <mergeCell ref="B110:E110"/>
    <mergeCell ref="D6:E6"/>
    <mergeCell ref="A71:C71"/>
    <mergeCell ref="B106:E106"/>
    <mergeCell ref="B113:E113"/>
    <mergeCell ref="A5:F5"/>
    <mergeCell ref="D7:D8"/>
    <mergeCell ref="D78:D79"/>
    <mergeCell ref="B109:E109"/>
    <mergeCell ref="H7:H8"/>
    <mergeCell ref="A4:F4"/>
    <mergeCell ref="A78:C79"/>
    <mergeCell ref="A69:C70"/>
    <mergeCell ref="A81:C81"/>
    <mergeCell ref="H110:I110"/>
    <mergeCell ref="H108:I108"/>
    <mergeCell ref="A107:J107"/>
    <mergeCell ref="H109:I109"/>
    <mergeCell ref="E7:E8"/>
    <mergeCell ref="A83:C83"/>
    <mergeCell ref="B111:E111"/>
    <mergeCell ref="H111:I111"/>
    <mergeCell ref="A82:C82"/>
    <mergeCell ref="H104:I104"/>
    <mergeCell ref="A1:F1"/>
    <mergeCell ref="B104:F104"/>
    <mergeCell ref="B116:E116"/>
    <mergeCell ref="A105:J105"/>
    <mergeCell ref="H116:I116"/>
    <mergeCell ref="B112:E112"/>
    <mergeCell ref="B7:B8"/>
    <mergeCell ref="F78:F79"/>
    <mergeCell ref="F7:F8"/>
    <mergeCell ref="D69:D70"/>
    <mergeCell ref="F69:F70"/>
    <mergeCell ref="H106:I106"/>
  </mergeCells>
  <conditionalFormatting sqref="A9:B21 A101:F1048576 I63:XFD98">
    <cfRule type="containsText" priority="41" operator="containsText" dxfId="0" text="LESS COLLECTED">
      <formula>NOT(ISERROR(SEARCH("LESS COLLECTED",A9)))</formula>
    </cfRule>
  </conditionalFormatting>
  <conditionalFormatting sqref="A22:B34">
    <cfRule type="containsText" priority="52" operator="containsText" dxfId="0" text="LESS COLLECTED">
      <formula>NOT(ISERROR(SEARCH("LESS COLLECTED",A22)))</formula>
    </cfRule>
  </conditionalFormatting>
  <conditionalFormatting sqref="A28:B32 B85:D97">
    <cfRule type="containsText" priority="51" operator="containsText" dxfId="1" text="EXCESS COLLECTED">
      <formula>NOT(ISERROR(SEARCH("EXCESS COLLECTED",A28)))</formula>
    </cfRule>
  </conditionalFormatting>
  <conditionalFormatting sqref="A35:B56">
    <cfRule type="containsText" priority="2" operator="containsText" dxfId="0" text="LESS COLLECTED">
      <formula>NOT(ISERROR(SEARCH("LESS COLLECTED",A35)))</formula>
    </cfRule>
  </conditionalFormatting>
  <conditionalFormatting sqref="A47:B56">
    <cfRule type="containsText" priority="1" operator="containsText" dxfId="1" text="EXCESS COLLECTED">
      <formula>NOT(ISERROR(SEARCH("EXCESS COLLECTED",A47)))</formula>
    </cfRule>
  </conditionalFormatting>
  <conditionalFormatting sqref="A57:B61">
    <cfRule type="containsText" priority="60" operator="containsText" dxfId="0" text="LESS COLLECTED">
      <formula>NOT(ISERROR(SEARCH("LESS COLLECTED",A57)))</formula>
    </cfRule>
  </conditionalFormatting>
  <conditionalFormatting sqref="A1:XFD6 A7:F8 G99:XFD1048576 H63:H79 J7:XFD62">
    <cfRule type="containsText" priority="169" operator="containsText" dxfId="0" text="LESS COLLECTED">
      <formula>NOT(ISERROR(SEARCH("LESS COLLECTED",A1)))</formula>
    </cfRule>
  </conditionalFormatting>
  <conditionalFormatting sqref="A72:F73">
    <cfRule type="containsText" priority="10" operator="containsText" dxfId="1" text="EXCESS COLLECTED">
      <formula>NOT(ISERROR(SEARCH("EXCESS COLLECTED",A72)))</formula>
    </cfRule>
  </conditionalFormatting>
  <conditionalFormatting sqref="B61">
    <cfRule type="containsText" priority="59" operator="containsText" dxfId="1" text="EXCESS COLLECTED">
      <formula>NOT(ISERROR(SEARCH("EXCESS COLLECTED",B61)))</formula>
    </cfRule>
  </conditionalFormatting>
  <conditionalFormatting sqref="C9:C61">
    <cfRule type="containsText" priority="4" operator="containsText" dxfId="0" text="LESS COLLECTED">
      <formula>NOT(ISERROR(SEARCH("LESS COLLECTED",C9)))</formula>
    </cfRule>
  </conditionalFormatting>
  <conditionalFormatting sqref="B98:E98 D7:F8 D69:E70 E86">
    <cfRule type="containsText" priority="157" operator="containsText" dxfId="1" text="EXCESS COLLECTED">
      <formula>NOT(ISERROR(SEARCH("EXCESS COLLECTED",B7)))</formula>
    </cfRule>
  </conditionalFormatting>
  <conditionalFormatting sqref="A66:F71 A85:F86 D7:F28">
    <cfRule type="containsText" priority="158" operator="containsText" dxfId="0" text="LESS COLLECTED">
      <formula>NOT(ISERROR(SEARCH("LESS COLLECTED",A7)))</formula>
    </cfRule>
  </conditionalFormatting>
  <conditionalFormatting sqref="D29:F35">
    <cfRule type="containsText" priority="26" operator="containsText" dxfId="0" text="LESS COLLECTED">
      <formula>NOT(ISERROR(SEARCH("LESS COLLECTED",D29)))</formula>
    </cfRule>
  </conditionalFormatting>
  <conditionalFormatting sqref="D48:F56">
    <cfRule type="containsText" priority="3" operator="containsText" dxfId="1" text="EXCESS COLLECTED">
      <formula>NOT(ISERROR(SEARCH("EXCESS COLLECTED",D48)))</formula>
    </cfRule>
  </conditionalFormatting>
  <conditionalFormatting sqref="D36:I61">
    <cfRule type="containsText" priority="6" operator="containsText" dxfId="0" text="LESS COLLECTED">
      <formula>NOT(ISERROR(SEARCH("LESS COLLECTED",D36)))</formula>
    </cfRule>
  </conditionalFormatting>
  <conditionalFormatting sqref="G63:G73">
    <cfRule type="containsText" priority="9" operator="containsText" dxfId="0" text="LESS COLLECTED">
      <formula>NOT(ISERROR(SEARCH("LESS COLLECTED",G63)))</formula>
    </cfRule>
  </conditionalFormatting>
  <conditionalFormatting sqref="G65">
    <cfRule type="containsText" priority="8" operator="containsText" dxfId="1" text="EXCESS COLLECTED">
      <formula>NOT(ISERROR(SEARCH("EXCESS COLLECTED",G65)))</formula>
    </cfRule>
  </conditionalFormatting>
  <conditionalFormatting sqref="G75">
    <cfRule type="containsText" priority="159" operator="containsText" dxfId="1" text="EXC">
      <formula>NOT(ISERROR(SEARCH("EXC",G75)))</formula>
    </cfRule>
    <cfRule type="containsText" priority="160" operator="containsText" dxfId="1" text="LESS">
      <formula>NOT(ISERROR(SEARCH("LESS",G75)))</formula>
    </cfRule>
    <cfRule type="containsText" priority="161" operator="containsText" dxfId="27" text="EXC">
      <formula>NOT(ISERROR(SEARCH("EXC",G75)))</formula>
    </cfRule>
  </conditionalFormatting>
  <conditionalFormatting sqref="G9:I35">
    <cfRule type="containsText" priority="31" operator="containsText" dxfId="0" text="LESS COLLECTED">
      <formula>NOT(ISERROR(SEARCH("LESS COLLECTED",G9)))</formula>
    </cfRule>
  </conditionalFormatting>
  <pageMargins left="1.155511811" right="0.868110236" top="0.5" bottom="0.5" header="0.31496062992126" footer="0.31496062992126"/>
  <pageSetup orientation="portrait" paperSize="9" scale="46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O92"/>
  <sheetViews>
    <sheetView topLeftCell="A73" workbookViewId="0">
      <selection activeCell="G86" sqref="G86"/>
    </sheetView>
  </sheetViews>
  <sheetFormatPr baseColWidth="8" defaultColWidth="9.140625" defaultRowHeight="15"/>
  <cols>
    <col width="12.140625" customWidth="1" style="1084" min="1" max="1"/>
    <col width="41.28515625" customWidth="1" style="1084" min="2" max="2"/>
    <col width="13.42578125" customWidth="1" style="1084" min="3" max="3"/>
    <col width="18" bestFit="1" customWidth="1" style="1084" min="4" max="4"/>
    <col width="16.5703125" bestFit="1" customWidth="1" style="1084" min="5" max="5"/>
    <col width="11.42578125" customWidth="1" style="1084" min="6" max="6"/>
    <col width="24.7109375" customWidth="1" style="1084" min="7" max="7"/>
    <col width="12.28515625" bestFit="1" customWidth="1" style="32" min="8" max="8"/>
    <col width="9.140625" customWidth="1" style="1084" min="9" max="9"/>
    <col width="9.5703125" bestFit="1" customWidth="1" style="1084" min="10" max="10"/>
    <col width="12.28515625" bestFit="1" customWidth="1" style="1084" min="11" max="11"/>
    <col width="9.140625" customWidth="1" style="1084" min="12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VEJALPUR BRANCH</t>
        </is>
      </c>
    </row>
    <row r="4" ht="15.75" customHeight="1">
      <c r="A4" s="1214" t="inlineStr">
        <is>
          <t>BRANCH CODE: 17</t>
        </is>
      </c>
    </row>
    <row r="5" ht="15.75" customHeight="1">
      <c r="A5" s="1210">
        <f>+MASKATI!A5</f>
        <v/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161" t="n">
        <v>3303</v>
      </c>
      <c r="B9" s="1220" t="inlineStr">
        <is>
          <t>DD CANCEL CHARGES</t>
        </is>
      </c>
      <c r="C9" s="1496" t="n"/>
      <c r="D9" s="1497">
        <f>+C9*9%</f>
        <v/>
      </c>
      <c r="E9" s="1497">
        <f>+D9</f>
        <v/>
      </c>
      <c r="F9" s="1497">
        <f>IF(D9&gt;0," ",C9*18%)</f>
        <v/>
      </c>
      <c r="G9" s="1228" t="n"/>
      <c r="H9" s="156" t="n"/>
      <c r="I9" s="1228" t="n"/>
    </row>
    <row r="10" ht="15.75" customHeight="1">
      <c r="A10" s="161" t="inlineStr">
        <is>
          <t>3200</t>
        </is>
      </c>
      <c r="B10" s="1220" t="inlineStr">
        <is>
          <t>COMMISION ON BILLS</t>
        </is>
      </c>
      <c r="C10" s="1496" t="n"/>
      <c r="D10" s="1497">
        <f>+C10*9%</f>
        <v/>
      </c>
      <c r="E10" s="1497">
        <f>+D10</f>
        <v/>
      </c>
      <c r="F10" s="1497">
        <f>IF(D10&gt;0," ",C10*18%)</f>
        <v/>
      </c>
      <c r="G10" s="1228" t="n"/>
      <c r="H10" s="156" t="n"/>
      <c r="I10" s="1228" t="n"/>
    </row>
    <row r="11" ht="15.75" customHeight="1">
      <c r="A11" s="1080" t="inlineStr">
        <is>
          <t>3215</t>
        </is>
      </c>
      <c r="B11" s="1220" t="inlineStr">
        <is>
          <t>COMMISION ON PAYORDER</t>
        </is>
      </c>
      <c r="C11" s="1496" t="n"/>
      <c r="D11" s="1497">
        <f>+C11*9%</f>
        <v/>
      </c>
      <c r="E11" s="1497">
        <f>+D11</f>
        <v/>
      </c>
      <c r="F11" s="1497">
        <f>IF(D11&gt;0," ",C11*18%)</f>
        <v/>
      </c>
      <c r="G11" s="1228" t="n"/>
      <c r="H11" s="156" t="n"/>
      <c r="I11" s="1228" t="n"/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496" t="n"/>
      <c r="D12" s="1497">
        <f>+C12*9%</f>
        <v/>
      </c>
      <c r="E12" s="1497">
        <f>+D12</f>
        <v/>
      </c>
      <c r="F12" s="1497">
        <f>IF(D12&gt;0," ",C12*18%)</f>
        <v/>
      </c>
      <c r="G12" s="1228" t="n"/>
      <c r="H12" s="156" t="n"/>
      <c r="I12" s="1228" t="n"/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496" t="n"/>
      <c r="D13" s="1497">
        <f>+C13*9%</f>
        <v/>
      </c>
      <c r="E13" s="1497">
        <f>+D13</f>
        <v/>
      </c>
      <c r="F13" s="1497">
        <f>IF(D13&gt;0," ",C13*18%)</f>
        <v/>
      </c>
      <c r="G13" s="1228" t="n"/>
      <c r="H13" s="156" t="n"/>
      <c r="I13" s="1228" t="n"/>
    </row>
    <row r="14" ht="15.75" customHeight="1">
      <c r="A14" s="1080" t="inlineStr">
        <is>
          <t>3230</t>
        </is>
      </c>
      <c r="B14" s="1220" t="inlineStr">
        <is>
          <t>COMMISION ON GUARANTEE</t>
        </is>
      </c>
      <c r="C14" s="1496" t="n"/>
      <c r="D14" s="1497">
        <f>+C14*9%</f>
        <v/>
      </c>
      <c r="E14" s="1497">
        <f>+D14</f>
        <v/>
      </c>
      <c r="F14" s="1497">
        <f>IF(D14&gt;0," ",C14*18%)</f>
        <v/>
      </c>
      <c r="G14" s="1228" t="n"/>
      <c r="H14" s="156" t="n"/>
      <c r="I14" s="1228" t="n"/>
    </row>
    <row r="15" ht="15.75" customHeight="1">
      <c r="A15" s="1080" t="inlineStr">
        <is>
          <t>3235</t>
        </is>
      </c>
      <c r="B15" s="1220" t="inlineStr">
        <is>
          <t>COMMISION ON DEMAND DRAFT</t>
        </is>
      </c>
      <c r="C15" s="1496" t="n"/>
      <c r="D15" s="1497">
        <f>+C15*9%</f>
        <v/>
      </c>
      <c r="E15" s="1497">
        <f>+D15</f>
        <v/>
      </c>
      <c r="F15" s="1497">
        <f>IF(D15&gt;0," ",C15*18%)</f>
        <v/>
      </c>
      <c r="G15" s="1228" t="n"/>
      <c r="H15" s="156" t="n"/>
      <c r="I15" s="1228" t="n"/>
      <c r="K15" s="1549" t="n"/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496" t="n"/>
      <c r="D16" s="1497">
        <f>+C16*9%</f>
        <v/>
      </c>
      <c r="E16" s="1497">
        <f>+D16</f>
        <v/>
      </c>
      <c r="F16" s="1497">
        <f>IF(D16&gt;0," ",C16*18%)</f>
        <v/>
      </c>
      <c r="G16" s="1228" t="n"/>
      <c r="H16" s="156" t="n"/>
      <c r="I16" s="1228" t="n"/>
      <c r="K16" s="1549" t="n"/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496" t="n"/>
      <c r="D17" s="1497">
        <f>+C17*9%</f>
        <v/>
      </c>
      <c r="E17" s="1497">
        <f>+D17</f>
        <v/>
      </c>
      <c r="F17" s="1497">
        <f>IF(D17&gt;0," ",C17*18%)</f>
        <v/>
      </c>
      <c r="G17" s="1228" t="n"/>
      <c r="H17" s="156" t="n"/>
      <c r="I17" s="1228" t="n"/>
      <c r="K17" s="1549" t="n"/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496" t="n"/>
      <c r="D18" s="1497">
        <f>+C18*9%</f>
        <v/>
      </c>
      <c r="E18" s="1497">
        <f>+D18</f>
        <v/>
      </c>
      <c r="F18" s="1497">
        <f>IF(D18&gt;0," ",C18*18%)</f>
        <v/>
      </c>
      <c r="G18" s="1228" t="n"/>
      <c r="H18" s="156" t="n"/>
      <c r="I18" s="1228" t="n"/>
      <c r="K18" s="1549" t="n"/>
    </row>
    <row r="19" ht="15.75" customHeight="1">
      <c r="A19" s="1080" t="inlineStr">
        <is>
          <t>3270</t>
        </is>
      </c>
      <c r="B19" s="1220" t="inlineStr">
        <is>
          <t>PROCESSING CHARGE</t>
        </is>
      </c>
      <c r="C19" s="1496" t="n"/>
      <c r="D19" s="1497">
        <f>+C19*9%</f>
        <v/>
      </c>
      <c r="E19" s="1497">
        <f>+D19</f>
        <v/>
      </c>
      <c r="F19" s="1497" t="n"/>
      <c r="G19" s="1228" t="n"/>
      <c r="H19" s="156" t="n"/>
      <c r="I19" s="1228" t="n"/>
      <c r="K19" s="1549" t="n"/>
    </row>
    <row r="20" ht="15.75" customHeight="1">
      <c r="A20" s="13" t="n">
        <v>3271</v>
      </c>
      <c r="B20" s="1220" t="inlineStr">
        <is>
          <t>RENEWAL FEES</t>
        </is>
      </c>
      <c r="C20" s="1496" t="n"/>
      <c r="D20" s="1497">
        <f>+C20*9%</f>
        <v/>
      </c>
      <c r="E20" s="1497">
        <f>+D20</f>
        <v/>
      </c>
      <c r="F20" s="1497" t="n"/>
      <c r="G20" s="1228" t="n"/>
      <c r="H20" s="156" t="n"/>
      <c r="I20" s="1228" t="n"/>
      <c r="K20" s="1549" t="n"/>
    </row>
    <row r="21" ht="15.75" customHeight="1">
      <c r="A21" s="13" t="n">
        <v>3274</v>
      </c>
      <c r="B21" s="1220" t="inlineStr">
        <is>
          <t>INCOME FROM E-STAMPING</t>
        </is>
      </c>
      <c r="C21" s="1496" t="n"/>
      <c r="D21" s="1497" t="n"/>
      <c r="E21" s="1497" t="n"/>
      <c r="F21" s="1497" t="n"/>
      <c r="G21" s="1228" t="n"/>
      <c r="H21" s="156" t="n"/>
      <c r="I21" s="1228" t="n"/>
      <c r="K21" s="1549" t="n"/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496" t="n"/>
      <c r="D22" s="1497">
        <f>+C22*9%</f>
        <v/>
      </c>
      <c r="E22" s="1497">
        <f>+D22</f>
        <v/>
      </c>
      <c r="F22" s="1497" t="n"/>
      <c r="G22" s="1228" t="n"/>
      <c r="H22" s="156" t="n"/>
      <c r="I22" s="1228" t="n"/>
      <c r="K22" s="1549" t="n"/>
      <c r="O22" s="1084" t="inlineStr">
        <is>
          <t xml:space="preserve"> </t>
        </is>
      </c>
    </row>
    <row r="23" ht="15.75" customHeight="1">
      <c r="A23" s="161" t="inlineStr">
        <is>
          <t>3280</t>
        </is>
      </c>
      <c r="B23" s="1220" t="inlineStr">
        <is>
          <t>INSURANCE PREMIUM</t>
        </is>
      </c>
      <c r="C23" s="1496" t="n"/>
      <c r="D23" s="1497">
        <f>+C23*9%</f>
        <v/>
      </c>
      <c r="E23" s="1497">
        <f>+D23</f>
        <v/>
      </c>
      <c r="F23" s="1497">
        <f>IF(D23&gt;0," ",C23*18%)</f>
        <v/>
      </c>
      <c r="G23" s="1228" t="n"/>
      <c r="H23" s="156" t="n"/>
      <c r="I23" s="1228" t="n"/>
      <c r="K23" s="1549" t="n"/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496" t="n"/>
      <c r="D24" s="1497">
        <f>+C24*9%</f>
        <v/>
      </c>
      <c r="E24" s="1497">
        <f>+D24</f>
        <v/>
      </c>
      <c r="F24" s="1497">
        <f>IF(D24&gt;0," ",C24*18%)</f>
        <v/>
      </c>
      <c r="G24" s="1228" t="n"/>
      <c r="H24" s="156" t="n"/>
      <c r="I24" s="1228" t="n"/>
      <c r="K24" s="1549" t="n"/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496" t="n"/>
      <c r="D25" s="1497">
        <f>+C25*9%</f>
        <v/>
      </c>
      <c r="E25" s="1497">
        <f>+D25</f>
        <v/>
      </c>
      <c r="F25" s="1497">
        <f>IF(D25&gt;0," ",C25*18%)</f>
        <v/>
      </c>
      <c r="G25" s="1228" t="n"/>
      <c r="H25" s="156" t="n"/>
      <c r="I25" s="1228" t="n"/>
      <c r="K25" s="1549" t="n"/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496" t="n"/>
      <c r="D26" s="1497">
        <f>+C26*9%</f>
        <v/>
      </c>
      <c r="E26" s="1497">
        <f>+D26</f>
        <v/>
      </c>
      <c r="F26" s="1497">
        <f>IF(D26&gt;0," ",C26*18%)</f>
        <v/>
      </c>
      <c r="G26" s="1228" t="n"/>
      <c r="H26" s="156" t="n"/>
      <c r="I26" s="1228" t="n"/>
      <c r="K26" s="1549" t="n"/>
    </row>
    <row r="27" ht="15.75" customHeight="1">
      <c r="A27" s="158" t="inlineStr">
        <is>
          <t>3287</t>
        </is>
      </c>
      <c r="B27" s="1220" t="inlineStr">
        <is>
          <t>COMM. ON PMSBY NEW INDIA ASSURANCE</t>
        </is>
      </c>
      <c r="C27" s="1496" t="n"/>
      <c r="D27" s="1497">
        <f>+C27*9%</f>
        <v/>
      </c>
      <c r="E27" s="1497">
        <f>+D27</f>
        <v/>
      </c>
      <c r="F27" s="1497">
        <f>IF(D27&gt;0," ",C27*18%)</f>
        <v/>
      </c>
      <c r="G27" s="1228" t="n"/>
      <c r="H27" s="156" t="n"/>
      <c r="I27" s="1228" t="n"/>
      <c r="K27" s="1549" t="n"/>
    </row>
    <row r="28" ht="15.75" customHeight="1">
      <c r="A28" s="158" t="n">
        <v>3291</v>
      </c>
      <c r="B28" s="33" t="inlineStr">
        <is>
          <t>CIBIL CHARGES</t>
        </is>
      </c>
      <c r="C28" s="1496" t="n"/>
      <c r="D28" s="1497">
        <f>+C28*9%</f>
        <v/>
      </c>
      <c r="E28" s="1497">
        <f>+D28</f>
        <v/>
      </c>
      <c r="F28" s="1497">
        <f>IF(D28&gt;0," ",C28*18%)</f>
        <v/>
      </c>
      <c r="G28" s="1228" t="n"/>
      <c r="H28" s="156" t="n"/>
      <c r="I28" s="1228" t="n"/>
      <c r="K28" s="1549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496" t="n"/>
      <c r="D29" s="1497">
        <f>+C29*9%</f>
        <v/>
      </c>
      <c r="E29" s="1497">
        <f>+D29</f>
        <v/>
      </c>
      <c r="F29" s="1497">
        <f>IF(D29&gt;0," ",C29*18%)</f>
        <v/>
      </c>
      <c r="G29" s="1228" t="n"/>
      <c r="H29" s="156" t="n"/>
      <c r="I29" s="1228" t="n"/>
      <c r="K29" s="1549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496" t="n"/>
      <c r="D30" s="1497">
        <f>+C30*9%</f>
        <v/>
      </c>
      <c r="E30" s="1497">
        <f>+D30</f>
        <v/>
      </c>
      <c r="F30" s="1497">
        <f>IF(D30&gt;0," ",C30*18%)</f>
        <v/>
      </c>
      <c r="G30" s="1228" t="n"/>
      <c r="H30" s="156" t="n"/>
      <c r="I30" s="1228" t="n"/>
      <c r="K30" s="1549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496" t="n"/>
      <c r="D31" s="1497">
        <f>+C31*9%</f>
        <v/>
      </c>
      <c r="E31" s="1497">
        <f>+D31</f>
        <v/>
      </c>
      <c r="F31" s="1497">
        <f>IF(D31&gt;0," ",C31*18%)</f>
        <v/>
      </c>
      <c r="G31" s="1228" t="n"/>
      <c r="H31" s="156" t="n"/>
      <c r="I31" s="1228" t="n"/>
      <c r="K31" s="1549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496" t="n"/>
      <c r="D32" s="1497">
        <f>+C32*9%</f>
        <v/>
      </c>
      <c r="E32" s="1497">
        <f>+D32</f>
        <v/>
      </c>
      <c r="F32" s="1497">
        <f>IF(D32&gt;0," ",C32*18%)</f>
        <v/>
      </c>
      <c r="G32" s="1228" t="n"/>
      <c r="H32" s="156" t="n"/>
      <c r="I32" s="1228" t="n"/>
      <c r="K32" s="1549" t="n"/>
    </row>
    <row r="33" ht="15.75" customHeight="1">
      <c r="A33" s="1080" t="inlineStr">
        <is>
          <t>3300</t>
        </is>
      </c>
      <c r="B33" s="1220" t="inlineStr">
        <is>
          <t>INCIDENTAL CHARGES</t>
        </is>
      </c>
      <c r="C33" s="1496" t="n"/>
      <c r="D33" s="1497">
        <f>+C33*9%</f>
        <v/>
      </c>
      <c r="E33" s="1497">
        <f>+D33</f>
        <v/>
      </c>
      <c r="F33" s="1497">
        <f>IF(D33&gt;0," ",C33*18%)</f>
        <v/>
      </c>
      <c r="G33" s="1228" t="n"/>
      <c r="H33" s="156" t="n"/>
      <c r="I33" s="1228" t="n"/>
      <c r="K33" s="1549" t="n"/>
    </row>
    <row r="34" ht="15.75" customHeight="1">
      <c r="A34" s="1080" t="n">
        <v>3301</v>
      </c>
      <c r="B34" s="1220" t="inlineStr">
        <is>
          <t>INOPERATIVE CHARGES</t>
        </is>
      </c>
      <c r="C34" s="1496" t="n"/>
      <c r="D34" s="1497">
        <f>+C34*9%</f>
        <v/>
      </c>
      <c r="E34" s="1497">
        <f>+D34</f>
        <v/>
      </c>
      <c r="F34" s="1497">
        <f>IF(D34&gt;0," ",C34*18%)</f>
        <v/>
      </c>
      <c r="G34" s="1228" t="n"/>
      <c r="H34" s="156" t="n"/>
      <c r="I34" s="1228" t="n"/>
      <c r="K34" s="1549" t="n"/>
    </row>
    <row r="35" ht="15.75" customHeight="1">
      <c r="A35" s="1187" t="n">
        <v>3302</v>
      </c>
      <c r="B35" s="1220" t="inlineStr">
        <is>
          <t>PO CANCEL CHRAGES</t>
        </is>
      </c>
      <c r="C35" s="1496" t="n"/>
      <c r="D35" s="1497">
        <f>+C35*9%</f>
        <v/>
      </c>
      <c r="E35" s="1497">
        <f>+D35</f>
        <v/>
      </c>
      <c r="F35" s="1497">
        <f>IF(D35&gt;0," ",C35*18%)</f>
        <v/>
      </c>
      <c r="G35" s="1228" t="n"/>
      <c r="H35" s="156" t="n"/>
      <c r="I35" s="1228" t="n"/>
      <c r="K35" s="1549" t="n"/>
    </row>
    <row r="36" ht="15.75" customHeight="1">
      <c r="A36" s="161" t="inlineStr">
        <is>
          <t>3305</t>
        </is>
      </c>
      <c r="B36" s="1220" t="inlineStr">
        <is>
          <t>A/C SHARE TRANSFER FEES</t>
        </is>
      </c>
      <c r="C36" s="1496" t="n"/>
      <c r="D36" s="1497">
        <f>+C36*9%</f>
        <v/>
      </c>
      <c r="E36" s="1497">
        <f>+D36</f>
        <v/>
      </c>
      <c r="F36" s="1497">
        <f>IF(D36&gt;0," ",C36*18%)</f>
        <v/>
      </c>
      <c r="G36" s="1228" t="n"/>
      <c r="H36" s="156" t="n"/>
      <c r="I36" s="1228" t="n"/>
      <c r="K36" s="1549" t="n"/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496" t="n"/>
      <c r="D37" s="1497">
        <f>+C37*9%</f>
        <v/>
      </c>
      <c r="E37" s="1497">
        <f>+D37</f>
        <v/>
      </c>
      <c r="F37" s="1497">
        <f>IF(D37&gt;0," ",C37*18%)</f>
        <v/>
      </c>
      <c r="G37" s="1228" t="n"/>
      <c r="H37" s="156" t="n"/>
      <c r="I37" s="1228" t="n"/>
      <c r="K37" s="1549" t="n"/>
    </row>
    <row r="38" ht="15.75" customHeight="1">
      <c r="A38" s="1080" t="inlineStr">
        <is>
          <t>3310</t>
        </is>
      </c>
      <c r="B38" s="1220" t="inlineStr">
        <is>
          <t>MIS. INCOME</t>
        </is>
      </c>
      <c r="C38" s="1496" t="n"/>
      <c r="D38" s="1497">
        <f>+C38*9%</f>
        <v/>
      </c>
      <c r="E38" s="1497">
        <f>+D38</f>
        <v/>
      </c>
      <c r="F38" s="1497">
        <f>IF(D38&gt;0," ",C38*18%)</f>
        <v/>
      </c>
      <c r="G38" s="1228" t="n"/>
      <c r="H38" s="156" t="n"/>
      <c r="I38" s="1228" t="n"/>
      <c r="K38" s="1549" t="n"/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496" t="n"/>
      <c r="D39" s="1497">
        <f>+C39*9%</f>
        <v/>
      </c>
      <c r="E39" s="1497">
        <f>+D39</f>
        <v/>
      </c>
      <c r="F39" s="1497">
        <f>IF(D39&gt;0," ",C39*18%)</f>
        <v/>
      </c>
      <c r="G39" s="1228" t="n"/>
      <c r="H39" s="156" t="n"/>
      <c r="I39" s="1228" t="n"/>
      <c r="K39" s="1549" t="n"/>
    </row>
    <row r="40" ht="15.75" customHeight="1">
      <c r="A40" s="1080" t="inlineStr">
        <is>
          <t>3312</t>
        </is>
      </c>
      <c r="B40" s="1220" t="inlineStr">
        <is>
          <t>O/W CHQ. RET. CHARGES</t>
        </is>
      </c>
      <c r="C40" s="1496" t="n"/>
      <c r="D40" s="1497">
        <f>+C40*9%</f>
        <v/>
      </c>
      <c r="E40" s="1497">
        <f>+D40</f>
        <v/>
      </c>
      <c r="F40" s="1497">
        <f>IF(D40&gt;0," ",C40*18%)</f>
        <v/>
      </c>
      <c r="G40" s="1228" t="n"/>
      <c r="H40" s="156" t="n"/>
      <c r="I40" s="1228" t="n"/>
      <c r="K40" s="1549" t="n"/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496" t="n"/>
      <c r="D41" s="1497">
        <f>+C41*9%</f>
        <v/>
      </c>
      <c r="E41" s="1497">
        <f>+D41</f>
        <v/>
      </c>
      <c r="F41" s="1497">
        <f>IF(D41&gt;0," ",C41*18%)</f>
        <v/>
      </c>
      <c r="G41" s="1228" t="n"/>
      <c r="H41" s="156" t="n"/>
      <c r="I41" s="1228" t="n"/>
      <c r="K41" s="1549" t="n"/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496" t="n"/>
      <c r="D42" s="1497">
        <f>+C42*9%</f>
        <v/>
      </c>
      <c r="E42" s="1497">
        <f>+D42</f>
        <v/>
      </c>
      <c r="F42" s="1497">
        <f>IF(D42&gt;0," ",C42*18%)</f>
        <v/>
      </c>
      <c r="G42" s="1228" t="n"/>
      <c r="H42" s="156" t="n"/>
      <c r="I42" s="1228" t="n"/>
      <c r="K42" s="1549" t="n"/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496" t="n"/>
      <c r="D43" s="1497">
        <f>+C43*9%</f>
        <v/>
      </c>
      <c r="E43" s="1497">
        <f>+D43</f>
        <v/>
      </c>
      <c r="F43" s="1497">
        <f>IF(D43&gt;0," ",C43*18%)</f>
        <v/>
      </c>
      <c r="G43" s="1228" t="n"/>
      <c r="H43" s="156" t="n"/>
      <c r="I43" s="1228" t="n"/>
      <c r="K43" s="1549" t="n"/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496" t="n"/>
      <c r="D44" s="1497">
        <f>+C44*9%</f>
        <v/>
      </c>
      <c r="E44" s="1497">
        <f>+D44</f>
        <v/>
      </c>
      <c r="F44" s="1497">
        <f>IF(D44&gt;0," ",C44*18%)</f>
        <v/>
      </c>
      <c r="G44" s="1228" t="n"/>
      <c r="H44" s="156" t="n"/>
      <c r="I44" s="1228" t="n"/>
      <c r="J44" s="1499" t="n"/>
      <c r="K44" s="1549" t="n"/>
    </row>
    <row r="45" ht="15.75" customHeight="1">
      <c r="A45" s="161" t="n">
        <v>3317</v>
      </c>
      <c r="B45" s="1220" t="inlineStr">
        <is>
          <t>THE P&amp;T CHARGES FOR LC/BG</t>
        </is>
      </c>
      <c r="C45" s="1496" t="n"/>
      <c r="D45" s="1497">
        <f>+C45*9%</f>
        <v/>
      </c>
      <c r="E45" s="1497">
        <f>+D45</f>
        <v/>
      </c>
      <c r="F45" s="1497">
        <f>IF(D45&gt;0," ",C45*18%)</f>
        <v/>
      </c>
      <c r="G45" s="1228" t="n"/>
      <c r="H45" s="156" t="n"/>
      <c r="I45" s="1228" t="n"/>
      <c r="K45" s="1549" t="n"/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496" t="n"/>
      <c r="D46" s="1497">
        <f>+C46*9%</f>
        <v/>
      </c>
      <c r="E46" s="1497">
        <f>+D46</f>
        <v/>
      </c>
      <c r="F46" s="1497">
        <f>IF(D46&gt;0," ",C46*18%)</f>
        <v/>
      </c>
      <c r="G46" s="1228" t="n"/>
      <c r="H46" s="156" t="n"/>
      <c r="I46" s="1228" t="n"/>
      <c r="K46" s="1549" t="n"/>
    </row>
    <row r="47" ht="15.75" customHeight="1">
      <c r="A47" s="161" t="n">
        <v>3320</v>
      </c>
      <c r="B47" s="1220" t="inlineStr">
        <is>
          <t>RENT ON LOCKER</t>
        </is>
      </c>
      <c r="C47" s="1496" t="n"/>
      <c r="D47" s="1497">
        <f>+C47*9%</f>
        <v/>
      </c>
      <c r="E47" s="1497">
        <f>+D47</f>
        <v/>
      </c>
      <c r="F47" s="1497" t="n"/>
      <c r="G47" s="1228" t="n"/>
      <c r="H47" s="156" t="n"/>
      <c r="I47" s="1228" t="n"/>
      <c r="K47" s="1549" t="n"/>
    </row>
    <row r="48" ht="15.75" customHeight="1">
      <c r="A48" s="161" t="n">
        <v>3321</v>
      </c>
      <c r="B48" s="1220" t="inlineStr">
        <is>
          <t>ADHOC LIMIT CHARGES</t>
        </is>
      </c>
      <c r="C48" s="1496" t="n"/>
      <c r="D48" s="1497">
        <f>+C48*9%</f>
        <v/>
      </c>
      <c r="E48" s="1497">
        <f>+D48</f>
        <v/>
      </c>
      <c r="F48" s="1497">
        <f>IF(D48&gt;0," ",C48*18%)</f>
        <v/>
      </c>
      <c r="G48" s="1228" t="n"/>
      <c r="H48" s="156" t="n"/>
      <c r="I48" s="1228" t="n"/>
      <c r="K48" s="1549" t="n"/>
    </row>
    <row r="49" ht="15.75" customHeight="1">
      <c r="A49" s="161" t="n">
        <v>3322</v>
      </c>
      <c r="B49" s="1220" t="inlineStr">
        <is>
          <t>INCOME FROM SALE OF OLD NEWS PAPERS</t>
        </is>
      </c>
      <c r="C49" s="1496" t="n"/>
      <c r="D49" s="1497">
        <f>+C49*2.5%</f>
        <v/>
      </c>
      <c r="E49" s="1497">
        <f>+D49</f>
        <v/>
      </c>
      <c r="F49" s="1497" t="n"/>
      <c r="G49" s="1228" t="n"/>
      <c r="H49" s="156" t="n"/>
      <c r="I49" s="1228" t="n"/>
      <c r="K49" s="1549" t="n"/>
    </row>
    <row r="50" ht="15.75" customHeight="1">
      <c r="A50" s="161" t="n">
        <v>3324</v>
      </c>
      <c r="B50" s="1220" t="inlineStr">
        <is>
          <t>PENALTY ON OVERDUE LOCKER RENT</t>
        </is>
      </c>
      <c r="C50" s="1496" t="n"/>
      <c r="D50" s="1497">
        <f>+C50*9%</f>
        <v/>
      </c>
      <c r="E50" s="1497">
        <f>+D50</f>
        <v/>
      </c>
      <c r="F50" s="1497" t="n"/>
      <c r="G50" s="1228" t="n"/>
      <c r="H50" s="156" t="n"/>
      <c r="I50" s="1228" t="n"/>
      <c r="K50" s="1549" t="n"/>
    </row>
    <row r="51" ht="15.75" customHeight="1">
      <c r="A51" s="161" t="n">
        <v>3325</v>
      </c>
      <c r="B51" s="1220" t="inlineStr">
        <is>
          <t>MICR CHARGES</t>
        </is>
      </c>
      <c r="C51" s="1496" t="n"/>
      <c r="D51" s="1497">
        <f>+C51*2.5%</f>
        <v/>
      </c>
      <c r="E51" s="1497">
        <f>+D51</f>
        <v/>
      </c>
      <c r="F51" s="1497">
        <f>IF(D51&gt;0," ",C51*18%)</f>
        <v/>
      </c>
      <c r="G51" s="1228" t="n"/>
      <c r="H51" s="156" t="n"/>
      <c r="I51" s="1228" t="n"/>
      <c r="K51" s="1549" t="n"/>
    </row>
    <row r="52" ht="15.75" customHeight="1">
      <c r="A52" s="161" t="n">
        <v>3391</v>
      </c>
      <c r="B52" s="1220" t="inlineStr">
        <is>
          <t>SMS CHARGES INCOME RECEIVED</t>
        </is>
      </c>
      <c r="C52" s="1496" t="n"/>
      <c r="D52" s="1497">
        <f>+C52*9%</f>
        <v/>
      </c>
      <c r="E52" s="1497">
        <f>+D52</f>
        <v/>
      </c>
      <c r="F52" s="1497" t="n"/>
      <c r="G52" s="1228" t="n"/>
      <c r="H52" s="156" t="n"/>
      <c r="I52" s="1228" t="n"/>
      <c r="K52" s="1549" t="n"/>
    </row>
    <row r="53" ht="15.75" customHeight="1">
      <c r="A53" s="1187" t="n">
        <v>3359</v>
      </c>
      <c r="B53" s="1220" t="inlineStr">
        <is>
          <t>COMMITMENT CHARGES</t>
        </is>
      </c>
      <c r="C53" s="1496" t="n"/>
      <c r="D53" s="1497">
        <f>+C53*9%</f>
        <v/>
      </c>
      <c r="E53" s="1497">
        <f>+D53</f>
        <v/>
      </c>
      <c r="F53" s="1497" t="n"/>
      <c r="G53" s="1228" t="n"/>
      <c r="H53" s="156" t="n"/>
      <c r="I53" s="1228" t="n"/>
      <c r="K53" s="1549" t="n"/>
    </row>
    <row r="54" ht="15.75" customHeight="1">
      <c r="A54" s="1187" t="n">
        <v>3825</v>
      </c>
      <c r="B54" s="1220" t="inlineStr">
        <is>
          <t>EXTERNAL AUDIT FEES</t>
        </is>
      </c>
      <c r="C54" s="1496" t="n"/>
      <c r="D54" s="1497">
        <f>+C54*9%</f>
        <v/>
      </c>
      <c r="E54" s="1497">
        <f>+D54</f>
        <v/>
      </c>
      <c r="F54" s="1497" t="n"/>
      <c r="G54" s="1228" t="n"/>
      <c r="H54" s="156" t="n"/>
      <c r="I54" s="1228" t="n"/>
      <c r="K54" s="32" t="n"/>
    </row>
    <row r="55" ht="15.75" customHeight="1">
      <c r="A55" s="1187" t="n">
        <v>3362</v>
      </c>
      <c r="B55" s="1220" t="inlineStr">
        <is>
          <t>FORECLOSURE CHARGES</t>
        </is>
      </c>
      <c r="C55" s="1496" t="n"/>
      <c r="D55" s="1497" t="n"/>
      <c r="E55" s="1497" t="n"/>
      <c r="F55" s="1497" t="n"/>
      <c r="G55" s="1228" t="n"/>
      <c r="H55" s="156" t="n"/>
      <c r="I55" s="1228" t="n"/>
      <c r="K55" s="32" t="n"/>
    </row>
    <row r="56" ht="15.75" customHeight="1">
      <c r="A56" s="1187" t="n">
        <v>3340</v>
      </c>
      <c r="B56" s="1220" t="inlineStr">
        <is>
          <t>LOAN PROCESSING FEES</t>
        </is>
      </c>
      <c r="C56" s="1496" t="n"/>
      <c r="D56" s="1497">
        <f>+C56*9%</f>
        <v/>
      </c>
      <c r="E56" s="1497">
        <f>+D56</f>
        <v/>
      </c>
      <c r="F56" s="1497">
        <f>IF(D56&gt;0," ",C56*18%)</f>
        <v/>
      </c>
      <c r="G56" s="1228" t="n"/>
      <c r="H56" s="156" t="n"/>
      <c r="I56" s="1228" t="n"/>
      <c r="K56" s="1549" t="n"/>
    </row>
    <row r="57" ht="15.75" customHeight="1">
      <c r="A57" s="162" t="inlineStr">
        <is>
          <t>GL</t>
        </is>
      </c>
      <c r="B57" s="1220" t="n"/>
      <c r="C57" s="1496" t="n"/>
      <c r="D57" s="1497" t="n"/>
      <c r="E57" s="1497" t="n"/>
      <c r="F57" s="1497" t="n"/>
      <c r="G57" s="1228" t="n"/>
      <c r="H57" s="156" t="n"/>
      <c r="I57" s="1228" t="n"/>
      <c r="K57" s="1549" t="n"/>
    </row>
    <row r="58" ht="15.75" customHeight="1">
      <c r="A58" s="161" t="inlineStr">
        <is>
          <t>1720</t>
        </is>
      </c>
      <c r="B58" s="1220" t="inlineStr">
        <is>
          <t>COMM. RECD. BUT NOT ACCRUED</t>
        </is>
      </c>
      <c r="C58" s="1496" t="n"/>
      <c r="D58" s="1497">
        <f>+C58*9%</f>
        <v/>
      </c>
      <c r="E58" s="1497">
        <f>+D58</f>
        <v/>
      </c>
      <c r="F58" s="1497">
        <f>IF(D58&gt;0," ",C58*18%)</f>
        <v/>
      </c>
      <c r="G58" s="1228" t="n"/>
      <c r="H58" s="156" t="n"/>
      <c r="I58" s="1228" t="n"/>
      <c r="K58" s="1549" t="n"/>
    </row>
    <row r="59" ht="15.75" customHeight="1">
      <c r="A59" s="1080" t="inlineStr">
        <is>
          <t>1836</t>
        </is>
      </c>
      <c r="B59" s="1220" t="inlineStr">
        <is>
          <t>RENT ON LOCKER RECEIVED BUT</t>
        </is>
      </c>
      <c r="C59" s="1496" t="n"/>
      <c r="D59" s="1497">
        <f>+C59*9%</f>
        <v/>
      </c>
      <c r="E59" s="1497">
        <f>+D59</f>
        <v/>
      </c>
      <c r="F59" s="1497">
        <f>IF(D59&gt;0," ",C59*18%)</f>
        <v/>
      </c>
      <c r="G59" s="1228" t="n"/>
      <c r="H59" s="156" t="n"/>
      <c r="I59" s="1228" t="n"/>
      <c r="K59" s="1549" t="n"/>
    </row>
    <row r="60" ht="15.75" customHeight="1">
      <c r="A60" s="1080" t="n"/>
      <c r="B60" s="1220" t="inlineStr">
        <is>
          <t>NOT ACCRUED</t>
        </is>
      </c>
      <c r="C60" s="1496" t="n"/>
      <c r="D60" s="1497" t="n"/>
      <c r="E60" s="1497" t="n"/>
      <c r="F60" s="1497" t="n"/>
      <c r="G60" s="1228" t="n"/>
      <c r="H60" s="156" t="n"/>
      <c r="I60" s="1228" t="n"/>
      <c r="K60" s="1549" t="n"/>
    </row>
    <row r="61" ht="15.75" customHeight="1">
      <c r="A61" s="436" t="n"/>
      <c r="B61" s="433" t="inlineStr">
        <is>
          <t>SALE OF ASSET ( CASH COUNTING MACHINE)</t>
        </is>
      </c>
      <c r="C61" s="1496" t="n"/>
      <c r="D61" s="1497">
        <f>+C61*9%</f>
        <v/>
      </c>
      <c r="E61" s="1500">
        <f>+D61</f>
        <v/>
      </c>
      <c r="F61" s="1500" t="n"/>
      <c r="G61" s="1228" t="n"/>
      <c r="H61" s="156" t="n"/>
      <c r="I61" s="1228" t="n"/>
      <c r="K61" s="1549" t="n"/>
    </row>
    <row r="62" ht="16.5" customHeight="1" thickBot="1">
      <c r="A62" s="12" t="n"/>
      <c r="B62" s="11" t="inlineStr">
        <is>
          <t>TOTAL :</t>
        </is>
      </c>
      <c r="C62" s="1501">
        <f>+SUM(C9:C61)</f>
        <v/>
      </c>
      <c r="D62" s="1501">
        <f>+SUM(D9:D61)</f>
        <v/>
      </c>
      <c r="E62" s="1501">
        <f>+SUM(E9:E61)</f>
        <v/>
      </c>
      <c r="F62" s="1501">
        <f>+SUM(F9:F61)</f>
        <v/>
      </c>
      <c r="G62" s="1501">
        <f>+SUM(G9:G61)</f>
        <v/>
      </c>
      <c r="H62" s="1501">
        <f>SUM(H9:H59)</f>
        <v/>
      </c>
      <c r="I62" s="1501" t="n"/>
      <c r="K62" s="1549" t="n"/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 t="n">
        <v>0</v>
      </c>
      <c r="G64" s="1084">
        <f>+C62*18%</f>
        <v/>
      </c>
      <c r="H64" s="32">
        <f>+D62+E62</f>
        <v/>
      </c>
      <c r="I64" s="1084">
        <f>+G64-H64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  <c r="G70" s="1499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+C72*0.09</f>
        <v/>
      </c>
      <c r="F72" s="105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  <c r="G73" s="1084">
        <f>+C62+C72+H62</f>
        <v/>
      </c>
      <c r="H73" s="32">
        <f>+G73*0.18</f>
        <v/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800">
        <f>+D73-D74</f>
        <v/>
      </c>
      <c r="E75" s="800">
        <f>+E73-E74</f>
        <v/>
      </c>
      <c r="F75" s="108">
        <f>IF(F71&gt;F74,F71,F74)</f>
        <v/>
      </c>
      <c r="G75" s="1084">
        <f>+D75/9%</f>
        <v/>
      </c>
      <c r="H75" s="32" t="n">
        <v>0</v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+C92</f>
        <v/>
      </c>
      <c r="E82" s="105">
        <f>+D82</f>
        <v/>
      </c>
      <c r="F82" s="152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4" ht="15.75" customHeight="1">
      <c r="A84" s="75" t="n"/>
      <c r="B84" s="75" t="n"/>
      <c r="C84" s="75" t="n"/>
      <c r="D84" s="199" t="n"/>
      <c r="E84" s="199" t="n"/>
      <c r="F84" s="1550" t="n"/>
      <c r="H84" s="1084" t="n"/>
    </row>
    <row r="85" ht="15.75" customHeight="1">
      <c r="A85" s="75" t="n"/>
      <c r="B85" s="75" t="n"/>
      <c r="C85" s="75" t="n"/>
      <c r="D85" s="3" t="n"/>
      <c r="E85" s="3" t="n"/>
      <c r="F85" s="1550" t="n"/>
    </row>
    <row r="86">
      <c r="B86" s="1272" t="inlineStr">
        <is>
          <t>OUR GST NO. NOT REFLECTED ON CENVAT BILLS</t>
        </is>
      </c>
      <c r="C86" s="1041" t="n"/>
      <c r="D86" s="1041" t="n"/>
      <c r="E86" s="1041" t="n"/>
    </row>
    <row r="87">
      <c r="B87" s="1233" t="inlineStr">
        <is>
          <t>PARTY</t>
        </is>
      </c>
      <c r="C87" s="1233" t="inlineStr">
        <is>
          <t>CGST</t>
        </is>
      </c>
      <c r="D87" s="1233" t="inlineStr">
        <is>
          <t>SGST</t>
        </is>
      </c>
      <c r="E87" s="1233" t="inlineStr">
        <is>
          <t>IGST</t>
        </is>
      </c>
    </row>
    <row r="88">
      <c r="B88" s="1084" t="inlineStr">
        <is>
          <t>BSNL</t>
        </is>
      </c>
      <c r="C88" s="1520" t="n">
        <v>0</v>
      </c>
      <c r="D88" s="1520">
        <f>+C88</f>
        <v/>
      </c>
      <c r="E88" s="1520" t="n">
        <v>0</v>
      </c>
    </row>
    <row r="89">
      <c r="B89" s="1084" t="inlineStr">
        <is>
          <t>PRIME DINE</t>
        </is>
      </c>
      <c r="C89" s="1520" t="n">
        <v>0</v>
      </c>
      <c r="D89" s="1520">
        <f>+C89</f>
        <v/>
      </c>
      <c r="E89" s="1520" t="n"/>
    </row>
    <row r="90">
      <c r="B90" s="1084" t="inlineStr">
        <is>
          <t>ROHAN AGENCY</t>
        </is>
      </c>
      <c r="C90" s="1520" t="n">
        <v>0</v>
      </c>
      <c r="D90" s="1520">
        <f>+C90</f>
        <v/>
      </c>
      <c r="E90" s="1520" t="n"/>
    </row>
    <row r="91">
      <c r="B91" s="1084" t="inlineStr">
        <is>
          <t>BSNL</t>
        </is>
      </c>
      <c r="C91" s="1520" t="n">
        <v>0</v>
      </c>
      <c r="D91" s="1520">
        <f>+C91</f>
        <v/>
      </c>
      <c r="E91" s="1520" t="n">
        <v>0</v>
      </c>
    </row>
    <row r="92" ht="15.75" customHeight="1" thickBot="1">
      <c r="B92" s="1230" t="n"/>
      <c r="C92" s="180">
        <f>+SUM(C88:C91)</f>
        <v/>
      </c>
      <c r="D92" s="180">
        <f>+SUM(D88:D91)</f>
        <v/>
      </c>
      <c r="E92" s="180">
        <f>+SUM(E88:E88)</f>
        <v/>
      </c>
      <c r="G92" s="1084">
        <f>+C92/2</f>
        <v/>
      </c>
    </row>
    <row r="93" ht="15.75" customHeight="1" thickTop="1"/>
  </sheetData>
  <mergeCells count="29">
    <mergeCell ref="A80:C80"/>
    <mergeCell ref="A66:F66"/>
    <mergeCell ref="A75:C75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B86:E86"/>
    <mergeCell ref="E7:E8"/>
    <mergeCell ref="A83:C83"/>
    <mergeCell ref="A82:C82"/>
    <mergeCell ref="A1:F1"/>
    <mergeCell ref="F78:F79"/>
    <mergeCell ref="D69:D70"/>
    <mergeCell ref="B7:B8"/>
    <mergeCell ref="F69:F70"/>
    <mergeCell ref="F7:F8"/>
  </mergeCells>
  <conditionalFormatting sqref="A9:B21">
    <cfRule type="containsText" priority="26" operator="containsText" dxfId="0" text="LESS COLLECTED">
      <formula>NOT(ISERROR(SEARCH("LESS COLLECTED",A9)))</formula>
    </cfRule>
  </conditionalFormatting>
  <conditionalFormatting sqref="A22:B34">
    <cfRule type="containsText" priority="37" operator="containsText" dxfId="0" text="LESS COLLECTED">
      <formula>NOT(ISERROR(SEARCH("LESS COLLECTED",A22)))</formula>
    </cfRule>
  </conditionalFormatting>
  <conditionalFormatting sqref="A28:B32">
    <cfRule type="containsText" priority="36" operator="containsText" dxfId="1" text="EXCESS COLLECTED">
      <formula>NOT(ISERROR(SEARCH("EXCESS COLLECTED",A28)))</formula>
    </cfRule>
  </conditionalFormatting>
  <conditionalFormatting sqref="A35:B56">
    <cfRule type="containsText" priority="2" operator="containsText" dxfId="0" text="LESS COLLECTED">
      <formula>NOT(ISERROR(SEARCH("LESS COLLECTED",A35)))</formula>
    </cfRule>
  </conditionalFormatting>
  <conditionalFormatting sqref="A47:B56">
    <cfRule type="containsText" priority="1" operator="containsText" dxfId="1" text="EXCESS COLLECTED">
      <formula>NOT(ISERROR(SEARCH("EXCESS COLLECTED",A47)))</formula>
    </cfRule>
  </conditionalFormatting>
  <conditionalFormatting sqref="A57:B61">
    <cfRule type="containsText" priority="41" operator="containsText" dxfId="0" text="LESS COLLECTED">
      <formula>NOT(ISERROR(SEARCH("LESS COLLECTED",A57)))</formula>
    </cfRule>
  </conditionalFormatting>
  <conditionalFormatting sqref="A1 A2:XFD6 A7:F8 A62:J62 A66:XFD73 A75:XFD79 A80:F80 A81:XFD85 F86:XFD86 G1:XFD1 G7:I7 G9:I61 H74:XFD74 H80:XFD80 J7:XFD15 J16:J61 K16:XFD62">
    <cfRule type="containsText" priority="150" operator="containsText" dxfId="0" text="LESS COLLECTED">
      <formula>NOT(ISERROR(SEARCH("LESS COLLECTED",A1)))</formula>
    </cfRule>
  </conditionalFormatting>
  <conditionalFormatting sqref="A63:XFD65">
    <cfRule type="containsText" priority="9" operator="containsText" dxfId="0" text="LESS COLLECTED">
      <formula>NOT(ISERROR(SEARCH("LESS COLLECTED",A63)))</formula>
    </cfRule>
  </conditionalFormatting>
  <conditionalFormatting sqref="B61">
    <cfRule type="containsText" priority="40" operator="containsText" dxfId="1" text="EXCESS COLLECTED">
      <formula>NOT(ISERROR(SEARCH("EXCESS COLLECTED",B61)))</formula>
    </cfRule>
  </conditionalFormatting>
  <conditionalFormatting sqref="B87:D91">
    <cfRule type="containsText" priority="20" operator="containsText" dxfId="1" text="EXCESS COLLECTED">
      <formula>NOT(ISERROR(SEARCH("EXCESS COLLECTED",B87)))</formula>
    </cfRule>
  </conditionalFormatting>
  <conditionalFormatting sqref="C9:C61">
    <cfRule type="containsText" priority="4" operator="containsText" dxfId="0" text="LESS COLLECTED">
      <formula>NOT(ISERROR(SEARCH("LESS COLLECTED",C9)))</formula>
    </cfRule>
  </conditionalFormatting>
  <conditionalFormatting sqref="A72:F73 B86 D7:F8 D69:E70">
    <cfRule type="containsText" priority="138" operator="containsText" dxfId="1" text="EXCESS COLLECTED">
      <formula>NOT(ISERROR(SEARCH("EXCESS COLLECTED",A7)))</formula>
    </cfRule>
  </conditionalFormatting>
  <conditionalFormatting sqref="A72:F74 A86:B86 D7:F28 D69:E70">
    <cfRule type="containsText" priority="139" operator="containsText" dxfId="0" text="LESS COLLECTED">
      <formula>NOT(ISERROR(SEARCH("LESS COLLECTED",A7)))</formula>
    </cfRule>
  </conditionalFormatting>
  <conditionalFormatting sqref="D29:F61">
    <cfRule type="containsText" priority="6" operator="containsText" dxfId="0" text="LESS COLLECTED">
      <formula>NOT(ISERROR(SEARCH("LESS COLLECTED",D29)))</formula>
    </cfRule>
  </conditionalFormatting>
  <conditionalFormatting sqref="D48:F56">
    <cfRule type="containsText" priority="3" operator="containsText" dxfId="1" text="EXCESS COLLECTED">
      <formula>NOT(ISERROR(SEARCH("EXCESS COLLECTED",D48)))</formula>
    </cfRule>
  </conditionalFormatting>
  <conditionalFormatting sqref="G65">
    <cfRule type="containsText" priority="8" operator="containsText" dxfId="1" text="EXCESS COLLECTED">
      <formula>NOT(ISERROR(SEARCH("EXCESS COLLECTED",G65)))</formula>
    </cfRule>
  </conditionalFormatting>
  <pageMargins left="0.905511811023622" right="0.868110236" top="0.5" bottom="0.75" header="0.31496062992126" footer="0.31496062992126"/>
  <pageSetup orientation="landscape" paperSize="9" scale="3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O97"/>
  <sheetViews>
    <sheetView topLeftCell="A22" workbookViewId="0">
      <selection activeCell="G84" sqref="G84"/>
    </sheetView>
  </sheetViews>
  <sheetFormatPr baseColWidth="8" defaultColWidth="9.140625" defaultRowHeight="15"/>
  <cols>
    <col width="18" bestFit="1" customWidth="1" min="1" max="1"/>
    <col width="41.28515625" customWidth="1" min="2" max="2"/>
    <col width="14.5703125" customWidth="1" min="3" max="3"/>
    <col width="16.42578125" customWidth="1" min="4" max="4"/>
    <col width="16.5703125" bestFit="1" customWidth="1" min="5" max="5"/>
    <col width="11.42578125" customWidth="1" min="6" max="6"/>
    <col width="19.85546875" customWidth="1" min="7" max="7"/>
    <col width="14.28515625" customWidth="1" min="8" max="8"/>
    <col width="16.7109375" customWidth="1" style="1084" min="9" max="9"/>
    <col width="9.57031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  <c r="G1" s="1084" t="n"/>
      <c r="H1" s="32" t="n"/>
    </row>
    <row r="2" ht="15.75" customHeight="1">
      <c r="A2" s="1210" t="n"/>
      <c r="B2" s="1210" t="n"/>
      <c r="C2" s="1210" t="n"/>
      <c r="D2" s="1210" t="n"/>
      <c r="E2" s="1210" t="n"/>
      <c r="F2" s="1210" t="n"/>
      <c r="G2" s="1084" t="n"/>
      <c r="H2" s="32" t="n"/>
    </row>
    <row r="3" ht="15.75" customHeight="1">
      <c r="A3" s="1214" t="inlineStr">
        <is>
          <t>BRANCH NAME : JODHPUR BRANCH</t>
        </is>
      </c>
      <c r="G3" s="1084" t="n"/>
      <c r="H3" s="32" t="n"/>
    </row>
    <row r="4" ht="15.75" customHeight="1">
      <c r="A4" s="1214" t="inlineStr">
        <is>
          <t>BRANCH CODE: 11</t>
        </is>
      </c>
      <c r="G4" s="1084" t="n"/>
      <c r="H4" s="32" t="n"/>
    </row>
    <row r="5" ht="15.75" customHeight="1">
      <c r="A5" s="1210">
        <f>+VEJALPUR!A5</f>
        <v/>
      </c>
      <c r="G5" s="1084" t="n"/>
      <c r="H5" s="32" t="n"/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  <c r="G6" s="1084" t="n"/>
      <c r="H6" s="32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LCOKER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228" t="n"/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228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228" t="n"/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228" t="n"/>
    </row>
    <row r="13" ht="15.75" customHeight="1">
      <c r="A13" s="13" t="n">
        <v>3225</v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228" t="n"/>
    </row>
    <row r="14" ht="15.75" customHeight="1">
      <c r="A14" s="13" t="n">
        <v>3230</v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>
        <f>IF(D14&gt;0," ",C14*18%)</f>
        <v/>
      </c>
      <c r="G14" s="1510" t="n"/>
      <c r="H14" s="1510" t="n"/>
      <c r="I14" s="1228" t="n"/>
    </row>
    <row r="15" ht="15.75" customHeight="1">
      <c r="A15" s="13" t="n">
        <v>3235</v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228" t="n"/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228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228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228" t="n"/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  <c r="I19" s="1228" t="n"/>
      <c r="J19" s="1084" t="inlineStr">
        <is>
          <t xml:space="preserve"> </t>
        </is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>
        <f>IF(D20&gt;0," ",C20*18%)</f>
        <v/>
      </c>
      <c r="G20" s="1510" t="n"/>
      <c r="H20" s="1510" t="n"/>
      <c r="I20" s="1228" t="n"/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 t="n"/>
      <c r="E21" s="1497" t="n"/>
      <c r="F21" s="1497" t="n"/>
      <c r="G21" s="1510" t="n"/>
      <c r="H21" s="1510" t="n"/>
      <c r="I21" s="1228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228" t="n"/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228" t="n"/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>
        <f>IF(D24&gt;0," ",C24*18%)</f>
        <v/>
      </c>
      <c r="G24" s="1510" t="n"/>
      <c r="H24" s="1510" t="n"/>
      <c r="I24" s="1228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228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228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228" t="n"/>
    </row>
    <row r="28" ht="15.75" customHeight="1">
      <c r="A28" s="137" t="inlineStr">
        <is>
          <t>3291</t>
        </is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228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228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228" t="n"/>
      <c r="J30" s="32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228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228" t="n"/>
    </row>
    <row r="33" ht="15.75" customHeight="1">
      <c r="A33" s="13" t="n">
        <v>3300</v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 t="n">
        <v>0</v>
      </c>
      <c r="G33" s="1510" t="n"/>
      <c r="H33" s="1510" t="n"/>
      <c r="I33" s="1228" t="n"/>
    </row>
    <row r="34" ht="15.75" customHeight="1">
      <c r="A34" s="13" t="n">
        <v>3301</v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228" t="n"/>
    </row>
    <row r="35" ht="15.75" customHeight="1">
      <c r="A35" s="1187" t="n">
        <v>3302</v>
      </c>
      <c r="B35" s="1220" t="inlineStr">
        <is>
          <t>PO CANCEL CHRAGES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228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228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228" t="n"/>
    </row>
    <row r="38" ht="15" customHeight="1">
      <c r="A38" s="13" t="n">
        <v>3310</v>
      </c>
      <c r="B38" s="1220" t="inlineStr">
        <is>
          <t>MIS. INCOME</t>
        </is>
      </c>
      <c r="C38" s="1551" t="n"/>
      <c r="D38" s="1497">
        <f>+C38*9%</f>
        <v/>
      </c>
      <c r="E38" s="1497">
        <f>+D38</f>
        <v/>
      </c>
      <c r="F38" s="1497">
        <f>IF(D38&gt;0," ",C38*18%)</f>
        <v/>
      </c>
      <c r="G38" s="1510" t="n"/>
      <c r="H38" s="1510" t="n"/>
      <c r="I38" s="1228" t="n"/>
    </row>
    <row r="39" ht="15.75" customHeight="1">
      <c r="A39" s="13" t="n">
        <v>3311</v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  <c r="I39" s="1228" t="n"/>
    </row>
    <row r="40" ht="15.75" customHeight="1">
      <c r="A40" s="13" t="n">
        <v>3312</v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228" t="n"/>
    </row>
    <row r="41" ht="15.75" customHeight="1">
      <c r="A41" s="13" t="n">
        <v>3313</v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228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228" t="n"/>
      <c r="J42" s="73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228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228" t="n"/>
    </row>
    <row r="45" ht="15.75" customHeight="1">
      <c r="A45" s="1187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228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228" t="n"/>
    </row>
    <row r="47" ht="15.75" customHeight="1">
      <c r="A47" s="1187" t="n">
        <v>3320</v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 t="n">
        <v>0</v>
      </c>
      <c r="G47" s="1510" t="n"/>
      <c r="H47" s="1510" t="n"/>
      <c r="I47" s="1228" t="n"/>
    </row>
    <row r="48" ht="15.75" customHeight="1">
      <c r="A48" s="1187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228" t="n"/>
    </row>
    <row r="49" ht="15.75" customHeight="1">
      <c r="A49" s="1187" t="n">
        <v>3322</v>
      </c>
      <c r="B49" s="1220" t="inlineStr">
        <is>
          <t>INCOME FROM SALE OF OLD NEWS PAPERS</t>
        </is>
      </c>
      <c r="C49" s="1551" t="n"/>
      <c r="D49" s="1497">
        <f>+C49*5%</f>
        <v/>
      </c>
      <c r="E49" s="1497">
        <f>+D49</f>
        <v/>
      </c>
      <c r="F49" s="1497" t="n"/>
      <c r="G49" s="1510" t="n"/>
      <c r="H49" s="1510" t="n"/>
      <c r="I49" s="1228" t="n"/>
    </row>
    <row r="50" ht="15.75" customHeight="1">
      <c r="A50" s="1187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 t="n"/>
      <c r="G50" s="1510" t="n"/>
      <c r="H50" s="1510" t="n"/>
      <c r="I50" s="1228" t="n"/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228" t="n"/>
    </row>
    <row r="52" ht="15.75" customHeight="1">
      <c r="A52" s="1187" t="n">
        <v>3391</v>
      </c>
      <c r="B52" s="1220" t="inlineStr">
        <is>
          <t>SMS CHARGES INCOME RECEIVED</t>
        </is>
      </c>
      <c r="C52" s="1551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  <c r="I52" s="1228" t="n"/>
      <c r="J52" s="1084" t="inlineStr">
        <is>
          <t xml:space="preserve"> </t>
        </is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497">
        <f>+C53*9%</f>
        <v/>
      </c>
      <c r="E53" s="1497">
        <f>+D53</f>
        <v/>
      </c>
      <c r="F53" s="1497" t="n"/>
      <c r="G53" s="1510" t="n"/>
      <c r="H53" s="1510" t="n"/>
      <c r="I53" s="1228" t="n"/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497">
        <f>+C54*9%</f>
        <v/>
      </c>
      <c r="E54" s="1497">
        <f>+D54</f>
        <v/>
      </c>
      <c r="F54" s="1497" t="n"/>
      <c r="G54" s="1510" t="n"/>
      <c r="H54" s="1510" t="n"/>
      <c r="I54" s="1228" t="n"/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497" t="n"/>
      <c r="E55" s="1497" t="n"/>
      <c r="F55" s="1497" t="n"/>
      <c r="G55" s="1510" t="n"/>
      <c r="H55" s="1510" t="n"/>
      <c r="I55" s="1228" t="n"/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228" t="n"/>
    </row>
    <row r="57" ht="15.75" customHeight="1">
      <c r="A57" s="15" t="inlineStr">
        <is>
          <t>GL</t>
        </is>
      </c>
      <c r="B57" s="1220" t="n"/>
      <c r="C57" s="1551" t="n"/>
      <c r="D57" s="1497" t="n"/>
      <c r="E57" s="1497" t="n"/>
      <c r="F57" s="1497" t="n"/>
      <c r="G57" s="1510" t="n"/>
      <c r="H57" s="1510" t="n"/>
      <c r="I57" s="1228" t="n"/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497">
        <f>+C58*9%</f>
        <v/>
      </c>
      <c r="E58" s="1497">
        <f>+D58</f>
        <v/>
      </c>
      <c r="F58" s="1497" t="n">
        <v>0</v>
      </c>
      <c r="G58" s="1510" t="n"/>
      <c r="H58" s="1510" t="n"/>
      <c r="I58" s="1228" t="n"/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497">
        <f>+C59*9%</f>
        <v/>
      </c>
      <c r="E59" s="1497">
        <f>+D59</f>
        <v/>
      </c>
      <c r="F59" s="1497" t="n">
        <v>0</v>
      </c>
      <c r="G59" s="1510" t="n"/>
      <c r="H59" s="1510" t="n"/>
      <c r="I59" s="1228" t="n"/>
      <c r="K59" s="1084" t="inlineStr">
        <is>
          <t xml:space="preserve"> </t>
        </is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497">
        <f>+C60*9%</f>
        <v/>
      </c>
      <c r="E60" s="1497">
        <f>+D60</f>
        <v/>
      </c>
      <c r="F60" s="1497" t="n"/>
      <c r="G60" s="1510" t="n"/>
      <c r="H60" s="1510" t="n"/>
      <c r="I60" s="1228" t="n"/>
    </row>
    <row r="61" ht="15.75" customHeight="1">
      <c r="A61" s="435" t="n"/>
      <c r="B61" s="433" t="inlineStr">
        <is>
          <t>SALE OF ASSET ( CASH COUNTING MACHINE)</t>
        </is>
      </c>
      <c r="C61" s="1551" t="n"/>
      <c r="D61" s="1500">
        <f>+C61*0.09</f>
        <v/>
      </c>
      <c r="E61" s="1500">
        <f>+D61</f>
        <v/>
      </c>
      <c r="F61" s="1500" t="n"/>
      <c r="G61" s="1510" t="n"/>
      <c r="H61" s="1510" t="n"/>
      <c r="I61" s="1228" t="n"/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SUM(G9:G59)</f>
        <v/>
      </c>
      <c r="H62" s="1501">
        <f>SUM(H9:H59)</f>
        <v/>
      </c>
      <c r="I62" s="1501" t="n"/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  <c r="G63" s="1084" t="n"/>
      <c r="H63" s="32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/>
      <c r="D64" s="1503">
        <f>+C64*9%</f>
        <v/>
      </c>
      <c r="E64" s="1503">
        <f>+D64</f>
        <v/>
      </c>
      <c r="F64" s="1503">
        <f>IF(D64&gt;0," ",C64*18%)</f>
        <v/>
      </c>
      <c r="G64" s="1084" t="n"/>
      <c r="H64" s="32" t="n"/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543">
        <f>+D62/C62</f>
        <v/>
      </c>
      <c r="H65" s="32" t="n"/>
    </row>
    <row r="66" ht="15.75" customHeight="1">
      <c r="A66" s="1210" t="inlineStr">
        <is>
          <t xml:space="preserve">SUMMARY </t>
        </is>
      </c>
      <c r="G66" s="1084" t="n"/>
      <c r="H66" s="32" t="n"/>
    </row>
    <row r="67" ht="15.75" customHeight="1">
      <c r="A67" s="1214" t="n"/>
      <c r="B67" s="1214" t="n"/>
      <c r="C67" s="1214" t="n"/>
      <c r="D67" s="1214" t="n"/>
      <c r="E67" s="1214" t="n"/>
      <c r="F67" s="1214" t="n"/>
      <c r="G67" s="1084" t="inlineStr">
        <is>
          <t xml:space="preserve"> </t>
        </is>
      </c>
      <c r="H67" s="32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G68" s="1084" t="n"/>
      <c r="H68" s="32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  <c r="G69" s="1084" t="n"/>
      <c r="H69" s="32">
        <f>337.5+192.42+815.4+121.14+57.69+133.38+145.35</f>
        <v/>
      </c>
      <c r="I69" s="1084">
        <f>+H69/9%</f>
        <v/>
      </c>
    </row>
    <row r="70">
      <c r="A70" s="1506" t="n"/>
      <c r="B70" s="1041" t="n"/>
      <c r="C70" s="1507" t="n"/>
      <c r="D70" s="1494" t="n"/>
      <c r="E70" s="1494" t="n"/>
      <c r="F70" s="1494" t="n"/>
      <c r="G70" s="1084" t="n"/>
      <c r="H70" s="32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  <c r="G71" s="1084" t="n"/>
      <c r="H71" s="32">
        <f>16.2/9%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+G62</f>
        <v/>
      </c>
      <c r="D72" s="106">
        <f>+C72*0.09</f>
        <v/>
      </c>
      <c r="E72" s="106">
        <f>+C72*0.09</f>
        <v/>
      </c>
      <c r="F72" s="105" t="n">
        <v>0</v>
      </c>
      <c r="G72" s="1084" t="inlineStr">
        <is>
          <t xml:space="preserve"> </t>
        </is>
      </c>
      <c r="H72" s="32">
        <f>13.5/9%</f>
        <v/>
      </c>
      <c r="O72" s="1084">
        <f>+M72-N72</f>
        <v/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  <c r="G73" s="1084" t="n"/>
      <c r="H73" s="32" t="n"/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G74" s="1084" t="n"/>
      <c r="H74" s="32" t="n"/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800">
        <f>+D73-D74</f>
        <v/>
      </c>
      <c r="E75" s="800">
        <f>+E73-E74</f>
        <v/>
      </c>
      <c r="F75" s="108">
        <f>IF(F71&gt;F74,F71,F74)</f>
        <v/>
      </c>
      <c r="G75" s="32">
        <f>D75/9%</f>
        <v/>
      </c>
      <c r="H75" s="32" t="n"/>
    </row>
    <row r="76" ht="15.75" customHeight="1">
      <c r="A76" s="3" t="n"/>
      <c r="B76" s="2" t="n"/>
      <c r="C76" s="3" t="n"/>
      <c r="D76" s="942" t="n"/>
      <c r="E76" s="3" t="n"/>
      <c r="F76" s="199" t="n"/>
      <c r="G76" s="1084" t="n"/>
      <c r="H76" s="32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  <c r="G77" s="1084" t="n"/>
      <c r="H77" s="32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  <c r="G78" s="1084" t="n"/>
      <c r="H78" s="32" t="n"/>
    </row>
    <row r="79">
      <c r="A79" s="1506" t="n"/>
      <c r="B79" s="1041" t="n"/>
      <c r="C79" s="1507" t="n"/>
      <c r="D79" s="1494" t="n"/>
      <c r="E79" s="1494" t="n"/>
      <c r="F79" s="1494" t="n"/>
      <c r="G79" s="1084" t="n"/>
      <c r="H79" s="32" t="n"/>
    </row>
    <row r="80">
      <c r="A80" s="1228" t="n"/>
      <c r="B80" s="1042" t="n"/>
      <c r="C80" s="1508" t="n"/>
      <c r="D80" s="1228" t="n"/>
      <c r="E80" s="1228" t="n"/>
      <c r="F80" s="1228" t="n"/>
      <c r="G80" s="1084" t="n"/>
      <c r="H80" s="32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529" t="n">
        <v>0</v>
      </c>
      <c r="G81" s="32">
        <f>+E81/2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+C92</f>
        <v/>
      </c>
      <c r="E82" s="105">
        <f>+D82</f>
        <v/>
      </c>
      <c r="F82" s="152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4.2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+E83/2</f>
        <v/>
      </c>
      <c r="H83" s="32">
        <f>+E83/2</f>
        <v/>
      </c>
      <c r="I83" s="32">
        <f>+F83/2</f>
        <v/>
      </c>
    </row>
    <row r="84" ht="15.75" customHeight="1">
      <c r="A84" s="75" t="n"/>
      <c r="B84" s="75" t="n"/>
      <c r="C84" s="75" t="n"/>
      <c r="D84" s="3" t="n"/>
      <c r="E84" s="3" t="n"/>
      <c r="F84" s="1550" t="n"/>
      <c r="G84" s="1084" t="n"/>
      <c r="H84" s="32" t="n"/>
    </row>
    <row r="85" ht="15.75" customHeight="1">
      <c r="A85" s="803" t="n"/>
      <c r="B85" s="803" t="n"/>
      <c r="C85" s="803" t="n"/>
      <c r="D85" s="803" t="n"/>
      <c r="E85" s="803" t="n"/>
      <c r="F85" s="803" t="n"/>
      <c r="G85" s="1084" t="n"/>
      <c r="H85" s="32" t="n"/>
    </row>
    <row r="86" ht="15.75" customHeight="1">
      <c r="A86" s="402" t="n"/>
      <c r="B86" s="402" t="n"/>
      <c r="C86" s="402" t="n"/>
      <c r="D86" s="402" t="n"/>
      <c r="E86" s="402" t="n"/>
      <c r="F86" s="402" t="n"/>
      <c r="G86" s="1084" t="n"/>
      <c r="H86" s="32" t="n"/>
    </row>
    <row r="87">
      <c r="A87" s="136" t="n"/>
      <c r="B87" s="145" t="inlineStr">
        <is>
          <t>INELLIGBLE CREDIT</t>
        </is>
      </c>
      <c r="C87" s="112" t="n"/>
      <c r="D87" s="112" t="n"/>
      <c r="E87" s="112" t="n"/>
      <c r="F87" s="71" t="n"/>
      <c r="G87" s="1084" t="n"/>
      <c r="H87" s="32" t="n"/>
    </row>
    <row r="88">
      <c r="A88" s="74" t="n"/>
      <c r="B88" s="145" t="inlineStr">
        <is>
          <t>PARTY NAME</t>
        </is>
      </c>
      <c r="C88" s="1356" t="inlineStr">
        <is>
          <t>GGST</t>
        </is>
      </c>
      <c r="D88" s="1356" t="inlineStr">
        <is>
          <t>CGST</t>
        </is>
      </c>
      <c r="E88" s="145" t="inlineStr">
        <is>
          <t>IGST</t>
        </is>
      </c>
      <c r="F88" s="71" t="n"/>
      <c r="G88" s="1084" t="n"/>
      <c r="H88" s="32" t="n"/>
    </row>
    <row r="89">
      <c r="A89" s="1084" t="n"/>
      <c r="B89" s="1084" t="inlineStr">
        <is>
          <t>BSNL</t>
        </is>
      </c>
      <c r="C89" s="1552" t="n">
        <v>0</v>
      </c>
      <c r="D89" s="1552">
        <f>+C89</f>
        <v/>
      </c>
      <c r="E89" s="1084" t="n">
        <v>0</v>
      </c>
      <c r="F89" s="1084" t="n"/>
      <c r="G89" s="1084" t="n"/>
      <c r="H89" s="32" t="n"/>
    </row>
    <row r="90">
      <c r="A90" s="1084" t="n"/>
      <c r="B90" s="1084" t="inlineStr">
        <is>
          <t>ROHAN AGENCY</t>
        </is>
      </c>
      <c r="C90" s="1552" t="n">
        <v>0</v>
      </c>
      <c r="D90" s="1552">
        <f>+C90</f>
        <v/>
      </c>
      <c r="E90" s="1084" t="n"/>
      <c r="F90" s="1084" t="n"/>
      <c r="G90" s="1084" t="n"/>
      <c r="H90" s="32" t="n"/>
    </row>
    <row r="91">
      <c r="A91" s="1084" t="n"/>
      <c r="B91" s="1084" t="inlineStr">
        <is>
          <t>BSNL</t>
        </is>
      </c>
      <c r="C91" s="1552" t="n">
        <v>0</v>
      </c>
      <c r="D91" s="1552">
        <f>+C91</f>
        <v/>
      </c>
      <c r="E91" s="1084" t="n"/>
      <c r="F91" s="1084" t="n"/>
      <c r="G91" s="1084" t="n"/>
      <c r="H91" s="32" t="n"/>
    </row>
    <row r="92">
      <c r="A92" s="1084" t="n"/>
      <c r="B92" s="141" t="inlineStr">
        <is>
          <t>TOTAL</t>
        </is>
      </c>
      <c r="C92" s="1553">
        <f>+SUM(C89:C91)</f>
        <v/>
      </c>
      <c r="D92" s="1553">
        <f>+SUM(D89:D91)</f>
        <v/>
      </c>
      <c r="E92" s="1553">
        <f>SUM(E89:E89)</f>
        <v/>
      </c>
      <c r="F92" s="1084" t="n"/>
      <c r="G92" s="1084" t="n"/>
      <c r="H92" s="32" t="n"/>
    </row>
    <row r="93">
      <c r="A93" s="1084" t="n"/>
      <c r="B93" s="1084" t="n"/>
      <c r="C93" s="1084" t="n"/>
      <c r="D93" s="1084" t="n"/>
      <c r="E93" s="1084" t="n"/>
      <c r="F93" s="1084" t="n"/>
      <c r="G93" s="1084" t="n"/>
      <c r="H93" s="32" t="n"/>
    </row>
    <row r="94" ht="14.45" customHeight="1">
      <c r="A94" s="402" t="n"/>
      <c r="B94" s="402" t="n"/>
      <c r="C94" s="402" t="n"/>
      <c r="D94" s="402" t="n"/>
      <c r="E94" s="402" t="n"/>
      <c r="F94" s="402" t="n"/>
      <c r="G94" s="1084" t="n"/>
      <c r="H94" s="32" t="n"/>
    </row>
    <row r="95">
      <c r="A95" s="1084" t="n"/>
      <c r="B95" s="1084" t="n"/>
      <c r="C95" s="1084" t="n"/>
      <c r="D95" s="1084" t="n"/>
      <c r="E95" s="1084" t="n"/>
      <c r="F95" s="1084" t="n"/>
      <c r="G95" s="1084" t="n"/>
      <c r="H95" s="32" t="n"/>
    </row>
    <row r="96">
      <c r="A96" s="1034" t="n"/>
      <c r="B96" s="1034" t="n"/>
      <c r="C96" s="1034" t="n"/>
      <c r="D96" s="1034" t="n"/>
      <c r="E96" s="1034" t="n"/>
      <c r="F96" s="1034" t="n"/>
    </row>
    <row r="97">
      <c r="A97" s="1034" t="n"/>
      <c r="B97" s="1034" t="n"/>
      <c r="C97" s="1034" t="n"/>
      <c r="D97" s="1034" t="n"/>
      <c r="E97" s="1034" t="n"/>
      <c r="F97" s="1034" t="n"/>
    </row>
  </sheetData>
  <mergeCells count="28">
    <mergeCell ref="A80:C80"/>
    <mergeCell ref="A75:C75"/>
    <mergeCell ref="A66:F66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1:F1"/>
    <mergeCell ref="D69:D70"/>
    <mergeCell ref="F78:F79"/>
    <mergeCell ref="B7:B8"/>
    <mergeCell ref="F69:F70"/>
    <mergeCell ref="F7:F8"/>
  </mergeCells>
  <conditionalFormatting sqref="A28:B32 A87:A88">
    <cfRule type="containsText" priority="44" operator="containsText" dxfId="1" text="EXCESS COLLECTED">
      <formula>NOT(ISERROR(SEARCH("EXCESS COLLECTED",A28)))</formula>
    </cfRule>
  </conditionalFormatting>
  <conditionalFormatting sqref="A10:B21 G81:XFD94">
    <cfRule type="containsText" priority="34" operator="containsText" dxfId="0" text="LESS COLLECTED">
      <formula>NOT(ISERROR(SEARCH("LESS COLLECTED",A10)))</formula>
    </cfRule>
  </conditionalFormatting>
  <conditionalFormatting sqref="A22:B34">
    <cfRule type="containsText" priority="45" operator="containsText" dxfId="0" text="LESS COLLECTED">
      <formula>NOT(ISERROR(SEARCH("LESS COLLECTED",A22)))</formula>
    </cfRule>
  </conditionalFormatting>
  <conditionalFormatting sqref="A35:B56">
    <cfRule type="containsText" priority="2" operator="containsText" dxfId="0" text="LESS COLLECTED">
      <formula>NOT(ISERROR(SEARCH("LESS COLLECTED",A35)))</formula>
    </cfRule>
  </conditionalFormatting>
  <conditionalFormatting sqref="A47:B56">
    <cfRule type="containsText" priority="1" operator="containsText" dxfId="1" text="EXCESS COLLECTED">
      <formula>NOT(ISERROR(SEARCH("EXCESS COLLECTED",A47)))</formula>
    </cfRule>
  </conditionalFormatting>
  <conditionalFormatting sqref="A57:B61">
    <cfRule type="containsText" priority="49" operator="containsText" dxfId="0" text="LESS COLLECTED">
      <formula>NOT(ISERROR(SEARCH("LESS COLLECTED",A57)))</formula>
    </cfRule>
  </conditionalFormatting>
  <conditionalFormatting sqref="A1:XFD7 A8:F8 A9:XFD9 A95:XFD95 F87:F93 H74:XFD74 H80:XFD80 I96:XFD1048576 J8:XFD8">
    <cfRule type="containsText" priority="94" operator="containsText" dxfId="0" text="LESS COLLECTED">
      <formula>NOT(ISERROR(SEARCH("LESS COLLECTED",A1)))</formula>
    </cfRule>
  </conditionalFormatting>
  <conditionalFormatting sqref="B61">
    <cfRule type="containsText" priority="48" operator="containsText" dxfId="1" text="EXCESS COLLECTED">
      <formula>NOT(ISERROR(SEARCH("EXCESS COLLECTED",B61)))</formula>
    </cfRule>
  </conditionalFormatting>
  <conditionalFormatting sqref="B89:C91">
    <cfRule type="containsText" priority="28" operator="containsText" dxfId="0" text="LESS COLLECTED">
      <formula>NOT(ISERROR(SEARCH("LESS COLLECTED",B89)))</formula>
    </cfRule>
  </conditionalFormatting>
  <conditionalFormatting sqref="B89:D91">
    <cfRule type="containsText" priority="27" operator="containsText" dxfId="1" text="EXCESS COLLECTED">
      <formula>NOT(ISERROR(SEARCH("EXCESS COLLECTED",B89)))</formula>
    </cfRule>
  </conditionalFormatting>
  <conditionalFormatting sqref="B92:E92">
    <cfRule type="containsText" priority="79" operator="containsText" dxfId="0" text="LESS COLLECTED">
      <formula>NOT(ISERROR(SEARCH("LESS COLLECTED",B92)))</formula>
    </cfRule>
  </conditionalFormatting>
  <conditionalFormatting sqref="C88:D88 C92:D92">
    <cfRule type="containsText" priority="78" operator="containsText" dxfId="1" text="EXCESS COLLECTED">
      <formula>NOT(ISERROR(SEARCH("EXCESS COLLECTED",C88)))</formula>
    </cfRule>
  </conditionalFormatting>
  <conditionalFormatting sqref="C10:F62">
    <cfRule type="containsText" priority="4" operator="containsText" dxfId="0" text="LESS COLLECTED">
      <formula>NOT(ISERROR(SEARCH("LESS COLLECTED",C10)))</formula>
    </cfRule>
  </conditionalFormatting>
  <conditionalFormatting sqref="D89:E92">
    <cfRule type="containsText" priority="57" operator="containsText" dxfId="0" text="LESS COLLECTED">
      <formula>NOT(ISERROR(SEARCH("LESS COLLECTED",D89)))</formula>
    </cfRule>
  </conditionalFormatting>
  <conditionalFormatting sqref="D92:E92">
    <cfRule type="containsText" priority="56" operator="containsText" dxfId="1" text="EXCESS COLLECTED">
      <formula>NOT(ISERROR(SEARCH("EXCESS COLLECTED",D92)))</formula>
    </cfRule>
  </conditionalFormatting>
  <conditionalFormatting sqref="A66:F84 A85 B87:E87 C88:E88 D7:F8">
    <cfRule type="containsText" priority="87" operator="containsText" dxfId="0" text="LESS COLLECTED">
      <formula>NOT(ISERROR(SEARCH("LESS COLLECTED",A7)))</formula>
    </cfRule>
  </conditionalFormatting>
  <conditionalFormatting sqref="A72:F73 B87 D7:F8 D69:E70">
    <cfRule type="containsText" priority="86" operator="containsText" dxfId="1" text="EXCESS COLLECTED">
      <formula>NOT(ISERROR(SEARCH("EXCESS COLLECTED",A7)))</formula>
    </cfRule>
  </conditionalFormatting>
  <conditionalFormatting sqref="D48:F56">
    <cfRule type="containsText" priority="3" operator="containsText" dxfId="1" text="EXCESS COLLECTED">
      <formula>NOT(ISERROR(SEARCH("EXCESS COLLECTED",D48)))</formula>
    </cfRule>
  </conditionalFormatting>
  <conditionalFormatting sqref="E92">
    <cfRule type="containsText" priority="54" operator="containsText" dxfId="1" text="EXCESS COLLECTED">
      <formula>NOT(ISERROR(SEARCH("EXCESS COLLECTED",E92)))</formula>
    </cfRule>
    <cfRule type="containsText" priority="55" operator="containsText" dxfId="0" text="LESS COLLECTED">
      <formula>NOT(ISERROR(SEARCH("LESS COLLECTED",E92)))</formula>
    </cfRule>
  </conditionalFormatting>
  <conditionalFormatting sqref="A87:A94 G75 G76:XFD79 I75:XFD75">
    <cfRule type="containsText" priority="9" operator="containsText" dxfId="0" text="LESS COLLECTED">
      <formula>NOT(ISERROR(SEARCH("LESS COLLECTED",A75)))</formula>
    </cfRule>
  </conditionalFormatting>
  <pageMargins left="0.7" right="0.7" top="0.75" bottom="0.75" header="0.3" footer="0.3"/>
  <pageSetup orientation="portrait" paperSize="9" scale="48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K96"/>
  <sheetViews>
    <sheetView topLeftCell="A73" zoomScaleNormal="100" workbookViewId="0">
      <selection activeCell="F89" sqref="F89"/>
    </sheetView>
  </sheetViews>
  <sheetFormatPr baseColWidth="8" defaultColWidth="9.140625" defaultRowHeight="15"/>
  <cols>
    <col width="14.28515625" customWidth="1" min="1" max="1"/>
    <col width="50" bestFit="1" customWidth="1" min="2" max="2"/>
    <col width="16.42578125" customWidth="1" min="3" max="3"/>
    <col width="21" customWidth="1" min="4" max="4"/>
    <col width="18.7109375" customWidth="1" min="5" max="5"/>
    <col width="16.7109375" bestFit="1" customWidth="1" min="6" max="6"/>
    <col width="17" customWidth="1" min="7" max="7"/>
    <col width="15.5703125" customWidth="1" min="8" max="8"/>
    <col width="10.28515625" bestFit="1" customWidth="1" min="9" max="9"/>
    <col width="17.28515625" bestFit="1" customWidth="1" style="1084" min="10" max="10"/>
    <col width="12.85546875" bestFit="1" customWidth="1" style="1084" min="11" max="11"/>
    <col width="9.140625" customWidth="1" style="1084" min="12" max="14"/>
    <col width="1.7109375" bestFit="1" customWidth="1" style="1084" min="15" max="15"/>
    <col width="9.140625" customWidth="1" style="1084" min="16" max="16384"/>
  </cols>
  <sheetData>
    <row r="1" ht="15.75" customHeight="1">
      <c r="A1" s="1210" t="inlineStr">
        <is>
          <t>NUTAN NAGARIK SAHAKARI BANK LTD (GUJARAT BRANCHES &amp; HEAD OFFICE)</t>
        </is>
      </c>
      <c r="G1" s="1084" t="n"/>
      <c r="H1" s="32" t="n"/>
      <c r="I1" s="1084" t="n"/>
    </row>
    <row r="2" ht="15.75" customHeight="1">
      <c r="A2" s="1210" t="n"/>
      <c r="B2" s="1210" t="n"/>
      <c r="C2" s="1210" t="n"/>
      <c r="D2" s="1210" t="n"/>
      <c r="E2" s="1210" t="n"/>
      <c r="F2" s="1210" t="n"/>
      <c r="G2" s="1084" t="n"/>
      <c r="H2" s="32" t="n"/>
      <c r="I2" s="1084" t="n"/>
    </row>
    <row r="3" ht="15.75" customHeight="1">
      <c r="A3" s="1214" t="inlineStr">
        <is>
          <t>BRANCH NAME : PANJRAPOLE BRANCH</t>
        </is>
      </c>
      <c r="G3" s="1084" t="n"/>
      <c r="H3" s="32" t="n"/>
      <c r="I3" s="1084" t="n"/>
    </row>
    <row r="4" ht="15.75" customHeight="1">
      <c r="A4" s="1214" t="inlineStr">
        <is>
          <t>BRANCH CODE:10</t>
        </is>
      </c>
      <c r="G4" s="1084" t="n"/>
      <c r="H4" s="32" t="n"/>
      <c r="I4" s="1084" t="n"/>
    </row>
    <row r="5" ht="15.75" customHeight="1">
      <c r="A5" s="1210">
        <f>+'JODHPUR-SATELLITE'!A5</f>
        <v/>
      </c>
      <c r="G5" s="1084" t="n"/>
      <c r="H5" s="32" t="n"/>
      <c r="I5" s="1084" t="n"/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  <c r="G6" s="1084" t="n"/>
      <c r="H6" s="32" t="n"/>
      <c r="I6" s="1084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510" t="n">
        <v>0</v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3" t="inlineStr">
        <is>
          <t>3225</t>
        </is>
      </c>
      <c r="B13" s="1220" t="inlineStr">
        <is>
          <t>COMMISION 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3" t="n">
        <v>3230</v>
      </c>
      <c r="B14" s="1220" t="inlineStr">
        <is>
          <t>COMMISION ON GUARANTEE</t>
        </is>
      </c>
      <c r="C14" s="1497" t="n"/>
      <c r="D14" s="1497">
        <f>+C14*9%</f>
        <v/>
      </c>
      <c r="E14" s="1497">
        <f>+D14</f>
        <v/>
      </c>
      <c r="F14" s="1497" t="n">
        <v>0</v>
      </c>
      <c r="G14" s="1510" t="n"/>
      <c r="H14" s="1510" t="n"/>
      <c r="I14" s="1510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510" t="n">
        <v>0</v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>
        <f>IF(D20&gt;0," ",C20*18%)</f>
        <v/>
      </c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 t="n"/>
      <c r="E21" s="1497" t="n"/>
      <c r="F21" s="1497" t="n"/>
      <c r="G21" s="1510" t="n"/>
      <c r="H21" s="1510" t="n"/>
      <c r="I21" s="1510" t="n">
        <v>0</v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 t="n">
        <v>0</v>
      </c>
      <c r="G22" s="1510" t="n"/>
      <c r="H22" s="1510" t="n"/>
      <c r="I22" s="1510" t="n">
        <v>0</v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 t="inlineStr">
        <is>
          <t xml:space="preserve"> </t>
        </is>
      </c>
      <c r="G24" s="1510" t="n"/>
      <c r="H24" s="1510" t="n"/>
      <c r="I24" s="1510" t="n">
        <v>0</v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510" t="n">
        <v>0</v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510" t="n">
        <v>0</v>
      </c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37" t="n">
        <v>3291</v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187" t="inlineStr">
        <is>
          <t>3300</t>
        </is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 t="n">
        <v>0</v>
      </c>
      <c r="G33" s="1510" t="n"/>
      <c r="H33" s="1510" t="n"/>
      <c r="I33" s="1510" t="n">
        <v>0</v>
      </c>
    </row>
    <row r="34" ht="15.75" customHeight="1">
      <c r="A34" s="13" t="n">
        <v>3301</v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3" t="inlineStr">
        <is>
          <t>3310</t>
        </is>
      </c>
      <c r="B38" s="1220" t="inlineStr">
        <is>
          <t xml:space="preserve">MIS. INCOME </t>
        </is>
      </c>
      <c r="C38" s="1551" t="n"/>
      <c r="D38" s="1497">
        <f>+C38*9%</f>
        <v/>
      </c>
      <c r="E38" s="1497">
        <f>+D38</f>
        <v/>
      </c>
      <c r="F38" s="1497" t="n">
        <v>0</v>
      </c>
      <c r="G38" s="1510" t="n"/>
      <c r="H38" s="1510" t="n"/>
      <c r="I38" s="1510" t="n">
        <v>0</v>
      </c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  <c r="I39" s="1510" t="n">
        <v>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510" t="n">
        <v>0</v>
      </c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187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187" t="n">
        <v>3320</v>
      </c>
      <c r="B47" s="1220" t="inlineStr">
        <is>
          <t xml:space="preserve">RENT ON LOCKER </t>
        </is>
      </c>
      <c r="C47" s="1551" t="n"/>
      <c r="D47" s="1497">
        <f>+C47*9%</f>
        <v/>
      </c>
      <c r="E47" s="1497">
        <f>+D47</f>
        <v/>
      </c>
      <c r="F47" s="1497" t="n"/>
      <c r="G47" s="1510" t="n"/>
      <c r="H47" s="1510" t="n"/>
      <c r="I47" s="1510" t="n">
        <v>0</v>
      </c>
    </row>
    <row r="48" ht="15.75" customHeight="1">
      <c r="A48" s="1187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510" t="n">
        <v>0</v>
      </c>
    </row>
    <row r="49" ht="15.75" customHeight="1">
      <c r="A49" s="1187" t="n">
        <v>3322</v>
      </c>
      <c r="B49" s="1220" t="inlineStr">
        <is>
          <t>INCOME FROM SALE OF OLD NEWS PAPERS</t>
        </is>
      </c>
      <c r="C49" s="1551" t="n"/>
      <c r="D49" s="1497">
        <f>+C49*2.5%</f>
        <v/>
      </c>
      <c r="E49" s="1497">
        <f>+D49</f>
        <v/>
      </c>
      <c r="F49" s="1497" t="n"/>
      <c r="G49" s="1510" t="n"/>
      <c r="H49" s="1510" t="n"/>
      <c r="I49" s="1510" t="n">
        <v>0</v>
      </c>
      <c r="J49" s="1554">
        <f>+C50-J50</f>
        <v/>
      </c>
    </row>
    <row r="50" ht="15.75" customHeight="1">
      <c r="A50" s="1187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 t="n"/>
      <c r="G50" s="1510" t="n"/>
      <c r="H50" s="1510" t="n"/>
      <c r="I50" s="1510" t="n">
        <v>0</v>
      </c>
      <c r="J50" s="1084" t="n">
        <v>10941</v>
      </c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5.75" customHeight="1">
      <c r="A52" s="1187" t="n">
        <v>3391</v>
      </c>
      <c r="B52" s="1220" t="inlineStr">
        <is>
          <t>SMS CHARGES INCOME RECEIVED</t>
        </is>
      </c>
      <c r="C52" s="1551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  <c r="I52" s="1510" t="n">
        <v>0</v>
      </c>
      <c r="J52" s="1276" t="n"/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497">
        <f>+C53*9%</f>
        <v/>
      </c>
      <c r="E53" s="1497">
        <f>+D53</f>
        <v/>
      </c>
      <c r="F53" s="1497">
        <f>IF(D53&gt;0," ",C53*18%)</f>
        <v/>
      </c>
      <c r="G53" s="1510" t="n"/>
      <c r="H53" s="1510" t="n"/>
      <c r="I53" s="1510" t="n">
        <v>0</v>
      </c>
      <c r="J53" s="1555" t="n"/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497">
        <f>+C54*9%</f>
        <v/>
      </c>
      <c r="E54" s="1497">
        <f>+D54</f>
        <v/>
      </c>
      <c r="F54" s="1497">
        <f>IF(D54&gt;0," ",C54*18%)</f>
        <v/>
      </c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497">
        <f>+C55*9%</f>
        <v/>
      </c>
      <c r="E55" s="1497">
        <f>+D55</f>
        <v/>
      </c>
      <c r="F55" s="1497" t="n"/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5" t="inlineStr">
        <is>
          <t>GL</t>
        </is>
      </c>
      <c r="B57" s="1220" t="n"/>
      <c r="C57" s="1551" t="n"/>
      <c r="D57" s="1497">
        <f>+C57*9%</f>
        <v/>
      </c>
      <c r="E57" s="1497">
        <f>+D57</f>
        <v/>
      </c>
      <c r="F57" s="1497" t="n"/>
      <c r="G57" s="1510" t="n"/>
      <c r="H57" s="1510" t="n"/>
      <c r="I57" s="1510" t="n">
        <v>0</v>
      </c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497">
        <f>+C58*9%</f>
        <v/>
      </c>
      <c r="E58" s="1497">
        <f>+D58</f>
        <v/>
      </c>
      <c r="F58" s="1497" t="n">
        <v>0</v>
      </c>
      <c r="G58" s="1551" t="n"/>
      <c r="H58" s="1510" t="n"/>
      <c r="I58" s="1510" t="n">
        <v>0</v>
      </c>
      <c r="K58" s="1556" t="n"/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497">
        <f>+C59*9%</f>
        <v/>
      </c>
      <c r="E59" s="1497">
        <f>+D59</f>
        <v/>
      </c>
      <c r="F59" s="1497" t="n">
        <v>0</v>
      </c>
      <c r="G59" s="1551" t="n"/>
      <c r="H59" s="1510" t="n"/>
      <c r="I59" s="1510" t="n">
        <v>0</v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497" t="n"/>
      <c r="E60" s="1497" t="n"/>
      <c r="F60" s="1497" t="n"/>
      <c r="G60" s="1510" t="n"/>
      <c r="H60" s="1510" t="n"/>
      <c r="I60" s="1510" t="n">
        <v>0</v>
      </c>
    </row>
    <row r="61" ht="15.75" customHeight="1">
      <c r="A61" s="435" t="n"/>
      <c r="B61" s="433" t="inlineStr">
        <is>
          <t>SALE OF ASSET ( CASH COUNTING MACHINE)</t>
        </is>
      </c>
      <c r="C61" s="1551" t="n"/>
      <c r="D61" s="1500">
        <f>+C61*0.09</f>
        <v/>
      </c>
      <c r="E61" s="1500">
        <f>+D61</f>
        <v/>
      </c>
      <c r="F61" s="1500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SUM(F9:F59)</f>
        <v/>
      </c>
      <c r="G62" s="1501">
        <f>SUM(G9:G60)</f>
        <v/>
      </c>
      <c r="H62" s="1501">
        <f>SUM(H9:H59)</f>
        <v/>
      </c>
      <c r="I62" s="1501">
        <f>SUM(I9:I59)</f>
        <v/>
      </c>
    </row>
    <row r="63" ht="16.5" customHeight="1" thickTop="1">
      <c r="A63" s="9" t="inlineStr">
        <is>
          <t>RCM</t>
        </is>
      </c>
      <c r="B63" s="8" t="n"/>
      <c r="C63" s="1557" t="n"/>
      <c r="D63" s="1502" t="n"/>
      <c r="E63" s="1502" t="n"/>
      <c r="F63" s="6" t="n"/>
      <c r="G63" s="1084" t="n"/>
      <c r="H63" s="32" t="n"/>
      <c r="I63" s="1084" t="n"/>
    </row>
    <row r="64" ht="15.75" customHeight="1">
      <c r="A64" s="13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 t="n"/>
      <c r="G64" s="1084" t="n"/>
      <c r="H64" s="32" t="n"/>
      <c r="I64" s="1084" t="n"/>
    </row>
    <row r="65" ht="15.75" customHeight="1">
      <c r="A65" s="13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  <c r="H65" s="32" t="n"/>
    </row>
    <row r="66" ht="15.75" customHeight="1">
      <c r="A66" s="1210" t="inlineStr">
        <is>
          <t xml:space="preserve">SUMMARY </t>
        </is>
      </c>
      <c r="G66" s="1084" t="n"/>
      <c r="H66" s="32">
        <f>+C62+G62</f>
        <v/>
      </c>
      <c r="I66" s="1084" t="n"/>
    </row>
    <row r="67" ht="15.75" customHeight="1">
      <c r="A67" s="1214" t="n"/>
      <c r="B67" s="1214" t="n"/>
      <c r="C67" s="1214" t="n"/>
      <c r="D67" s="1214" t="n"/>
      <c r="E67" s="1214" t="n"/>
      <c r="F67" s="1214" t="n"/>
      <c r="G67" s="1084" t="n"/>
      <c r="H67" s="32">
        <f>+H66*0.09</f>
        <v/>
      </c>
      <c r="I67" s="1084" t="inlineStr">
        <is>
          <t xml:space="preserve"> </t>
        </is>
      </c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G68" s="1084" t="n"/>
      <c r="H68" s="32" t="n"/>
      <c r="I68" s="1084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  <c r="G69" s="1084" t="n"/>
      <c r="H69" s="32" t="n"/>
      <c r="I69" s="1084" t="n"/>
    </row>
    <row r="70">
      <c r="A70" s="1506" t="n"/>
      <c r="B70" s="1041" t="n"/>
      <c r="C70" s="1507" t="n"/>
      <c r="D70" s="1494" t="n"/>
      <c r="E70" s="1494" t="n"/>
      <c r="F70" s="1494" t="n"/>
      <c r="G70" s="1084" t="n"/>
      <c r="H70" s="32" t="inlineStr">
        <is>
          <t xml:space="preserve"> </t>
        </is>
      </c>
      <c r="I70" s="108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  <c r="G71" s="1084" t="n"/>
      <c r="H71" s="1084" t="n"/>
      <c r="I71" s="1084" t="n"/>
    </row>
    <row r="72" ht="15.75" customHeight="1">
      <c r="A72" s="1243" t="inlineStr">
        <is>
          <t>(2) REFUND GIVEN BUT GST REFUND NOT GIVEN</t>
        </is>
      </c>
      <c r="B72" s="1243" t="n"/>
      <c r="C72" s="1243">
        <f>+G62</f>
        <v/>
      </c>
      <c r="D72" s="106">
        <f>+C72*0.09</f>
        <v/>
      </c>
      <c r="E72" s="106">
        <f>+C72*0.09</f>
        <v/>
      </c>
      <c r="F72" s="106" t="n">
        <v>0</v>
      </c>
      <c r="G72" s="1084" t="n"/>
      <c r="H72" s="32" t="inlineStr">
        <is>
          <t xml:space="preserve"> </t>
        </is>
      </c>
      <c r="I72" s="1084" t="inlineStr">
        <is>
          <t xml:space="preserve"> </t>
        </is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  <c r="G73" s="1084" t="n"/>
      <c r="H73" s="32" t="n"/>
      <c r="I73" s="1084" t="n"/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G74" s="1084" t="n"/>
      <c r="H74" s="32" t="inlineStr">
        <is>
          <t xml:space="preserve"> </t>
        </is>
      </c>
      <c r="I74" s="1084" t="n"/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800">
        <f>+D73-D74</f>
        <v/>
      </c>
      <c r="E75" s="800">
        <f>+E73-E74</f>
        <v/>
      </c>
      <c r="F75" s="108">
        <f>IF(F71&gt;F74,F71,F74)</f>
        <v/>
      </c>
      <c r="G75" s="1084">
        <f>+E75/9%</f>
        <v/>
      </c>
      <c r="H75" s="32" t="n"/>
      <c r="I75" s="1084" t="inlineStr">
        <is>
          <t xml:space="preserve"> </t>
        </is>
      </c>
    </row>
    <row r="76" ht="15.75" customHeight="1">
      <c r="A76" s="3" t="n"/>
      <c r="B76" s="2" t="n"/>
      <c r="C76" s="3" t="n"/>
      <c r="D76" s="3" t="n"/>
      <c r="E76" s="3" t="n"/>
      <c r="F76" s="3" t="n"/>
      <c r="G76" s="1084" t="n"/>
      <c r="H76" s="32" t="n"/>
      <c r="I76" s="1084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  <c r="G77" s="1084" t="n"/>
      <c r="H77" s="32" t="n"/>
      <c r="I77" s="1084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421" t="inlineStr">
        <is>
          <t>GL 8547 CGST</t>
        </is>
      </c>
      <c r="F78" s="1421" t="inlineStr">
        <is>
          <t>GL 8548 IGST</t>
        </is>
      </c>
      <c r="G78" s="1084" t="n"/>
      <c r="H78" s="32" t="n"/>
      <c r="I78" s="1084" t="n"/>
    </row>
    <row r="79">
      <c r="A79" s="1506" t="n"/>
      <c r="B79" s="1041" t="n"/>
      <c r="C79" s="1507" t="n"/>
      <c r="D79" s="1494" t="n"/>
      <c r="E79" s="1494" t="n"/>
      <c r="F79" s="1494" t="n"/>
      <c r="G79" s="1084" t="n"/>
      <c r="H79" s="32" t="n"/>
      <c r="I79" s="1084" t="n"/>
    </row>
    <row r="80">
      <c r="A80" s="1228" t="n"/>
      <c r="B80" s="1042" t="n"/>
      <c r="C80" s="1508" t="n"/>
      <c r="D80" s="1228" t="n"/>
      <c r="E80" s="1228" t="n"/>
      <c r="F80" s="1228" t="n"/>
      <c r="G80" s="1084" t="n"/>
      <c r="H80" s="32" t="n"/>
      <c r="I80" s="1084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+C91</f>
        <v/>
      </c>
      <c r="E82" s="105">
        <f>+D91</f>
        <v/>
      </c>
      <c r="F82" s="152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8">
        <f>+D81-D82</f>
        <v/>
      </c>
      <c r="E83" s="108">
        <f>+E81-E82</f>
        <v/>
      </c>
      <c r="F83" s="1528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4" ht="15.75" customHeight="1" thickBot="1">
      <c r="A84" s="1084" t="n"/>
      <c r="B84" s="1084" t="n"/>
      <c r="C84" s="1084" t="n"/>
      <c r="D84" s="1084" t="n"/>
      <c r="E84" s="1084" t="n"/>
      <c r="F84" s="1084" t="n"/>
      <c r="G84" s="1084" t="n"/>
      <c r="H84" s="32" t="n"/>
      <c r="I84" s="1084" t="n"/>
    </row>
    <row r="85" ht="15.75" customHeight="1" thickBot="1">
      <c r="A85" s="1084" t="n"/>
      <c r="B85" s="410" t="inlineStr">
        <is>
          <t>OUR GST NO. NOT REFLECTED ON CENVAT BILLS</t>
        </is>
      </c>
      <c r="C85" s="1558" t="n"/>
      <c r="D85" s="1558" t="n"/>
      <c r="E85" s="1559" t="n"/>
      <c r="F85" s="1084" t="n"/>
      <c r="G85" s="1084" t="n"/>
      <c r="H85" s="32" t="n"/>
      <c r="I85" s="1084" t="n"/>
    </row>
    <row r="86" ht="15.75" customHeight="1" thickBot="1">
      <c r="A86" s="1084" t="n"/>
      <c r="B86" s="216" t="inlineStr">
        <is>
          <t>PARTY NAME</t>
        </is>
      </c>
      <c r="C86" s="623" t="inlineStr">
        <is>
          <t>SGST</t>
        </is>
      </c>
      <c r="D86" s="623" t="inlineStr">
        <is>
          <t>CGST</t>
        </is>
      </c>
      <c r="E86" s="624" t="inlineStr">
        <is>
          <t>IGST</t>
        </is>
      </c>
      <c r="F86" s="1084" t="n"/>
      <c r="G86" s="1084" t="n"/>
      <c r="H86" s="32" t="n"/>
      <c r="I86" s="1084" t="n"/>
    </row>
    <row r="87">
      <c r="A87" s="1084" t="n"/>
      <c r="B87" s="215" t="inlineStr">
        <is>
          <t>BSNL</t>
        </is>
      </c>
      <c r="C87" s="1084" t="n"/>
      <c r="D87" s="1084">
        <f>+C87</f>
        <v/>
      </c>
      <c r="E87" s="226" t="n">
        <v>0</v>
      </c>
      <c r="F87" s="1084" t="n"/>
      <c r="G87" s="1084" t="n"/>
      <c r="H87" s="32" t="n"/>
      <c r="I87" s="1084" t="n"/>
    </row>
    <row r="88">
      <c r="A88" s="1084" t="n"/>
      <c r="B88" s="215" t="inlineStr">
        <is>
          <t>BSNL</t>
        </is>
      </c>
      <c r="C88" s="1084" t="n">
        <v>0</v>
      </c>
      <c r="D88" s="1084">
        <f>+C88</f>
        <v/>
      </c>
      <c r="E88" s="226" t="n">
        <v>0</v>
      </c>
      <c r="F88" s="1084" t="n"/>
      <c r="G88" s="1084" t="n"/>
      <c r="H88" s="32" t="n"/>
      <c r="I88" s="1084" t="n"/>
    </row>
    <row r="89">
      <c r="A89" s="1084" t="n"/>
      <c r="B89" s="215" t="inlineStr">
        <is>
          <t>BSNL</t>
        </is>
      </c>
      <c r="C89" s="1084" t="n"/>
      <c r="D89" s="1084">
        <f>+C89</f>
        <v/>
      </c>
      <c r="E89" s="226" t="n">
        <v>0</v>
      </c>
      <c r="F89" s="1084" t="n"/>
      <c r="G89" s="1084" t="n"/>
      <c r="H89" s="32" t="n"/>
      <c r="I89" s="1084" t="n"/>
    </row>
    <row r="90" ht="15.75" customHeight="1" thickBot="1">
      <c r="A90" s="1084" t="n"/>
      <c r="B90" s="217" t="inlineStr">
        <is>
          <t>ROHAN AGENCY</t>
        </is>
      </c>
      <c r="C90" s="1084" t="n"/>
      <c r="D90" s="218" t="n">
        <v>0</v>
      </c>
      <c r="E90" s="219" t="n">
        <v>0</v>
      </c>
      <c r="F90" s="1084" t="n"/>
      <c r="G90" s="1084">
        <f>+C91/2</f>
        <v/>
      </c>
      <c r="H90" s="1084">
        <f>+D91/2</f>
        <v/>
      </c>
      <c r="I90" s="1084">
        <f>+E91/2</f>
        <v/>
      </c>
    </row>
    <row r="91" ht="15.75" customHeight="1" thickBot="1">
      <c r="A91" s="1084" t="n"/>
      <c r="B91" s="216" t="inlineStr">
        <is>
          <t>TOTAL</t>
        </is>
      </c>
      <c r="C91" s="625">
        <f>+SUM(C87:C90)</f>
        <v/>
      </c>
      <c r="D91" s="625">
        <f>+SUM(D87:D90)</f>
        <v/>
      </c>
      <c r="E91" s="624">
        <f>+SUM(E87:E90)</f>
        <v/>
      </c>
      <c r="F91" s="1084" t="n"/>
      <c r="G91" s="1084" t="n"/>
      <c r="H91" s="1084" t="n"/>
      <c r="I91" s="1084" t="n"/>
    </row>
    <row r="92" ht="20.25" customHeight="1">
      <c r="A92" s="1087" t="n"/>
      <c r="B92" s="1087" t="n"/>
      <c r="C92" s="1087" t="n"/>
      <c r="D92" s="1087" t="n"/>
      <c r="E92" s="1087" t="n"/>
      <c r="F92" s="1084" t="n"/>
      <c r="G92" s="1084" t="n"/>
      <c r="H92" s="32" t="n"/>
      <c r="I92" s="1084" t="n"/>
    </row>
    <row r="93">
      <c r="A93" s="32" t="n"/>
      <c r="B93" s="1084" t="n"/>
      <c r="C93" s="1084" t="n"/>
      <c r="D93" s="1084" t="n"/>
      <c r="E93" s="1084" t="n"/>
      <c r="F93" s="1084" t="n"/>
      <c r="G93" s="1084" t="n"/>
      <c r="H93" s="1084" t="n"/>
      <c r="I93" s="1084" t="n"/>
    </row>
    <row r="94">
      <c r="C94" s="1084" t="n"/>
      <c r="D94" s="1084" t="n"/>
      <c r="E94" s="1084" t="n"/>
      <c r="F94" s="1084" t="n"/>
      <c r="G94" s="1084" t="n"/>
      <c r="H94" s="1084" t="n"/>
      <c r="I94" s="1084" t="n"/>
    </row>
    <row r="95">
      <c r="A95" s="1084" t="n"/>
      <c r="B95" s="1084" t="n"/>
      <c r="C95" s="1084" t="n"/>
      <c r="D95" s="1084" t="n"/>
      <c r="E95" s="1084" t="n"/>
      <c r="F95" s="1084" t="n"/>
      <c r="G95" s="1084" t="n"/>
      <c r="H95" s="1084" t="n"/>
      <c r="I95" s="1084" t="n"/>
    </row>
    <row r="96">
      <c r="A96" s="1084" t="n"/>
      <c r="B96" s="1084" t="n"/>
      <c r="C96" s="1084" t="n"/>
      <c r="D96" s="1084" t="n"/>
      <c r="E96" s="1084" t="n"/>
      <c r="F96" s="1084" t="n"/>
      <c r="G96" s="1084" t="n"/>
      <c r="H96" s="1084" t="n"/>
      <c r="I96" s="1084" t="n"/>
    </row>
    <row r="97" customFormat="1" s="1084"/>
    <row r="98" customFormat="1" s="1084"/>
    <row r="99" customFormat="1" s="1084"/>
    <row r="100" customFormat="1" s="1084"/>
    <row r="101" customFormat="1" s="1084"/>
    <row r="102" customFormat="1" s="1084"/>
    <row r="103" customFormat="1" s="1084"/>
    <row r="104" customFormat="1" s="1084"/>
    <row r="105" customFormat="1" s="1084"/>
    <row r="106" customFormat="1" s="1084"/>
    <row r="107" customFormat="1" s="1084"/>
    <row r="108" customFormat="1" s="1084"/>
  </sheetData>
  <mergeCells count="30">
    <mergeCell ref="A80:C80"/>
    <mergeCell ref="A75:C75"/>
    <mergeCell ref="A66:F66"/>
    <mergeCell ref="A74:C74"/>
    <mergeCell ref="E78:E79"/>
    <mergeCell ref="G7:G8"/>
    <mergeCell ref="E69:E70"/>
    <mergeCell ref="I7:I8"/>
    <mergeCell ref="A3:F3"/>
    <mergeCell ref="B85:E85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J52:K53"/>
    <mergeCell ref="E7:E8"/>
    <mergeCell ref="A83:C83"/>
    <mergeCell ref="A82:C82"/>
    <mergeCell ref="A1:F1"/>
    <mergeCell ref="B7:B8"/>
    <mergeCell ref="F78:F79"/>
    <mergeCell ref="D69:D70"/>
    <mergeCell ref="F69:F70"/>
    <mergeCell ref="F7:F8"/>
  </mergeCells>
  <conditionalFormatting sqref="A1:XFD7 A8:F8 A85:A92 F85 G62:XFD69 G70 G75:XFD79 G81:XFD86 H74:XFD74 H80:XFD80 I70:XFD70 J8:XFD8">
    <cfRule type="containsText" priority="164" operator="containsText" dxfId="0" text="LESS COLLECTED">
      <formula>NOT(ISERROR(SEARCH("LESS COLLECTED",A1)))</formula>
    </cfRule>
  </conditionalFormatting>
  <conditionalFormatting sqref="A9:B27 A93:XFD93 A95:XFD108 B87:XFD92 C94:XFD94 D24:L25 D26:M28 D29:J31 D32:XFD35 J109:XFD1048576 K22">
    <cfRule type="containsText" priority="38" operator="containsText" dxfId="12" text="LESS COLLECTED">
      <formula>NOT(ISERROR(SEARCH("LESS COLLECTED",A9)))</formula>
    </cfRule>
  </conditionalFormatting>
  <conditionalFormatting sqref="A22:B34 A93:XFD93 A95:XFD108 B87:XFD92 C94:XFD94 G71:XFD73 J109:XFD1048576">
    <cfRule type="containsText" priority="48" operator="containsText" dxfId="0" text="LESS COLLECTED">
      <formula>NOT(ISERROR(SEARCH("LESS COLLECTED",A22)))</formula>
    </cfRule>
  </conditionalFormatting>
  <conditionalFormatting sqref="A35:B56">
    <cfRule type="containsText" priority="11" operator="containsText" dxfId="0" text="LESS COLLECTED">
      <formula>NOT(ISERROR(SEARCH("LESS COLLECTED",A35)))</formula>
    </cfRule>
  </conditionalFormatting>
  <conditionalFormatting sqref="A48:B56">
    <cfRule type="containsText" priority="10" operator="containsText" dxfId="1" text="EXCESS COLLECTED">
      <formula>NOT(ISERROR(SEARCH("EXCESS COLLECTED",A48)))</formula>
    </cfRule>
  </conditionalFormatting>
  <conditionalFormatting sqref="A57:B61">
    <cfRule type="containsText" priority="54" operator="containsText" dxfId="0" text="LESS COLLECTED">
      <formula>NOT(ISERROR(SEARCH("LESS COLLECTED",A57)))</formula>
    </cfRule>
  </conditionalFormatting>
  <conditionalFormatting sqref="B61">
    <cfRule type="containsText" priority="53" operator="containsText" dxfId="1" text="EXCESS COLLECTED">
      <formula>NOT(ISERROR(SEARCH("EXCESS COLLECTED",B61)))</formula>
    </cfRule>
  </conditionalFormatting>
  <conditionalFormatting sqref="A28:B32 B87:D90">
    <cfRule type="containsText" priority="47" operator="containsText" dxfId="1" text="EXCESS COLLECTED">
      <formula>NOT(ISERROR(SEARCH("EXCESS COLLECTED",A28)))</formula>
    </cfRule>
  </conditionalFormatting>
  <conditionalFormatting sqref="C14">
    <cfRule type="containsText" priority="1" operator="containsText" dxfId="0" text="LESS COLLECTED">
      <formula>NOT(ISERROR(SEARCH("LESS COLLECTED",C14)))</formula>
    </cfRule>
  </conditionalFormatting>
  <conditionalFormatting sqref="D48:F56">
    <cfRule type="containsText" priority="12" operator="containsText" dxfId="1" text="EXCESS COLLECTED">
      <formula>NOT(ISERROR(SEARCH("EXCESS COLLECTED",D48)))</formula>
    </cfRule>
  </conditionalFormatting>
  <conditionalFormatting sqref="D9:XFD15 D16:L21 D22:J23 D52:J52 D53:I53 L22:L23 L52:XFD53 M16:M25 N16:N28">
    <cfRule type="containsText" priority="19" operator="containsText" dxfId="0" text="LESS COLLECTED">
      <formula>NOT(ISERROR(SEARCH("LESS COLLECTED",D9)))</formula>
    </cfRule>
  </conditionalFormatting>
  <conditionalFormatting sqref="A9:B21 D24:L25 D26:M28 D29:J31 D32:XFD51 K22">
    <cfRule type="containsText" priority="37" operator="containsText" dxfId="0" text="LESS COLLECTED">
      <formula>NOT(ISERROR(SEARCH("LESS COLLECTED",A9)))</formula>
    </cfRule>
  </conditionalFormatting>
  <conditionalFormatting sqref="D54:XFD57 D58:F59 H58:XFD59">
    <cfRule type="containsText" priority="15" operator="containsText" dxfId="0" text="LESS COLLECTED">
      <formula>NOT(ISERROR(SEARCH("LESS COLLECTED",D54)))</formula>
    </cfRule>
  </conditionalFormatting>
  <conditionalFormatting sqref="A66:F73 A85:B85 C86:F86 D60:XFD61">
    <cfRule type="containsText" priority="153" operator="containsText" dxfId="0" text="LESS COLLECTED">
      <formula>NOT(ISERROR(SEARCH("LESS COLLECTED",A60)))</formula>
    </cfRule>
  </conditionalFormatting>
  <conditionalFormatting sqref="G33:G57 G60">
    <cfRule type="containsText" priority="24" operator="containsText" dxfId="0" text="LESS COLLECTED">
      <formula>NOT(ISERROR(SEARCH("LESS COLLECTED",G33)))</formula>
    </cfRule>
  </conditionalFormatting>
  <conditionalFormatting sqref="A72:F73 A85:B85 C86:D86 D69:E70 G60:G61">
    <cfRule type="containsText" priority="152" operator="containsText" dxfId="1" text="EXCESS COLLECTED">
      <formula>NOT(ISERROR(SEARCH("EXCESS COLLECTED",A60)))</formula>
    </cfRule>
  </conditionalFormatting>
  <conditionalFormatting sqref="G10:I57 G60:I61 H58:I58">
    <cfRule type="containsText" priority="25" operator="containsText" dxfId="0" text="LESS COLLECTED">
      <formula>NOT(ISERROR(SEARCH("LESS COLLECTED",G10)))</formula>
    </cfRule>
  </conditionalFormatting>
  <pageMargins left="1.155511811" right="0.868110236" top="0" bottom="0" header="0.31496062992126" footer="0.31496062992126"/>
  <pageSetup orientation="portrait" paperSize="9" scale="56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O93"/>
  <sheetViews>
    <sheetView topLeftCell="A73" workbookViewId="0">
      <selection activeCell="E82" sqref="E82"/>
    </sheetView>
  </sheetViews>
  <sheetFormatPr baseColWidth="8" defaultColWidth="9.140625" defaultRowHeight="15"/>
  <cols>
    <col width="11.42578125" customWidth="1" min="1" max="1"/>
    <col width="55.42578125" bestFit="1" customWidth="1" min="2" max="2"/>
    <col width="14.5703125" bestFit="1" customWidth="1" min="3" max="3"/>
    <col width="16.140625" bestFit="1" customWidth="1" min="4" max="4"/>
    <col width="14.140625" customWidth="1" min="5" max="5"/>
    <col width="14.42578125" customWidth="1" min="6" max="6"/>
    <col width="19.85546875" customWidth="1" min="7" max="7"/>
    <col width="11" bestFit="1" customWidth="1" min="8" max="8"/>
    <col width="11.140625" bestFit="1" customWidth="1" min="10" max="10"/>
    <col width="9.140625" customWidth="1" style="1084" min="11" max="11"/>
    <col width="9.85546875" bestFit="1" customWidth="1" style="1084" min="12" max="12"/>
    <col width="9.140625" customWidth="1" style="1084" min="13" max="16384"/>
  </cols>
  <sheetData>
    <row r="1" ht="15.75" customHeight="1">
      <c r="A1" s="1210" t="inlineStr">
        <is>
          <t>NUTAN NAGARIK SAHAKARI BANK LTD (GUJARAT BRANCHES &amp; HEAD OFFICE)</t>
        </is>
      </c>
      <c r="G1" s="1084" t="n"/>
      <c r="H1" s="32" t="n"/>
      <c r="I1" s="1084" t="n"/>
      <c r="J1" s="1084" t="n"/>
    </row>
    <row r="2" ht="15.75" customHeight="1">
      <c r="A2" s="1210" t="n"/>
      <c r="B2" s="1210" t="n"/>
      <c r="C2" s="1210" t="n"/>
      <c r="D2" s="1210" t="n"/>
      <c r="E2" s="1210" t="n"/>
      <c r="F2" s="1210" t="n"/>
      <c r="G2" s="1084" t="n"/>
      <c r="H2" s="32" t="n"/>
      <c r="I2" s="1084" t="n"/>
      <c r="J2" s="1084" t="n"/>
    </row>
    <row r="3" ht="15.75" customHeight="1">
      <c r="A3" s="1214" t="inlineStr">
        <is>
          <t>BRANCH NAME : ASHRAM ROAD BRANCH</t>
        </is>
      </c>
      <c r="G3" s="1084" t="n"/>
      <c r="H3" s="32" t="n"/>
      <c r="I3" s="1084" t="n"/>
      <c r="J3" s="1084" t="n"/>
    </row>
    <row r="4" ht="15.75" customHeight="1">
      <c r="A4" s="1214" t="inlineStr">
        <is>
          <t>BRANCH CODE: 05</t>
        </is>
      </c>
      <c r="G4" s="1084" t="n"/>
      <c r="H4" s="32" t="n"/>
      <c r="I4" s="1084" t="n"/>
      <c r="J4" s="1084" t="n"/>
    </row>
    <row r="5" ht="15.75" customHeight="1">
      <c r="A5" s="1210">
        <f>+PANJRAPOLE!A5</f>
        <v/>
      </c>
      <c r="G5" s="1084" t="n"/>
      <c r="H5" s="32" t="n"/>
      <c r="I5" s="1084" t="n"/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inlineStr">
        <is>
          <t xml:space="preserve"> </t>
        </is>
      </c>
      <c r="E6" s="1041" t="n"/>
      <c r="F6" s="3" t="n"/>
      <c r="G6" s="1084" t="n"/>
      <c r="H6" s="32" t="n"/>
      <c r="I6" s="1084" t="n"/>
      <c r="J6" s="1084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  <c r="J7" s="1084" t="n"/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  <c r="J8" s="1084" t="n"/>
    </row>
    <row r="9" ht="15.75" customHeight="1">
      <c r="A9" s="3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  <c r="J9" s="1084" t="n"/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  <c r="J10" s="1084" t="n"/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510" t="n">
        <v>0</v>
      </c>
      <c r="J11" s="1084" t="n"/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  <c r="J12" s="1084" t="n"/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  <c r="J13" s="32" t="n"/>
      <c r="K13" s="32" t="n"/>
      <c r="L13" s="32" t="n"/>
    </row>
    <row r="14" ht="15" customHeight="1">
      <c r="A14" s="13" t="inlineStr">
        <is>
          <t>3230</t>
        </is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 t="n">
        <v>0</v>
      </c>
      <c r="G14" s="1510" t="n"/>
      <c r="H14" s="1510" t="n"/>
      <c r="I14" s="1510" t="n">
        <v>0</v>
      </c>
      <c r="J14" s="1084" t="n"/>
      <c r="K14" s="1084" t="n">
        <v>0</v>
      </c>
      <c r="L14" s="1084" t="n">
        <v>0</v>
      </c>
      <c r="M14" s="1084" t="n">
        <v>0</v>
      </c>
      <c r="N14" s="1084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510" t="n">
        <v>0</v>
      </c>
      <c r="J15" s="1084" t="n"/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510" t="n">
        <v>0</v>
      </c>
      <c r="J16" s="1084" t="n"/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510" t="n">
        <v>0</v>
      </c>
      <c r="J17" s="1084" t="n"/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510" t="n">
        <v>0</v>
      </c>
      <c r="J18" s="1084" t="n"/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 t="n"/>
      <c r="G19" s="1510" t="n"/>
      <c r="H19" s="1510" t="n"/>
      <c r="I19" s="1510" t="n">
        <v>0</v>
      </c>
      <c r="J19" s="1084" t="n"/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 t="n"/>
      <c r="G20" s="1510" t="n"/>
      <c r="H20" s="1510" t="n"/>
      <c r="I20" s="1510" t="n">
        <v>0</v>
      </c>
      <c r="J20" s="1084" t="n"/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 t="n"/>
      <c r="E21" s="1497" t="n"/>
      <c r="F21" s="1497" t="n"/>
      <c r="G21" s="1510" t="n"/>
      <c r="H21" s="1510" t="n"/>
      <c r="I21" s="1510" t="n">
        <v>0</v>
      </c>
      <c r="J21" s="1084" t="n"/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510" t="n">
        <v>0</v>
      </c>
      <c r="J22" s="1084" t="n"/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510" t="n">
        <v>0</v>
      </c>
      <c r="J23" s="1084" t="n"/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 t="inlineStr">
        <is>
          <t xml:space="preserve"> </t>
        </is>
      </c>
      <c r="G24" s="1510" t="n"/>
      <c r="H24" s="1510" t="n"/>
      <c r="I24" s="1510" t="n">
        <v>0</v>
      </c>
      <c r="J24" s="1084" t="n"/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510" t="n">
        <v>0</v>
      </c>
      <c r="J25" s="1084" t="n"/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510" t="n">
        <v>0</v>
      </c>
      <c r="J26" s="1084" t="n"/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510" t="n">
        <v>0</v>
      </c>
      <c r="J27" s="1084" t="n"/>
    </row>
    <row r="28" ht="15.75" customHeight="1">
      <c r="A28" s="137" t="n">
        <v>3291</v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510" t="n">
        <v>0</v>
      </c>
      <c r="J28" s="1084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510" t="n">
        <v>0</v>
      </c>
      <c r="J29" s="1084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510" t="n">
        <v>0</v>
      </c>
      <c r="J30" s="1084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510" t="n">
        <v>0</v>
      </c>
      <c r="J31" s="1084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510" t="n">
        <v>0</v>
      </c>
      <c r="J32" s="1084" t="n"/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>
        <f>IF(D33&gt;0," ",C33*18%)</f>
        <v/>
      </c>
      <c r="G33" s="1510" t="n"/>
      <c r="H33" s="1510" t="n"/>
      <c r="I33" s="1510" t="n">
        <v>0</v>
      </c>
      <c r="J33" s="1084" t="n"/>
    </row>
    <row r="34" ht="15.75" customHeight="1">
      <c r="A34" s="13" t="n">
        <v>3301</v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510" t="n">
        <v>0</v>
      </c>
      <c r="J34" s="1084" t="n"/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510" t="n">
        <v>0</v>
      </c>
      <c r="J35" s="1084" t="n"/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510" t="n">
        <v>0</v>
      </c>
      <c r="J36" s="1084" t="n"/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510" t="n">
        <v>0</v>
      </c>
      <c r="J37" s="1084" t="n"/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51" t="n"/>
      <c r="D38" s="1497">
        <f>+C38*9%</f>
        <v/>
      </c>
      <c r="E38" s="1497">
        <f>+D38</f>
        <v/>
      </c>
      <c r="F38" s="1497" t="n">
        <v>0</v>
      </c>
      <c r="G38" s="1510" t="n"/>
      <c r="H38" s="1510" t="n"/>
      <c r="I38" s="1510" t="n">
        <v>0</v>
      </c>
      <c r="J38" s="1084" t="n"/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 t="n">
        <v>0</v>
      </c>
      <c r="G39" s="1510" t="n"/>
      <c r="H39" s="1510" t="n"/>
      <c r="I39" s="1510" t="n">
        <v>0</v>
      </c>
      <c r="J39" s="1084" t="n"/>
      <c r="M39" s="1084">
        <f>3884-4463</f>
        <v/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510" t="n">
        <v>0</v>
      </c>
      <c r="J40" s="1084" t="n"/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510" t="n">
        <v>0</v>
      </c>
      <c r="J41" s="1084" t="n"/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510" t="n">
        <v>0</v>
      </c>
      <c r="J42" s="1084" t="n"/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510" t="n">
        <v>0</v>
      </c>
      <c r="J43" s="1084" t="n"/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510" t="n">
        <v>0</v>
      </c>
      <c r="J44" s="1084" t="n"/>
    </row>
    <row r="45" ht="15.75" customHeight="1">
      <c r="A45" s="1187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 t="n">
        <v>0</v>
      </c>
      <c r="G45" s="1510" t="n"/>
      <c r="H45" s="1510" t="n"/>
      <c r="I45" s="1510" t="n">
        <v>0</v>
      </c>
      <c r="J45" s="1084" t="n"/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510" t="n">
        <v>0</v>
      </c>
      <c r="J46" s="1084" t="n"/>
    </row>
    <row r="47" ht="15.75" customHeight="1">
      <c r="A47" s="1187" t="n">
        <v>3320</v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>
        <f>IF(D47&gt;0," ",C47*18%)</f>
        <v/>
      </c>
      <c r="G47" s="1510" t="n"/>
      <c r="H47" s="1510" t="n"/>
      <c r="I47" s="1510" t="n">
        <v>0</v>
      </c>
      <c r="J47" s="1084" t="n"/>
    </row>
    <row r="48" ht="15.75" customHeight="1">
      <c r="A48" s="1187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510" t="n">
        <v>0</v>
      </c>
      <c r="J48" s="1084" t="n"/>
    </row>
    <row r="49" ht="15.75" customFormat="1" customHeight="1" s="1084">
      <c r="A49" s="1187" t="n">
        <v>3322</v>
      </c>
      <c r="B49" s="1220" t="inlineStr">
        <is>
          <t>INCOME FROM SALE OF OLD NEWS PAPERS</t>
        </is>
      </c>
      <c r="C49" s="1551" t="n"/>
      <c r="D49" s="1497">
        <f>+C49*9%</f>
        <v/>
      </c>
      <c r="E49" s="1497">
        <f>+D49</f>
        <v/>
      </c>
      <c r="F49" s="1497" t="n"/>
      <c r="G49" s="1510" t="n"/>
      <c r="H49" s="1510" t="n"/>
      <c r="I49" s="1510" t="n">
        <v>0</v>
      </c>
    </row>
    <row r="50" ht="15.75" customFormat="1" customHeight="1" s="1084">
      <c r="A50" s="1187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 t="n"/>
      <c r="G50" s="1510" t="n"/>
      <c r="H50" s="1510" t="n"/>
      <c r="I50" s="1510" t="n">
        <v>0</v>
      </c>
    </row>
    <row r="51" ht="15.75" customFormat="1" customHeight="1" s="1084">
      <c r="A51" s="161" t="n">
        <v>3325</v>
      </c>
      <c r="B51" s="1220" t="inlineStr">
        <is>
          <t>MICR CHARGES</t>
        </is>
      </c>
      <c r="C51" s="1551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5.75" customFormat="1" customHeight="1" s="1084">
      <c r="A52" s="1187" t="n">
        <v>3391</v>
      </c>
      <c r="B52" s="1220" t="inlineStr">
        <is>
          <t>SMS CHARGES INCOME RECEIVED</t>
        </is>
      </c>
      <c r="C52" s="1551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  <c r="I52" s="1510" t="n">
        <v>0</v>
      </c>
    </row>
    <row r="53" ht="15.75" customFormat="1" customHeight="1" s="1084">
      <c r="A53" s="1187" t="n">
        <v>3359</v>
      </c>
      <c r="B53" s="1220" t="inlineStr">
        <is>
          <t>COMMITMENT CHARGES</t>
        </is>
      </c>
      <c r="C53" s="1551" t="n"/>
      <c r="D53" s="1497">
        <f>+C53*9%</f>
        <v/>
      </c>
      <c r="E53" s="1497">
        <f>+D53</f>
        <v/>
      </c>
      <c r="F53" s="1497">
        <f>IF(D53&gt;0," ",C53*18%)</f>
        <v/>
      </c>
      <c r="G53" s="1510" t="n"/>
      <c r="H53" s="1510" t="n"/>
      <c r="I53" s="1510" t="n">
        <v>0</v>
      </c>
    </row>
    <row r="54" ht="15.75" customFormat="1" customHeight="1" s="1084">
      <c r="A54" s="1187" t="n">
        <v>3825</v>
      </c>
      <c r="B54" s="1220" t="inlineStr">
        <is>
          <t>EXTERNAL AUDIT FEES</t>
        </is>
      </c>
      <c r="C54" s="1551" t="n"/>
      <c r="D54" s="1497">
        <f>+C54*9%</f>
        <v/>
      </c>
      <c r="E54" s="1497">
        <f>+D54</f>
        <v/>
      </c>
      <c r="F54" s="1497">
        <f>IF(D54&gt;0," ",C54*18%)</f>
        <v/>
      </c>
      <c r="G54" s="1510" t="n"/>
      <c r="H54" s="1510" t="n"/>
      <c r="I54" s="1510" t="n">
        <v>0</v>
      </c>
    </row>
    <row r="55" ht="15.75" customFormat="1" customHeight="1" s="1084">
      <c r="A55" s="1187" t="n">
        <v>3362</v>
      </c>
      <c r="B55" s="1220" t="inlineStr">
        <is>
          <t>FORECLOSURE CHARGES</t>
        </is>
      </c>
      <c r="C55" s="1551" t="n"/>
      <c r="D55" s="1497" t="n"/>
      <c r="E55" s="1497" t="n"/>
      <c r="F55" s="1497" t="n"/>
      <c r="G55" s="1510" t="n"/>
      <c r="H55" s="1510" t="n"/>
      <c r="I55" s="1510" t="n">
        <v>0</v>
      </c>
    </row>
    <row r="56" ht="15.75" customFormat="1" customHeight="1" s="1084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Format="1" customHeight="1" s="1084">
      <c r="A57" s="15" t="inlineStr">
        <is>
          <t>GL</t>
        </is>
      </c>
      <c r="B57" s="1220" t="n"/>
      <c r="C57" s="1551" t="n"/>
      <c r="D57" s="1497">
        <f>+C57*9%</f>
        <v/>
      </c>
      <c r="E57" s="1497">
        <f>+D57</f>
        <v/>
      </c>
      <c r="F57" s="1497" t="n"/>
      <c r="G57" s="1510" t="n"/>
      <c r="H57" s="1510" t="n"/>
      <c r="I57" s="1510" t="n">
        <v>0</v>
      </c>
    </row>
    <row r="58" ht="15.75" customFormat="1" customHeight="1" s="1084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497">
        <f>+C58*9%</f>
        <v/>
      </c>
      <c r="E58" s="1497">
        <f>+D58</f>
        <v/>
      </c>
      <c r="F58" s="1497" t="n">
        <v>0</v>
      </c>
      <c r="G58" s="1510" t="n"/>
      <c r="H58" s="1510" t="n"/>
      <c r="I58" s="1510" t="n">
        <v>0</v>
      </c>
    </row>
    <row r="59" ht="15.75" customFormat="1" customHeight="1" s="1084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497">
        <f>+C59*9%</f>
        <v/>
      </c>
      <c r="E59" s="1497">
        <f>+D59</f>
        <v/>
      </c>
      <c r="F59" s="1497">
        <f>IF(D59&gt;0," ",C59*18%)</f>
        <v/>
      </c>
      <c r="G59" s="1510" t="n"/>
      <c r="H59" s="1510" t="n"/>
      <c r="I59" s="1510" t="n">
        <v>0</v>
      </c>
    </row>
    <row r="60" ht="15.75" customFormat="1" customHeight="1" s="1084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497" t="n"/>
      <c r="E60" s="1497" t="n"/>
      <c r="F60" s="1497" t="n"/>
      <c r="G60" s="1510" t="n"/>
      <c r="H60" s="1510" t="n"/>
      <c r="I60" s="1510" t="n">
        <v>0</v>
      </c>
    </row>
    <row r="61" ht="15.75" customFormat="1" customHeight="1" s="1084">
      <c r="A61" s="435" t="n"/>
      <c r="B61" s="433" t="inlineStr">
        <is>
          <t>SALE OF ASSET ( CASH COUNTING MACHINE)</t>
        </is>
      </c>
      <c r="C61" s="1551" t="n"/>
      <c r="D61" s="1500">
        <f>+C61*0.09</f>
        <v/>
      </c>
      <c r="E61" s="1500">
        <f>+D61</f>
        <v/>
      </c>
      <c r="F61" s="1500" t="n"/>
      <c r="G61" s="1510" t="n"/>
      <c r="H61" s="1510" t="n"/>
      <c r="I61" s="1510" t="n">
        <v>0</v>
      </c>
    </row>
    <row r="62" ht="16.5" customFormat="1" customHeight="1" s="1084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SUM(G9:G59)</f>
        <v/>
      </c>
      <c r="H62" s="1501">
        <f>SUM(H9:H59)</f>
        <v/>
      </c>
      <c r="I62" s="1501">
        <f>SUM(I9:I59)</f>
        <v/>
      </c>
    </row>
    <row r="63" ht="16.5" customFormat="1" customHeight="1" s="1084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  <c r="H63" s="32" t="n"/>
    </row>
    <row r="64" ht="15.75" customFormat="1" customHeight="1" s="1084">
      <c r="A64" s="1448" t="inlineStr">
        <is>
          <t>PL 3750</t>
        </is>
      </c>
      <c r="B64" s="1243" t="inlineStr">
        <is>
          <t>LAW CHARGES (EXCLUSIVE)</t>
        </is>
      </c>
      <c r="C64" s="1503" t="n">
        <v>0</v>
      </c>
      <c r="D64" s="1503">
        <f>+C64*9%</f>
        <v/>
      </c>
      <c r="E64" s="1503">
        <f>+D64</f>
        <v/>
      </c>
      <c r="F64" s="1503">
        <f>IF(D64&gt;0," ",C64*18%)</f>
        <v/>
      </c>
      <c r="H64" s="32" t="n"/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  <c r="H65" s="32" t="n"/>
      <c r="I65" s="1084" t="n"/>
      <c r="J65" s="1084" t="n"/>
    </row>
    <row r="66" ht="15.75" customHeight="1">
      <c r="A66" s="54" t="n"/>
      <c r="B66" s="54" t="n"/>
      <c r="C66" s="54" t="n"/>
      <c r="D66" s="54" t="n"/>
      <c r="E66" s="54" t="n"/>
      <c r="F66" s="54" t="n"/>
      <c r="G66" s="1084" t="n"/>
      <c r="H66" s="32" t="n"/>
      <c r="I66" s="1084" t="n"/>
      <c r="J66" s="1084" t="n"/>
    </row>
    <row r="67" ht="15.75" customHeight="1">
      <c r="A67" s="1214" t="n"/>
      <c r="B67" s="1214" t="n"/>
      <c r="C67" s="1214" t="n"/>
      <c r="D67" s="1214" t="n"/>
      <c r="E67" s="1214" t="n"/>
      <c r="F67" s="1214" t="n"/>
      <c r="G67" s="1084" t="n"/>
      <c r="H67" s="32" t="inlineStr">
        <is>
          <t xml:space="preserve"> </t>
        </is>
      </c>
      <c r="I67" s="1084" t="n"/>
      <c r="J67" s="108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G68" s="1084" t="n"/>
      <c r="H68" s="32" t="n"/>
      <c r="I68" s="1084" t="n"/>
      <c r="J68" s="1084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  <c r="G69" s="1084" t="n"/>
      <c r="H69" s="32" t="n"/>
      <c r="I69" s="1084" t="n"/>
      <c r="J69" s="1084" t="n"/>
    </row>
    <row r="70">
      <c r="A70" s="1506" t="n"/>
      <c r="B70" s="1041" t="n"/>
      <c r="C70" s="1507" t="n"/>
      <c r="D70" s="1494" t="n"/>
      <c r="E70" s="1494" t="n"/>
      <c r="F70" s="1494" t="n"/>
      <c r="G70" s="1084" t="n"/>
      <c r="H70" s="32" t="n"/>
      <c r="I70" s="1084" t="n"/>
      <c r="J70" s="108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  <c r="G71" s="1084" t="inlineStr">
        <is>
          <t xml:space="preserve"> </t>
        </is>
      </c>
      <c r="H71" s="32" t="n"/>
      <c r="I71" s="1084" t="n"/>
      <c r="J71" s="1084" t="n"/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+C72*0.09</f>
        <v/>
      </c>
      <c r="F72" s="106" t="n">
        <v>0</v>
      </c>
      <c r="G72" s="1084" t="inlineStr">
        <is>
          <t xml:space="preserve"> </t>
        </is>
      </c>
      <c r="H72" s="32" t="n"/>
      <c r="I72" s="1084" t="n"/>
      <c r="J72" s="1084" t="n"/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  <c r="G73" s="1084" t="n">
        <v>0</v>
      </c>
      <c r="H73" s="32" t="inlineStr">
        <is>
          <t xml:space="preserve"> </t>
        </is>
      </c>
      <c r="I73" s="1084" t="n"/>
      <c r="J73" s="1084" t="n"/>
    </row>
    <row r="74" ht="15.75" customHeight="1">
      <c r="A74" s="1220" t="inlineStr">
        <is>
          <t>(3) PAYABLE AS PER LEDGER</t>
        </is>
      </c>
      <c r="B74" s="1042" t="n"/>
      <c r="C74" s="1508" t="n"/>
      <c r="D74" s="108" t="n">
        <v>22500.65</v>
      </c>
      <c r="E74" s="108">
        <f>+D74</f>
        <v/>
      </c>
      <c r="F74" s="108" t="n">
        <v>0</v>
      </c>
      <c r="G74" s="1084" t="n"/>
      <c r="H74" s="32" t="n"/>
      <c r="I74" s="1084" t="n"/>
      <c r="J74" s="1547" t="n">
        <v>1368</v>
      </c>
    </row>
    <row r="75" ht="15.75" customHeight="1">
      <c r="A75" s="1221" t="inlineStr">
        <is>
          <t>DIFFERENCE</t>
        </is>
      </c>
      <c r="B75" s="1042" t="n"/>
      <c r="C75" s="1508" t="n"/>
      <c r="D75" s="800">
        <f>+D73-D74</f>
        <v/>
      </c>
      <c r="E75" s="800">
        <f>+E73-E74</f>
        <v/>
      </c>
      <c r="F75" s="108">
        <f>IF(F71&gt;F74,F71,F74)</f>
        <v/>
      </c>
      <c r="G75" s="1084">
        <f>+D75/9%</f>
        <v/>
      </c>
      <c r="H75" s="32" t="n"/>
      <c r="I75" s="1084" t="n"/>
      <c r="J75" s="1084" t="n">
        <v>104</v>
      </c>
    </row>
    <row r="76" ht="15.75" customHeight="1">
      <c r="A76" s="3" t="n"/>
      <c r="B76" s="2" t="n"/>
      <c r="C76" s="3" t="n"/>
      <c r="D76" s="3" t="n"/>
      <c r="E76" s="3" t="n"/>
      <c r="F76" s="3" t="n"/>
      <c r="G76" s="1084" t="n"/>
      <c r="H76" s="32" t="n"/>
      <c r="I76" s="1084" t="n"/>
      <c r="J76" s="1084">
        <f>J74-J75</f>
        <v/>
      </c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  <c r="G77" s="1084" t="n"/>
      <c r="H77" s="32" t="n"/>
      <c r="I77" s="1084" t="n"/>
      <c r="J77" s="1084" t="n"/>
    </row>
    <row r="78" ht="15" customHeight="1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421" t="inlineStr">
        <is>
          <t>GL 8547 CGST</t>
        </is>
      </c>
      <c r="F78" s="1343" t="inlineStr">
        <is>
          <t>GL 8548 IGST</t>
        </is>
      </c>
      <c r="G78" s="1084" t="n"/>
      <c r="H78" s="32" t="n"/>
      <c r="I78" s="1084" t="n"/>
      <c r="J78" s="1084" t="n"/>
    </row>
    <row r="79" ht="15" customHeight="1">
      <c r="A79" s="1506" t="n"/>
      <c r="B79" s="1041" t="n"/>
      <c r="C79" s="1507" t="n"/>
      <c r="D79" s="1494" t="n"/>
      <c r="E79" s="1494" t="n"/>
      <c r="F79" s="1494" t="n"/>
      <c r="G79" s="1084" t="n"/>
      <c r="H79" s="32" t="n"/>
      <c r="I79" s="1084" t="n"/>
      <c r="J79" s="1084" t="n"/>
    </row>
    <row r="80">
      <c r="A80" s="1228" t="n"/>
      <c r="B80" s="1042" t="n"/>
      <c r="C80" s="1508" t="n"/>
      <c r="D80" s="1228" t="n"/>
      <c r="E80" s="1228" t="n"/>
      <c r="F80" s="1228" t="n"/>
      <c r="G80" s="32" t="n"/>
      <c r="H80" s="32" t="n"/>
      <c r="I80" s="32" t="n"/>
      <c r="J80" s="1084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2534.22</v>
      </c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  <c r="J81" s="1084" t="n"/>
      <c r="L81" s="1084" t="n">
        <v>0</v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+C90</f>
        <v/>
      </c>
      <c r="E82" s="105">
        <f>D82</f>
        <v/>
      </c>
      <c r="F82" s="1529">
        <f>+E90</f>
        <v/>
      </c>
      <c r="G82" s="32">
        <f>+D82/2</f>
        <v/>
      </c>
      <c r="H82" s="32">
        <f>+E82/2</f>
        <v/>
      </c>
      <c r="I82" s="32">
        <f>+F82/2</f>
        <v/>
      </c>
      <c r="J82" s="1084" t="n"/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+D83/2</f>
        <v/>
      </c>
      <c r="H83" s="32">
        <f>+E83/2</f>
        <v/>
      </c>
      <c r="I83" s="32">
        <f>+F83/2</f>
        <v/>
      </c>
      <c r="J83" s="1084" t="n"/>
    </row>
    <row r="84">
      <c r="A84" s="1084" t="n"/>
      <c r="B84" s="1084" t="n"/>
      <c r="C84" s="1084" t="n"/>
      <c r="D84" s="1084" t="n"/>
      <c r="E84" s="1084" t="n"/>
      <c r="F84" s="1084" t="n"/>
      <c r="G84" s="1084" t="n"/>
      <c r="H84" s="32" t="n"/>
      <c r="I84" s="1084" t="n"/>
      <c r="J84" s="1084" t="n"/>
    </row>
    <row r="85">
      <c r="A85" s="74" t="n"/>
      <c r="B85" s="1084" t="n"/>
      <c r="C85" s="1084" t="n"/>
      <c r="D85" s="1084" t="n"/>
      <c r="E85" s="1084" t="n"/>
      <c r="F85" s="1084" t="n"/>
      <c r="G85" s="1560" t="n"/>
      <c r="H85" s="32" t="n"/>
      <c r="I85" s="1084" t="n"/>
      <c r="J85" s="1084" t="n"/>
    </row>
    <row r="86">
      <c r="A86" s="1084" t="n"/>
      <c r="B86" s="145" t="inlineStr">
        <is>
          <t>OUR GST NO. NOT REFLECTED ON GST BILLS</t>
        </is>
      </c>
      <c r="C86" s="112" t="n"/>
      <c r="D86" s="112" t="n"/>
      <c r="E86" s="112" t="n"/>
      <c r="F86" s="1084" t="n"/>
      <c r="G86" s="1084" t="n"/>
      <c r="H86" s="32" t="n"/>
      <c r="I86" s="1084" t="n"/>
      <c r="J86" s="1084" t="n"/>
    </row>
    <row r="87">
      <c r="A87" s="1084" t="n"/>
      <c r="B87" s="141" t="inlineStr">
        <is>
          <t>PARTY NAME</t>
        </is>
      </c>
      <c r="C87" s="1331" t="inlineStr">
        <is>
          <t>GGST</t>
        </is>
      </c>
      <c r="D87" s="1331" t="inlineStr">
        <is>
          <t>CGST</t>
        </is>
      </c>
      <c r="E87" s="1331" t="inlineStr">
        <is>
          <t>IGST</t>
        </is>
      </c>
      <c r="F87" s="1084" t="n"/>
      <c r="G87" s="1084" t="n"/>
      <c r="H87" s="32" t="n"/>
      <c r="I87" s="1084" t="n"/>
      <c r="J87" s="1084" t="n"/>
    </row>
    <row r="88">
      <c r="A88" s="1084" t="n"/>
      <c r="B88" s="487" t="inlineStr">
        <is>
          <t>BSNL</t>
        </is>
      </c>
      <c r="C88" s="1204" t="n"/>
      <c r="D88" s="1204">
        <f>+C88</f>
        <v/>
      </c>
      <c r="E88" s="1204" t="n"/>
      <c r="F88" s="1084" t="n"/>
      <c r="G88" s="1084" t="n"/>
      <c r="H88" s="32" t="n"/>
      <c r="I88" s="1084" t="n"/>
      <c r="J88" s="1084" t="n"/>
    </row>
    <row r="89">
      <c r="A89" s="1084" t="n"/>
      <c r="B89" s="487" t="inlineStr">
        <is>
          <t>BSNL</t>
        </is>
      </c>
      <c r="C89" s="1203" t="n"/>
      <c r="D89" s="1203">
        <f>+C89</f>
        <v/>
      </c>
      <c r="E89" s="1203" t="n"/>
      <c r="F89" s="1084" t="n"/>
      <c r="G89" s="1084" t="n"/>
      <c r="H89" s="32" t="n"/>
      <c r="I89" s="1084" t="n"/>
      <c r="J89" s="1084" t="n"/>
    </row>
    <row r="90" ht="15.75" customHeight="1" thickBot="1">
      <c r="A90" s="1084" t="n"/>
      <c r="B90" s="145" t="inlineStr">
        <is>
          <t>TOTAL</t>
        </is>
      </c>
      <c r="C90" s="418">
        <f>SUM(C88:C88)</f>
        <v/>
      </c>
      <c r="D90" s="418">
        <f>SUM(D88:D88)</f>
        <v/>
      </c>
      <c r="E90" s="418">
        <f>SUM(E88:E88)</f>
        <v/>
      </c>
      <c r="F90" s="1084" t="n"/>
      <c r="G90" s="1084" t="n"/>
      <c r="H90" s="32" t="n"/>
      <c r="I90" s="1084" t="n"/>
      <c r="J90" s="1084" t="n"/>
    </row>
    <row r="91" ht="15.75" customHeight="1" thickTop="1">
      <c r="A91" s="1084" t="n"/>
      <c r="B91" s="174" t="n"/>
      <c r="C91" s="1533" t="n"/>
      <c r="D91" s="1533" t="n"/>
      <c r="E91" s="1084" t="n"/>
      <c r="F91" s="1084" t="n"/>
      <c r="G91" s="1084" t="n"/>
      <c r="H91" s="32" t="n"/>
      <c r="I91" s="1084" t="n"/>
      <c r="J91" s="1084" t="n"/>
    </row>
    <row r="92">
      <c r="A92" s="1084" t="n"/>
      <c r="B92" s="1084" t="n"/>
      <c r="C92" s="1084" t="n"/>
      <c r="D92" s="1084" t="n"/>
      <c r="E92" s="1084" t="n"/>
      <c r="F92" s="1084" t="n"/>
      <c r="G92" s="1084" t="n"/>
      <c r="H92" s="32" t="n"/>
      <c r="I92" s="1084" t="n"/>
      <c r="J92" s="1084" t="n"/>
    </row>
    <row r="93">
      <c r="A93" s="1084" t="n"/>
      <c r="B93" s="1084" t="n"/>
      <c r="C93" s="1084" t="n"/>
      <c r="D93" s="1084" t="n"/>
      <c r="E93" s="1084" t="n"/>
      <c r="F93" s="1084" t="n"/>
      <c r="G93" s="1084" t="n"/>
      <c r="H93" s="32" t="n"/>
      <c r="I93" s="1084" t="n"/>
      <c r="J93" s="1084" t="n"/>
    </row>
  </sheetData>
  <mergeCells count="27">
    <mergeCell ref="A80:C80"/>
    <mergeCell ref="A75:C75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1:F1"/>
    <mergeCell ref="F78:F79"/>
    <mergeCell ref="B7:B8"/>
    <mergeCell ref="D69:D70"/>
    <mergeCell ref="F69:F70"/>
    <mergeCell ref="F7:F8"/>
  </mergeCells>
  <conditionalFormatting sqref="A9:B21 G81:XFD93 K94:XFD1048576">
    <cfRule type="containsText" priority="30" operator="containsText" dxfId="0" text="LESS COLLECTED">
      <formula>NOT(ISERROR(SEARCH("LESS COLLECTED",A9)))</formula>
    </cfRule>
  </conditionalFormatting>
  <conditionalFormatting sqref="A22:B34">
    <cfRule type="containsText" priority="43" operator="containsText" dxfId="0" text="LESS COLLECTED">
      <formula>NOT(ISERROR(SEARCH("LESS COLLECTED",A22)))</formula>
    </cfRule>
  </conditionalFormatting>
  <conditionalFormatting sqref="A28:B32">
    <cfRule type="containsText" priority="42" operator="containsText" dxfId="1" text="EXCESS COLLECTED">
      <formula>NOT(ISERROR(SEARCH("EXCESS COLLECTED",A28)))</formula>
    </cfRule>
  </conditionalFormatting>
  <conditionalFormatting sqref="A35:B56">
    <cfRule type="containsText" priority="8" operator="containsText" dxfId="0" text="LESS COLLECTED">
      <formula>NOT(ISERROR(SEARCH("LESS COLLECTED",A35)))</formula>
    </cfRule>
  </conditionalFormatting>
  <conditionalFormatting sqref="A47:B56">
    <cfRule type="containsText" priority="7" operator="containsText" dxfId="1" text="EXCESS COLLECTED">
      <formula>NOT(ISERROR(SEARCH("EXCESS COLLECTED",A47)))</formula>
    </cfRule>
  </conditionalFormatting>
  <conditionalFormatting sqref="A57:B61 A62:F65">
    <cfRule type="containsText" priority="47" operator="containsText" dxfId="0" text="LESS COLLECTED">
      <formula>NOT(ISERROR(SEARCH("LESS COLLECTED",A57)))</formula>
    </cfRule>
  </conditionalFormatting>
  <conditionalFormatting sqref="A66:F73 A82:F93">
    <cfRule type="containsText" priority="226" operator="containsText" dxfId="0" text="LESS COLLECTED">
      <formula>NOT(ISERROR(SEARCH("LESS COLLECTED",A66)))</formula>
    </cfRule>
  </conditionalFormatting>
  <conditionalFormatting sqref="A74:F81">
    <cfRule type="containsText" priority="2" operator="containsText" dxfId="0" text="LESS COLLECTED">
      <formula>NOT(ISERROR(SEARCH("LESS COLLECTED",A74)))</formula>
    </cfRule>
  </conditionalFormatting>
  <conditionalFormatting sqref="A1:XFD6 A7:F8 G75:XFD79 H74:XFD74 H80:XFD80 J7:XFD62">
    <cfRule type="containsText" priority="237" operator="containsText" dxfId="0" text="LESS COLLECTED">
      <formula>NOT(ISERROR(SEARCH("LESS COLLECTED",A1)))</formula>
    </cfRule>
  </conditionalFormatting>
  <conditionalFormatting sqref="B61">
    <cfRule type="containsText" priority="46" operator="containsText" dxfId="1" text="EXCESS COLLECTED">
      <formula>NOT(ISERROR(SEARCH("EXCESS COLLECTED",B61)))</formula>
    </cfRule>
  </conditionalFormatting>
  <conditionalFormatting sqref="C9:I42">
    <cfRule type="containsText" priority="1" operator="containsText" dxfId="0" text="LESS COLLECTED">
      <formula>NOT(ISERROR(SEARCH("LESS COLLECTED",C9)))</formula>
    </cfRule>
  </conditionalFormatting>
  <conditionalFormatting sqref="C43:I57">
    <cfRule type="containsText" priority="10" operator="containsText" dxfId="0" text="LESS COLLECTED">
      <formula>NOT(ISERROR(SEARCH("LESS COLLECTED",C43)))</formula>
    </cfRule>
  </conditionalFormatting>
  <conditionalFormatting sqref="C58:I62">
    <cfRule type="containsText" priority="3" operator="containsText" dxfId="0" text="LESS COLLECTED">
      <formula>NOT(ISERROR(SEARCH("LESS COLLECTED",C58)))</formula>
    </cfRule>
  </conditionalFormatting>
  <conditionalFormatting sqref="A72:F73 A85 B86:D91 C90:E90 D69:E70">
    <cfRule type="containsText" priority="225" operator="containsText" dxfId="1" text="EXCESS COLLECTED">
      <formula>NOT(ISERROR(SEARCH("EXCESS COLLECTED",A69)))</formula>
    </cfRule>
  </conditionalFormatting>
  <conditionalFormatting sqref="D48:F56">
    <cfRule type="containsText" priority="9" operator="containsText" dxfId="1" text="EXCESS COLLECTED">
      <formula>NOT(ISERROR(SEARCH("EXCESS COLLECTED",D48)))</formula>
    </cfRule>
  </conditionalFormatting>
  <conditionalFormatting sqref="G7:I7">
    <cfRule type="containsText" priority="57" operator="containsText" dxfId="0" text="LESS COLLECTED">
      <formula>NOT(ISERROR(SEARCH("LESS COLLECTED",G7)))</formula>
    </cfRule>
  </conditionalFormatting>
  <pageMargins left="0.905511811023622" right="0.868110236" top="0" bottom="0" header="0.31496062992126" footer="0.31496062992126"/>
  <pageSetup orientation="portrait" paperSize="9" scale="59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96"/>
  <sheetViews>
    <sheetView topLeftCell="B16" zoomScaleNormal="100" workbookViewId="0">
      <selection activeCell="H88" sqref="H88"/>
    </sheetView>
  </sheetViews>
  <sheetFormatPr baseColWidth="8" defaultColWidth="9.140625" defaultRowHeight="15"/>
  <cols>
    <col width="15" customWidth="1" min="1" max="1"/>
    <col width="54.28515625" customWidth="1" min="2" max="2"/>
    <col width="20" bestFit="1" customWidth="1" min="3" max="3"/>
    <col width="15.5703125" bestFit="1" customWidth="1" min="4" max="4"/>
    <col width="15.42578125" bestFit="1" customWidth="1" min="5" max="5"/>
    <col width="14.5703125" bestFit="1" customWidth="1" min="6" max="6"/>
    <col width="12.7109375" customWidth="1" min="7" max="7"/>
    <col width="12.140625" customWidth="1" min="8" max="9"/>
    <col width="15.140625" customWidth="1" min="10" max="10"/>
    <col width="1.42578125" bestFit="1" customWidth="1" min="15" max="15"/>
  </cols>
  <sheetData>
    <row r="1" ht="15.75" customFormat="1" customHeight="1" s="256">
      <c r="A1" s="1214" t="inlineStr">
        <is>
          <t>NUTAN NAGARIK SAHAKARI BANK LTD (GUJARAT BRANCHES &amp; HEAD OFFICE)</t>
        </is>
      </c>
      <c r="H1" s="255" t="n"/>
    </row>
    <row r="2" ht="12" customFormat="1" customHeight="1" s="256">
      <c r="A2" s="257" t="n"/>
      <c r="B2" s="257" t="n"/>
      <c r="C2" s="257" t="n"/>
      <c r="D2" s="257" t="n"/>
      <c r="E2" s="257" t="n"/>
      <c r="F2" s="257" t="n"/>
      <c r="H2" s="255" t="n"/>
    </row>
    <row r="3" ht="15.75" customFormat="1" customHeight="1" s="256">
      <c r="A3" s="1214" t="inlineStr">
        <is>
          <t>BRANCH NAME :NARAYANNAGAR ROAD BRANCH</t>
        </is>
      </c>
      <c r="G3" s="260" t="n"/>
      <c r="H3" s="261" t="n"/>
      <c r="I3" s="260" t="n"/>
      <c r="J3" s="260" t="n"/>
    </row>
    <row r="4" ht="15.75" customFormat="1" customHeight="1" s="256">
      <c r="A4" s="1214" t="inlineStr">
        <is>
          <t>BRANCH CODE: 15</t>
        </is>
      </c>
      <c r="G4" s="260" t="n"/>
      <c r="H4" s="261" t="n"/>
      <c r="I4" s="260" t="n"/>
      <c r="J4" s="260" t="n"/>
    </row>
    <row r="5" ht="15.75" customFormat="1" customHeight="1" s="256">
      <c r="A5" s="1210">
        <f>+'ODHAV '!$A$5</f>
        <v/>
      </c>
      <c r="G5" s="260" t="n"/>
      <c r="H5" s="261" t="n"/>
      <c r="I5" s="260" t="n"/>
      <c r="J5" s="260" t="inlineStr">
        <is>
          <t xml:space="preserve">       </t>
        </is>
      </c>
    </row>
    <row r="6" ht="15.75" customFormat="1" customHeight="1" s="256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  <c r="G6" s="260" t="n"/>
      <c r="H6" s="261" t="n"/>
      <c r="I6" s="260" t="n"/>
      <c r="J6" s="260" t="n"/>
    </row>
    <row r="7" ht="15.75" customFormat="1" customHeight="1" s="256">
      <c r="A7" s="46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78" t="n"/>
      <c r="H7" s="1279" t="n"/>
      <c r="I7" s="1278" t="inlineStr">
        <is>
          <t>LOCKER CLOSED CREDIT</t>
        </is>
      </c>
      <c r="J7" s="260" t="n"/>
    </row>
    <row r="8" ht="15.75" customFormat="1" customHeight="1" s="256">
      <c r="A8" s="48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  <c r="J8" s="260" t="n"/>
    </row>
    <row r="9" ht="15.75" customFormat="1" customHeight="1" s="256">
      <c r="A9" s="832" t="n">
        <v>3303</v>
      </c>
      <c r="B9" s="1303" t="inlineStr">
        <is>
          <t>DD CANCEL CHARGES</t>
        </is>
      </c>
      <c r="C9" s="1561" t="n"/>
      <c r="D9" s="1562">
        <f>+C9*9%</f>
        <v/>
      </c>
      <c r="E9" s="1562">
        <f>+D9</f>
        <v/>
      </c>
      <c r="F9" s="1562">
        <f>IF(D9&gt;0," ",C9*18%)</f>
        <v/>
      </c>
      <c r="G9" s="1563" t="n"/>
      <c r="H9" s="1563" t="n"/>
      <c r="I9" s="1563" t="n">
        <v>0</v>
      </c>
      <c r="J9" s="260" t="n"/>
    </row>
    <row r="10" ht="15.75" customFormat="1" customHeight="1" s="256">
      <c r="A10" s="832" t="inlineStr">
        <is>
          <t>3200</t>
        </is>
      </c>
      <c r="B10" s="1303" t="inlineStr">
        <is>
          <t>COMMISION ON BILLS</t>
        </is>
      </c>
      <c r="C10" s="1561" t="n"/>
      <c r="D10" s="1562">
        <f>+C10*9%</f>
        <v/>
      </c>
      <c r="E10" s="1562">
        <f>+D10</f>
        <v/>
      </c>
      <c r="F10" s="1562">
        <f>IF(D10&gt;0," ",C10*18%)</f>
        <v/>
      </c>
      <c r="G10" s="1563" t="n"/>
      <c r="H10" s="1563" t="n"/>
      <c r="I10" s="1563" t="n">
        <v>0</v>
      </c>
      <c r="J10" s="260" t="n"/>
    </row>
    <row r="11" ht="15.75" customFormat="1" customHeight="1" s="256">
      <c r="A11" s="1183" t="inlineStr">
        <is>
          <t>3215</t>
        </is>
      </c>
      <c r="B11" s="1303" t="inlineStr">
        <is>
          <t>COMMISION ON PAYORDER</t>
        </is>
      </c>
      <c r="C11" s="1561" t="n"/>
      <c r="D11" s="1562">
        <f>+C11*9%</f>
        <v/>
      </c>
      <c r="E11" s="1562">
        <f>+D11</f>
        <v/>
      </c>
      <c r="F11" s="1562">
        <f>IF(D11&gt;0," ",C11*18%)</f>
        <v/>
      </c>
      <c r="G11" s="1563" t="n"/>
      <c r="H11" s="1563" t="n"/>
      <c r="I11" s="1563" t="n">
        <v>0</v>
      </c>
      <c r="J11" s="260" t="n"/>
    </row>
    <row r="12" ht="15.75" customFormat="1" customHeight="1" s="256">
      <c r="A12" s="1185" t="inlineStr">
        <is>
          <t>3220</t>
        </is>
      </c>
      <c r="B12" s="1303" t="inlineStr">
        <is>
          <t>COMMISION ON U.B.D.</t>
        </is>
      </c>
      <c r="C12" s="1561" t="n"/>
      <c r="D12" s="1562">
        <f>+C12*9%</f>
        <v/>
      </c>
      <c r="E12" s="1562">
        <f>+D12</f>
        <v/>
      </c>
      <c r="F12" s="1562">
        <f>IF(D12&gt;0," ",C12*18%)</f>
        <v/>
      </c>
      <c r="G12" s="1563" t="n"/>
      <c r="H12" s="1563" t="n"/>
      <c r="I12" s="1563" t="n">
        <v>0</v>
      </c>
      <c r="J12" s="260" t="n"/>
    </row>
    <row r="13" ht="15.75" customFormat="1" customHeight="1" s="256">
      <c r="A13" s="1183" t="inlineStr">
        <is>
          <t>3225</t>
        </is>
      </c>
      <c r="B13" s="1303" t="inlineStr">
        <is>
          <t>COMMISION I.B.C.</t>
        </is>
      </c>
      <c r="C13" s="1561" t="n"/>
      <c r="D13" s="1562">
        <f>+C13*9%</f>
        <v/>
      </c>
      <c r="E13" s="1562">
        <f>+D13</f>
        <v/>
      </c>
      <c r="F13" s="1562">
        <f>IF(D13&gt;0," ",C13*18%)</f>
        <v/>
      </c>
      <c r="G13" s="1563" t="n"/>
      <c r="H13" s="1563" t="n"/>
      <c r="I13" s="1563" t="n">
        <v>0</v>
      </c>
      <c r="J13" s="260" t="n"/>
    </row>
    <row r="14" ht="15.75" customFormat="1" customHeight="1" s="256">
      <c r="A14" s="1183" t="inlineStr">
        <is>
          <t>3230</t>
        </is>
      </c>
      <c r="B14" s="1303" t="inlineStr">
        <is>
          <t>COMMISION ON GUARANTEE</t>
        </is>
      </c>
      <c r="C14" s="1561" t="n"/>
      <c r="D14" s="1562">
        <f>+C14*9%</f>
        <v/>
      </c>
      <c r="E14" s="1562">
        <f>+D14</f>
        <v/>
      </c>
      <c r="F14" s="1562">
        <f>IF(D14&gt;0," ",C14*18%)</f>
        <v/>
      </c>
      <c r="G14" s="1563" t="n"/>
      <c r="H14" s="1563" t="n"/>
      <c r="I14" s="1563" t="n">
        <v>0</v>
      </c>
      <c r="J14" s="260" t="n"/>
    </row>
    <row r="15" ht="15.75" customFormat="1" customHeight="1" s="256">
      <c r="A15" s="1183" t="inlineStr">
        <is>
          <t>3235</t>
        </is>
      </c>
      <c r="B15" s="1303" t="inlineStr">
        <is>
          <t>COMMISION ON DEMAND DRAFT</t>
        </is>
      </c>
      <c r="C15" s="1561" t="n"/>
      <c r="D15" s="1562">
        <f>+C15*9%</f>
        <v/>
      </c>
      <c r="E15" s="1562">
        <f>+D15</f>
        <v/>
      </c>
      <c r="F15" s="1562">
        <f>IF(D15&gt;0," ",C15*18%)</f>
        <v/>
      </c>
      <c r="G15" s="1563" t="n"/>
      <c r="H15" s="1563" t="n"/>
      <c r="I15" s="1563" t="n">
        <v>0</v>
      </c>
      <c r="J15" s="260" t="n"/>
    </row>
    <row r="16" ht="15.75" customFormat="1" customHeight="1" s="256">
      <c r="A16" s="1185" t="inlineStr">
        <is>
          <t>3240</t>
        </is>
      </c>
      <c r="B16" s="1303" t="inlineStr">
        <is>
          <t>COMMISION ON U.B.C.</t>
        </is>
      </c>
      <c r="C16" s="1561" t="n"/>
      <c r="D16" s="1562">
        <f>+C16*9%</f>
        <v/>
      </c>
      <c r="E16" s="1562">
        <f>+D16</f>
        <v/>
      </c>
      <c r="F16" s="1562">
        <f>IF(D16&gt;0," ",C16*18%)</f>
        <v/>
      </c>
      <c r="G16" s="1563" t="n"/>
      <c r="H16" s="1563" t="n"/>
      <c r="I16" s="1563" t="n">
        <v>0</v>
      </c>
      <c r="J16" s="260" t="n"/>
    </row>
    <row r="17" ht="15.75" customFormat="1" customHeight="1" s="256">
      <c r="A17" s="1185" t="inlineStr">
        <is>
          <t>3245</t>
        </is>
      </c>
      <c r="B17" s="1303" t="inlineStr">
        <is>
          <t>COMMISION ON L.C.</t>
        </is>
      </c>
      <c r="C17" s="1561" t="n"/>
      <c r="D17" s="1562">
        <f>+C17*9%</f>
        <v/>
      </c>
      <c r="E17" s="1562">
        <f>+D17</f>
        <v/>
      </c>
      <c r="F17" s="1562">
        <f>IF(D17&gt;0," ",C17*18%)</f>
        <v/>
      </c>
      <c r="G17" s="1563" t="n"/>
      <c r="H17" s="1563" t="n"/>
      <c r="I17" s="1563" t="n">
        <v>0</v>
      </c>
      <c r="J17" s="260" t="n"/>
    </row>
    <row r="18" ht="15.75" customFormat="1" customHeight="1" s="256">
      <c r="A18" s="1185" t="inlineStr">
        <is>
          <t>3250</t>
        </is>
      </c>
      <c r="B18" s="1303" t="inlineStr">
        <is>
          <t>COMMISSION ON GUARANTEE</t>
        </is>
      </c>
      <c r="C18" s="1561" t="n"/>
      <c r="D18" s="1562">
        <f>+C18*9%</f>
        <v/>
      </c>
      <c r="E18" s="1562">
        <f>+D18</f>
        <v/>
      </c>
      <c r="F18" s="1562">
        <f>IF(D18&gt;0," ",C18*18%)</f>
        <v/>
      </c>
      <c r="G18" s="1563" t="n"/>
      <c r="H18" s="1563" t="n"/>
      <c r="I18" s="1563" t="n">
        <v>0</v>
      </c>
      <c r="J18" s="260" t="n"/>
    </row>
    <row r="19" ht="15.75" customFormat="1" customHeight="1" s="256">
      <c r="A19" s="1183" t="inlineStr">
        <is>
          <t>3270</t>
        </is>
      </c>
      <c r="B19" s="1303" t="inlineStr">
        <is>
          <t>PROCESSING CHARGE</t>
        </is>
      </c>
      <c r="C19" s="1561" t="n"/>
      <c r="D19" s="1562">
        <f>+C19*9%</f>
        <v/>
      </c>
      <c r="E19" s="1562">
        <f>+D19</f>
        <v/>
      </c>
      <c r="F19" s="1562">
        <f>IF(D19&gt;0," ",C19*18%)</f>
        <v/>
      </c>
      <c r="G19" s="1563" t="n"/>
      <c r="H19" s="1563" t="n"/>
      <c r="I19" s="1563" t="n">
        <v>0</v>
      </c>
      <c r="J19" s="260" t="n"/>
      <c r="K19" s="256" t="inlineStr">
        <is>
          <t xml:space="preserve"> </t>
        </is>
      </c>
    </row>
    <row r="20" ht="15.75" customFormat="1" customHeight="1" s="256">
      <c r="A20" s="1183" t="n">
        <v>3271</v>
      </c>
      <c r="B20" s="1303" t="inlineStr">
        <is>
          <t>RENEWAL FEES</t>
        </is>
      </c>
      <c r="C20" s="1561" t="n"/>
      <c r="D20" s="1562">
        <f>+C20*9%</f>
        <v/>
      </c>
      <c r="E20" s="1562">
        <f>+D20</f>
        <v/>
      </c>
      <c r="F20" s="1562">
        <f>IF(D20&gt;0," ",C20*18%)</f>
        <v/>
      </c>
      <c r="G20" s="1563" t="n"/>
      <c r="H20" s="1563" t="n"/>
      <c r="I20" s="1563" t="n">
        <v>0</v>
      </c>
      <c r="J20" s="260" t="n"/>
    </row>
    <row r="21" ht="15.75" customFormat="1" customHeight="1" s="256">
      <c r="A21" s="1183" t="n">
        <v>3274</v>
      </c>
      <c r="B21" s="1303" t="inlineStr">
        <is>
          <t>INCOME FROM E-STAMPING</t>
        </is>
      </c>
      <c r="C21" s="1561" t="n"/>
      <c r="D21" s="1562" t="n"/>
      <c r="E21" s="1562" t="n"/>
      <c r="F21" s="1562">
        <f>IF(D21&gt;0," ",C21*18%)</f>
        <v/>
      </c>
      <c r="G21" s="1563" t="n"/>
      <c r="H21" s="1563" t="n"/>
      <c r="I21" s="1563" t="n">
        <v>0</v>
      </c>
      <c r="J21" s="260" t="n"/>
    </row>
    <row r="22" ht="15.75" customFormat="1" customHeight="1" s="256">
      <c r="A22" s="1564" t="inlineStr">
        <is>
          <t>3276</t>
        </is>
      </c>
      <c r="B22" s="1303" t="inlineStr">
        <is>
          <t>COMMISION ON PAN</t>
        </is>
      </c>
      <c r="C22" s="1561" t="n"/>
      <c r="D22" s="1562">
        <f>+C22*9%</f>
        <v/>
      </c>
      <c r="E22" s="1562">
        <f>+D22</f>
        <v/>
      </c>
      <c r="F22" s="1562">
        <f>IF(D22&gt;0," ",C22*18%)</f>
        <v/>
      </c>
      <c r="G22" s="1563" t="n"/>
      <c r="H22" s="1563" t="n"/>
      <c r="I22" s="1563" t="n">
        <v>0</v>
      </c>
      <c r="J22" s="260" t="n"/>
      <c r="O22" s="256" t="inlineStr">
        <is>
          <t xml:space="preserve"> </t>
        </is>
      </c>
    </row>
    <row r="23" ht="15.75" customFormat="1" customHeight="1" s="256">
      <c r="A23" s="1185" t="inlineStr">
        <is>
          <t>3280</t>
        </is>
      </c>
      <c r="B23" s="1303" t="inlineStr">
        <is>
          <t>INSURANCE PREMIUM</t>
        </is>
      </c>
      <c r="C23" s="1561" t="n"/>
      <c r="D23" s="1562">
        <f>+C23*9%</f>
        <v/>
      </c>
      <c r="E23" s="1562">
        <f>+D23</f>
        <v/>
      </c>
      <c r="F23" s="1562">
        <f>IF(D23&gt;0," ",C23*18%)</f>
        <v/>
      </c>
      <c r="G23" s="1563" t="n"/>
      <c r="H23" s="1563" t="n"/>
      <c r="I23" s="1563" t="n">
        <v>0</v>
      </c>
      <c r="J23" s="260" t="n"/>
    </row>
    <row r="24" ht="15.75" customFormat="1" customHeight="1" s="256">
      <c r="A24" s="1185" t="inlineStr">
        <is>
          <t>3281</t>
        </is>
      </c>
      <c r="B24" s="1303" t="inlineStr">
        <is>
          <t>ATM CHARGES</t>
        </is>
      </c>
      <c r="C24" s="1561" t="n"/>
      <c r="D24" s="1562">
        <f>+C24*9%</f>
        <v/>
      </c>
      <c r="E24" s="1562">
        <f>+D24</f>
        <v/>
      </c>
      <c r="F24" s="1562">
        <f>IF(D24&gt;0," ",C24*18%)</f>
        <v/>
      </c>
      <c r="G24" s="1563" t="n"/>
      <c r="H24" s="1563" t="n"/>
      <c r="I24" s="1563" t="n">
        <v>0</v>
      </c>
      <c r="J24" s="260" t="n"/>
    </row>
    <row r="25" ht="15.75" customFormat="1" customHeight="1" s="256">
      <c r="A25" s="1565" t="inlineStr">
        <is>
          <t>3285</t>
        </is>
      </c>
      <c r="B25" s="1303" t="inlineStr">
        <is>
          <t>COMMISION ON RTGS</t>
        </is>
      </c>
      <c r="C25" s="1561" t="n"/>
      <c r="D25" s="1562">
        <f>+C25*9%</f>
        <v/>
      </c>
      <c r="E25" s="1562">
        <f>+D25</f>
        <v/>
      </c>
      <c r="F25" s="1562">
        <f>IF(D25&gt;0," ",C25*18%)</f>
        <v/>
      </c>
      <c r="G25" s="1563" t="n"/>
      <c r="H25" s="1563" t="n"/>
      <c r="I25" s="1563" t="n">
        <v>0</v>
      </c>
      <c r="J25" s="260" t="n"/>
    </row>
    <row r="26" ht="15.75" customFormat="1" customHeight="1" s="256">
      <c r="A26" s="1565" t="inlineStr">
        <is>
          <t>3286</t>
        </is>
      </c>
      <c r="B26" s="1303" t="inlineStr">
        <is>
          <t xml:space="preserve">COMMISION ON PMJJBY LIC </t>
        </is>
      </c>
      <c r="C26" s="1561" t="n"/>
      <c r="D26" s="1562">
        <f>+C26*9%</f>
        <v/>
      </c>
      <c r="E26" s="1562">
        <f>+D26</f>
        <v/>
      </c>
      <c r="F26" s="1562">
        <f>IF(D26&gt;0," ",C26*18%)</f>
        <v/>
      </c>
      <c r="G26" s="1563" t="n"/>
      <c r="H26" s="1563" t="n"/>
      <c r="I26" s="1563" t="n">
        <v>0</v>
      </c>
      <c r="J26" s="260" t="n"/>
    </row>
    <row r="27" ht="15.75" customFormat="1" customHeight="1" s="256">
      <c r="A27" s="1565" t="inlineStr">
        <is>
          <t>3287</t>
        </is>
      </c>
      <c r="B27" s="1303" t="inlineStr">
        <is>
          <t>COMM. ON PMSBY NEW INDIA ASSURANCE</t>
        </is>
      </c>
      <c r="C27" s="1561" t="n"/>
      <c r="D27" s="1562">
        <f>+C27*9%</f>
        <v/>
      </c>
      <c r="E27" s="1562">
        <f>+D27</f>
        <v/>
      </c>
      <c r="F27" s="1562">
        <f>IF(D27&gt;0," ",C27*18%)</f>
        <v/>
      </c>
      <c r="G27" s="1563" t="n"/>
      <c r="H27" s="1563" t="n"/>
      <c r="I27" s="1563" t="n">
        <v>0</v>
      </c>
      <c r="J27" s="260" t="n"/>
    </row>
    <row r="28" ht="15.75" customFormat="1" customHeight="1" s="256">
      <c r="A28" s="837" t="n">
        <v>3291</v>
      </c>
      <c r="B28" s="1303" t="inlineStr">
        <is>
          <t>CIBIL CHARGES</t>
        </is>
      </c>
      <c r="C28" s="1561" t="n"/>
      <c r="D28" s="1562">
        <f>+C28*9%</f>
        <v/>
      </c>
      <c r="E28" s="1562">
        <f>+D28</f>
        <v/>
      </c>
      <c r="F28" s="1562">
        <f>IF(D28&gt;0," ",C28*18%)</f>
        <v/>
      </c>
      <c r="G28" s="1563" t="n"/>
      <c r="H28" s="1563" t="n"/>
      <c r="I28" s="1563" t="n">
        <v>0</v>
      </c>
      <c r="J28" s="260" t="n"/>
    </row>
    <row r="29" ht="15.75" customFormat="1" customHeight="1" s="256">
      <c r="A29" s="837" t="inlineStr">
        <is>
          <t>3296</t>
        </is>
      </c>
      <c r="B29" s="1303" t="inlineStr">
        <is>
          <t>RTGS/NEFT MANUAL CHARGES</t>
        </is>
      </c>
      <c r="C29" s="1561" t="n"/>
      <c r="D29" s="1562">
        <f>+C29*0.09</f>
        <v/>
      </c>
      <c r="E29" s="1562">
        <f>+D29</f>
        <v/>
      </c>
      <c r="F29" s="1562">
        <f>IF(D29&gt;0," ",C29*18%)</f>
        <v/>
      </c>
      <c r="G29" s="1563" t="n"/>
      <c r="H29" s="1563" t="n"/>
      <c r="I29" s="1563" t="n">
        <v>0</v>
      </c>
      <c r="J29" s="260" t="n"/>
    </row>
    <row r="30" ht="15.75" customFormat="1" customHeight="1" s="256">
      <c r="A30" s="837" t="inlineStr">
        <is>
          <t>3297</t>
        </is>
      </c>
      <c r="B30" s="1303" t="inlineStr">
        <is>
          <t>ASBA FORM PRINT CHARGES</t>
        </is>
      </c>
      <c r="C30" s="1561" t="n"/>
      <c r="D30" s="1562">
        <f>+C30*9%</f>
        <v/>
      </c>
      <c r="E30" s="1562">
        <f>+D30</f>
        <v/>
      </c>
      <c r="F30" s="1562">
        <f>IF(D30&gt;0," ",C30*18%)</f>
        <v/>
      </c>
      <c r="G30" s="1563" t="n"/>
      <c r="H30" s="1563" t="n"/>
      <c r="I30" s="1563" t="n">
        <v>0</v>
      </c>
      <c r="J30" s="260" t="n"/>
    </row>
    <row r="31" ht="15.75" customFormat="1" customHeight="1" s="256">
      <c r="A31" s="837" t="inlineStr">
        <is>
          <t>3298</t>
        </is>
      </c>
      <c r="B31" s="1303" t="inlineStr">
        <is>
          <t>MANDATE HANDLING CHARGES</t>
        </is>
      </c>
      <c r="C31" s="1561" t="n"/>
      <c r="D31" s="1562">
        <f>+C31*9%</f>
        <v/>
      </c>
      <c r="E31" s="1562">
        <f>+D31</f>
        <v/>
      </c>
      <c r="F31" s="1562">
        <f>IF(D31&gt;0," ",C31*18%)</f>
        <v/>
      </c>
      <c r="G31" s="1563" t="n"/>
      <c r="H31" s="1563" t="n"/>
      <c r="I31" s="1563" t="n">
        <v>0</v>
      </c>
      <c r="J31" s="260" t="n"/>
    </row>
    <row r="32" ht="15.75" customFormat="1" customHeight="1" s="256">
      <c r="A32" s="837" t="inlineStr">
        <is>
          <t>3299</t>
        </is>
      </c>
      <c r="B32" s="1303" t="inlineStr">
        <is>
          <t>SI  EXECUTION  FAILED CHARGES</t>
        </is>
      </c>
      <c r="C32" s="1561" t="n"/>
      <c r="D32" s="1562">
        <f>+C32*9%</f>
        <v/>
      </c>
      <c r="E32" s="1562">
        <f>+D32</f>
        <v/>
      </c>
      <c r="F32" s="1562">
        <f>IF(D32&gt;0," ",C32*18%)</f>
        <v/>
      </c>
      <c r="G32" s="1563" t="n"/>
      <c r="H32" s="1563" t="n"/>
      <c r="I32" s="1563" t="n">
        <v>0</v>
      </c>
      <c r="J32" s="1566">
        <f>+C33-J33</f>
        <v/>
      </c>
    </row>
    <row r="33" ht="15.75" customFormat="1" customHeight="1" s="256">
      <c r="A33" s="1183" t="inlineStr">
        <is>
          <t>3300</t>
        </is>
      </c>
      <c r="B33" s="1303" t="inlineStr">
        <is>
          <t>INCIDENTAL CHARGES</t>
        </is>
      </c>
      <c r="C33" s="1561" t="n"/>
      <c r="D33" s="1562">
        <f>+C33*9%</f>
        <v/>
      </c>
      <c r="E33" s="1562">
        <f>+D33</f>
        <v/>
      </c>
      <c r="F33" s="1562">
        <f>IF(D33&gt;0," ",C33*18%)</f>
        <v/>
      </c>
      <c r="G33" s="1563" t="n"/>
      <c r="H33" s="1563" t="n"/>
      <c r="I33" s="1563" t="n">
        <v>0</v>
      </c>
      <c r="J33" s="260" t="n">
        <v>163981</v>
      </c>
    </row>
    <row r="34" ht="15.75" customFormat="1" customHeight="1" s="256">
      <c r="A34" s="1183" t="n">
        <v>3301</v>
      </c>
      <c r="B34" s="1303" t="inlineStr">
        <is>
          <t>INOPERATIVE CHARGES</t>
        </is>
      </c>
      <c r="C34" s="1561" t="n"/>
      <c r="D34" s="1562">
        <f>+C34*9%</f>
        <v/>
      </c>
      <c r="E34" s="1562">
        <f>+D34</f>
        <v/>
      </c>
      <c r="F34" s="1562">
        <f>IF(D34&gt;0," ",C34*18%)</f>
        <v/>
      </c>
      <c r="G34" s="1563" t="n"/>
      <c r="H34" s="1563" t="n"/>
      <c r="I34" s="1563" t="n">
        <v>0</v>
      </c>
      <c r="J34" s="260" t="n"/>
    </row>
    <row r="35" ht="15.75" customFormat="1" customHeight="1" s="256">
      <c r="A35" s="1183" t="n">
        <v>3302</v>
      </c>
      <c r="B35" s="1303" t="inlineStr">
        <is>
          <t>PO CANCEL CHARGES</t>
        </is>
      </c>
      <c r="C35" s="1561" t="n"/>
      <c r="D35" s="1562">
        <f>+C35*9%</f>
        <v/>
      </c>
      <c r="E35" s="1562">
        <f>+D35</f>
        <v/>
      </c>
      <c r="F35" s="1562">
        <f>IF(D35&gt;0," ",C35*18%)</f>
        <v/>
      </c>
      <c r="G35" s="1563" t="n"/>
      <c r="H35" s="1563" t="n"/>
      <c r="I35" s="1563" t="n">
        <v>0</v>
      </c>
      <c r="J35" s="260" t="n"/>
    </row>
    <row r="36" ht="15.75" customFormat="1" customHeight="1" s="256">
      <c r="A36" s="1185" t="inlineStr">
        <is>
          <t>3305</t>
        </is>
      </c>
      <c r="B36" s="1303" t="inlineStr">
        <is>
          <t>A/C SHARE TRANSFER FEES</t>
        </is>
      </c>
      <c r="C36" s="1561" t="n"/>
      <c r="D36" s="1562">
        <f>+C36*9%</f>
        <v/>
      </c>
      <c r="E36" s="1562">
        <f>+D36</f>
        <v/>
      </c>
      <c r="F36" s="1562">
        <f>IF(D36&gt;0," ",C36*18%)</f>
        <v/>
      </c>
      <c r="G36" s="1563" t="n"/>
      <c r="H36" s="1563" t="n"/>
      <c r="I36" s="1563" t="n">
        <v>0</v>
      </c>
      <c r="J36" s="260" t="n"/>
    </row>
    <row r="37" ht="15.75" customFormat="1" customHeight="1" s="256">
      <c r="A37" s="1565" t="inlineStr">
        <is>
          <t>3309</t>
        </is>
      </c>
      <c r="B37" s="1303" t="inlineStr">
        <is>
          <t>MIS. INCOME WITH GST</t>
        </is>
      </c>
      <c r="C37" s="1561" t="n"/>
      <c r="D37" s="1562">
        <f>+C37*9%</f>
        <v/>
      </c>
      <c r="E37" s="1562">
        <f>+D37</f>
        <v/>
      </c>
      <c r="F37" s="1562">
        <f>IF(D37&gt;0," ",C37*18%)</f>
        <v/>
      </c>
      <c r="G37" s="1563" t="n"/>
      <c r="H37" s="1563" t="n"/>
      <c r="I37" s="1563" t="n">
        <v>0</v>
      </c>
      <c r="J37" s="260" t="n"/>
    </row>
    <row r="38" ht="15.75" customFormat="1" customHeight="1" s="256">
      <c r="A38" s="1183" t="inlineStr">
        <is>
          <t>3310</t>
        </is>
      </c>
      <c r="B38" s="1303" t="inlineStr">
        <is>
          <t>MIS. INCOME</t>
        </is>
      </c>
      <c r="C38" s="1561" t="n"/>
      <c r="D38" s="1562">
        <f>+C38*9%</f>
        <v/>
      </c>
      <c r="E38" s="1562">
        <f>+D38</f>
        <v/>
      </c>
      <c r="F38" s="1562">
        <f>IF(D38&gt;0," ",C38*18%)</f>
        <v/>
      </c>
      <c r="G38" s="1563" t="n"/>
      <c r="H38" s="1563" t="n"/>
      <c r="I38" s="1563" t="n">
        <v>0</v>
      </c>
      <c r="J38" s="260" t="n"/>
    </row>
    <row r="39" ht="15.75" customFormat="1" customHeight="1" s="256">
      <c r="A39" s="1183" t="inlineStr">
        <is>
          <t>3311</t>
        </is>
      </c>
      <c r="B39" s="1303" t="inlineStr">
        <is>
          <t>I/W CHQ. RET. CHARGES</t>
        </is>
      </c>
      <c r="C39" s="1567" t="n"/>
      <c r="D39" s="1562">
        <f>+C39*9%</f>
        <v/>
      </c>
      <c r="E39" s="1562">
        <f>+D39</f>
        <v/>
      </c>
      <c r="F39" s="1562">
        <f>IF(D39&gt;0," ",C39*18%)</f>
        <v/>
      </c>
      <c r="G39" s="1563" t="n"/>
      <c r="H39" s="1563" t="n"/>
      <c r="I39" s="1563" t="n">
        <v>0</v>
      </c>
      <c r="J39" s="260" t="n"/>
    </row>
    <row r="40" ht="15.75" customFormat="1" customHeight="1" s="256">
      <c r="A40" s="1183" t="inlineStr">
        <is>
          <t>3312</t>
        </is>
      </c>
      <c r="B40" s="1303" t="inlineStr">
        <is>
          <t>O/W CHQ. RET. CHARGES</t>
        </is>
      </c>
      <c r="C40" s="1567" t="n"/>
      <c r="D40" s="1562">
        <f>+C40*9%</f>
        <v/>
      </c>
      <c r="E40" s="1562">
        <f>+D40</f>
        <v/>
      </c>
      <c r="F40" s="1562">
        <f>IF(D40&gt;0," ",C40*18%)</f>
        <v/>
      </c>
      <c r="G40" s="1563" t="n"/>
      <c r="H40" s="1563" t="n"/>
      <c r="I40" s="1563" t="n">
        <v>0</v>
      </c>
      <c r="J40" s="260" t="n"/>
    </row>
    <row r="41" ht="15.75" customFormat="1" customHeight="1" s="256">
      <c r="A41" s="1183" t="inlineStr">
        <is>
          <t>3313</t>
        </is>
      </c>
      <c r="B41" s="1303" t="inlineStr">
        <is>
          <t>ECS RETD. CHARGES</t>
        </is>
      </c>
      <c r="C41" s="1561" t="n"/>
      <c r="D41" s="1562">
        <f>+C41*9%</f>
        <v/>
      </c>
      <c r="E41" s="1562">
        <f>+D41</f>
        <v/>
      </c>
      <c r="F41" s="1562">
        <f>IF(D41&gt;0," ",C41*18%)</f>
        <v/>
      </c>
      <c r="G41" s="1563" t="n"/>
      <c r="H41" s="1563" t="n"/>
      <c r="I41" s="1563" t="n">
        <v>0</v>
      </c>
      <c r="J41" s="260" t="n"/>
    </row>
    <row r="42" ht="15.75" customFormat="1" customHeight="1" s="256">
      <c r="A42" s="1185" t="inlineStr">
        <is>
          <t>3314</t>
        </is>
      </c>
      <c r="B42" s="1303" t="inlineStr">
        <is>
          <t>CHQ. BOOK ISSUE CHARGES</t>
        </is>
      </c>
      <c r="C42" s="1567" t="n"/>
      <c r="D42" s="1562">
        <f>+C42*9%</f>
        <v/>
      </c>
      <c r="E42" s="1562">
        <f>+D42</f>
        <v/>
      </c>
      <c r="F42" s="1562">
        <f>IF(D42&gt;0," ",C42*18%)</f>
        <v/>
      </c>
      <c r="G42" s="1563" t="n"/>
      <c r="H42" s="1563" t="n"/>
      <c r="I42" s="1563" t="n">
        <v>0</v>
      </c>
      <c r="J42" s="260">
        <f>6150-C42</f>
        <v/>
      </c>
    </row>
    <row r="43" ht="15.75" customFormat="1" customHeight="1" s="256">
      <c r="A43" s="1185" t="inlineStr">
        <is>
          <t>3315</t>
        </is>
      </c>
      <c r="B43" s="1303" t="inlineStr">
        <is>
          <t>CHARGES ON GODOWNS</t>
        </is>
      </c>
      <c r="C43" s="1561" t="n"/>
      <c r="D43" s="1562">
        <f>+C43*9%</f>
        <v/>
      </c>
      <c r="E43" s="1562">
        <f>+D43</f>
        <v/>
      </c>
      <c r="F43" s="1562">
        <f>IF(D43&gt;0," ",C43*18%)</f>
        <v/>
      </c>
      <c r="G43" s="1563" t="n"/>
      <c r="H43" s="1563" t="n"/>
      <c r="I43" s="1563" t="n">
        <v>0</v>
      </c>
      <c r="J43" s="260" t="n"/>
    </row>
    <row r="44" ht="15.75" customFormat="1" customHeight="1" s="256">
      <c r="A44" s="1185" t="inlineStr">
        <is>
          <t>3316</t>
        </is>
      </c>
      <c r="B44" s="1303" t="inlineStr">
        <is>
          <t>CASH CHARGES</t>
        </is>
      </c>
      <c r="C44" s="1567" t="n"/>
      <c r="D44" s="1562">
        <f>+C44*9%</f>
        <v/>
      </c>
      <c r="E44" s="1562">
        <f>+D44</f>
        <v/>
      </c>
      <c r="F44" s="1562">
        <f>IF(D44&gt;0," ",C44*18%)</f>
        <v/>
      </c>
      <c r="G44" s="1563" t="n"/>
      <c r="H44" s="1563" t="n"/>
      <c r="I44" s="1563" t="n">
        <v>0</v>
      </c>
      <c r="J44" s="260" t="n"/>
    </row>
    <row r="45" ht="15.75" customFormat="1" customHeight="1" s="256">
      <c r="A45" s="1185" t="n">
        <v>3317</v>
      </c>
      <c r="B45" s="1303" t="inlineStr">
        <is>
          <t>THE P&amp;T CHARGES FOR LC/BG</t>
        </is>
      </c>
      <c r="C45" s="1561" t="n"/>
      <c r="D45" s="1562">
        <f>+C45*9%</f>
        <v/>
      </c>
      <c r="E45" s="1562">
        <f>+D45</f>
        <v/>
      </c>
      <c r="F45" s="1562">
        <f>IF(D45&gt;0," ",C45*18%)</f>
        <v/>
      </c>
      <c r="G45" s="1563" t="n"/>
      <c r="H45" s="1563" t="n"/>
      <c r="I45" s="1563" t="n">
        <v>0</v>
      </c>
      <c r="J45" s="260" t="inlineStr">
        <is>
          <t xml:space="preserve"> </t>
        </is>
      </c>
    </row>
    <row r="46" ht="15.75" customFormat="1" customHeight="1" s="256">
      <c r="A46" s="1185" t="inlineStr">
        <is>
          <t>3318</t>
        </is>
      </c>
      <c r="B46" s="1303" t="inlineStr">
        <is>
          <t>OBC POSTAGE CHARGES</t>
        </is>
      </c>
      <c r="C46" s="1561" t="n"/>
      <c r="D46" s="1562">
        <f>+C46*9%</f>
        <v/>
      </c>
      <c r="E46" s="1562">
        <f>+D46</f>
        <v/>
      </c>
      <c r="F46" s="1562">
        <f>IF(D46&gt;0," ",C46*18%)</f>
        <v/>
      </c>
      <c r="G46" s="1563" t="n"/>
      <c r="H46" s="1563" t="n"/>
      <c r="I46" s="1563" t="n">
        <v>0</v>
      </c>
      <c r="J46" s="260" t="n"/>
    </row>
    <row r="47" ht="15.75" customFormat="1" customHeight="1" s="256">
      <c r="A47" s="1185" t="n">
        <v>3320</v>
      </c>
      <c r="B47" s="1303" t="inlineStr">
        <is>
          <t>RENT ON LOCKER</t>
        </is>
      </c>
      <c r="C47" s="1561" t="n"/>
      <c r="D47" s="1562">
        <f>+C47*9%</f>
        <v/>
      </c>
      <c r="E47" s="1562">
        <f>+D47</f>
        <v/>
      </c>
      <c r="F47" s="1562">
        <f>IF(D47&gt;0," ",C47*18%)</f>
        <v/>
      </c>
      <c r="G47" s="1563" t="n"/>
      <c r="H47" s="1563" t="n"/>
      <c r="I47" s="1563" t="n">
        <v>0</v>
      </c>
      <c r="J47" s="260" t="n"/>
    </row>
    <row r="48" ht="15.75" customFormat="1" customHeight="1" s="256">
      <c r="A48" s="1185" t="n">
        <v>3321</v>
      </c>
      <c r="B48" s="1303" t="inlineStr">
        <is>
          <t>ADHOC LIMIT CHARGES</t>
        </is>
      </c>
      <c r="C48" s="1561" t="n"/>
      <c r="D48" s="1562">
        <f>+C48*9%</f>
        <v/>
      </c>
      <c r="E48" s="1562">
        <f>+D48</f>
        <v/>
      </c>
      <c r="F48" s="1562">
        <f>IF(D48&gt;0," ",C48*18%)</f>
        <v/>
      </c>
      <c r="G48" s="1563" t="n"/>
      <c r="H48" s="1563" t="n"/>
      <c r="I48" s="1563" t="n">
        <v>0</v>
      </c>
      <c r="J48" s="260" t="n"/>
    </row>
    <row r="49" ht="15.75" customFormat="1" customHeight="1" s="256">
      <c r="A49" s="1185" t="n">
        <v>3322</v>
      </c>
      <c r="B49" s="1303" t="inlineStr">
        <is>
          <t>INCOME FROM SALE OF OLD NEWS PAPERS</t>
        </is>
      </c>
      <c r="C49" s="1561" t="n"/>
      <c r="D49" s="1562">
        <f>+C49*5%</f>
        <v/>
      </c>
      <c r="E49" s="1562">
        <f>+D49</f>
        <v/>
      </c>
      <c r="F49" s="1562">
        <f>IF(D49&gt;0," ",C49*18%)</f>
        <v/>
      </c>
      <c r="G49" s="1563" t="n"/>
      <c r="H49" s="1563" t="n"/>
      <c r="I49" s="1563" t="n">
        <v>0</v>
      </c>
      <c r="J49" s="260" t="n"/>
    </row>
    <row r="50" ht="16.5" customFormat="1" customHeight="1" s="256">
      <c r="A50" s="1185" t="n">
        <v>3324</v>
      </c>
      <c r="B50" s="1303" t="inlineStr">
        <is>
          <t>PENALTY ON OVERDUE LOCKER RENT</t>
        </is>
      </c>
      <c r="C50" s="1561" t="n"/>
      <c r="D50" s="1562">
        <f>+C50*9%</f>
        <v/>
      </c>
      <c r="E50" s="1562">
        <f>+D50</f>
        <v/>
      </c>
      <c r="F50" s="1562">
        <f>IF(D50&gt;0," ",C50*18%)</f>
        <v/>
      </c>
      <c r="G50" s="1563" t="n"/>
      <c r="H50" s="1563" t="n"/>
      <c r="I50" s="1563" t="n">
        <v>0</v>
      </c>
      <c r="J50" s="260" t="n"/>
    </row>
    <row r="51" ht="15.75" customFormat="1" customHeight="1" s="256">
      <c r="A51" s="1186" t="n">
        <v>3325</v>
      </c>
      <c r="B51" s="1303" t="inlineStr">
        <is>
          <t>MICR CHARGES</t>
        </is>
      </c>
      <c r="C51" s="1561" t="n"/>
      <c r="D51" s="1562">
        <f>+C51*2.5%</f>
        <v/>
      </c>
      <c r="E51" s="1562">
        <f>+D51</f>
        <v/>
      </c>
      <c r="F51" s="1562">
        <f>IF(D51&gt;0," ",C51*18%)</f>
        <v/>
      </c>
      <c r="G51" s="1563" t="n"/>
      <c r="H51" s="1563" t="n"/>
      <c r="I51" s="1563" t="n">
        <v>0</v>
      </c>
      <c r="J51" s="260" t="n"/>
    </row>
    <row r="52" ht="15.75" customFormat="1" customHeight="1" s="256">
      <c r="A52" s="1185" t="n">
        <v>3391</v>
      </c>
      <c r="B52" s="1303" t="inlineStr">
        <is>
          <t>SMS CHARGES INCOME RECEIVED</t>
        </is>
      </c>
      <c r="C52" s="1561" t="n"/>
      <c r="D52" s="1562">
        <f>+C52*9%</f>
        <v/>
      </c>
      <c r="E52" s="1562">
        <f>+D52</f>
        <v/>
      </c>
      <c r="F52" s="1562">
        <f>IF(D52&gt;0," ",C52*18%)</f>
        <v/>
      </c>
      <c r="G52" s="1563" t="n"/>
      <c r="H52" s="1563" t="n"/>
      <c r="I52" s="1563" t="n">
        <v>0</v>
      </c>
      <c r="J52" s="260" t="n"/>
    </row>
    <row r="53" ht="15.75" customFormat="1" customHeight="1" s="256">
      <c r="A53" s="1185" t="n">
        <v>3359</v>
      </c>
      <c r="B53" s="1303" t="inlineStr">
        <is>
          <t>COMMITMENT CHARGES</t>
        </is>
      </c>
      <c r="C53" s="1561" t="n"/>
      <c r="D53" s="1562">
        <f>+C53*9%</f>
        <v/>
      </c>
      <c r="E53" s="1562">
        <f>+D53</f>
        <v/>
      </c>
      <c r="F53" s="1562">
        <f>IF(D53&gt;0," ",C53*18%)</f>
        <v/>
      </c>
      <c r="G53" s="1563" t="n"/>
      <c r="H53" s="1563" t="n"/>
      <c r="I53" s="1563" t="n">
        <v>0</v>
      </c>
      <c r="J53" s="1039" t="n"/>
    </row>
    <row r="54" ht="15.75" customFormat="1" customHeight="1" s="256">
      <c r="A54" s="1185" t="n">
        <v>3825</v>
      </c>
      <c r="B54" s="1303" t="inlineStr">
        <is>
          <t>EXTERNAL AUDIT FEES</t>
        </is>
      </c>
      <c r="C54" s="1561" t="n"/>
      <c r="D54" s="1562">
        <f>+C54*9%</f>
        <v/>
      </c>
      <c r="E54" s="1562">
        <f>+D54</f>
        <v/>
      </c>
      <c r="F54" s="1562">
        <f>IF(D54&gt;0," ",C54*18%)</f>
        <v/>
      </c>
      <c r="G54" s="1563" t="n"/>
      <c r="H54" s="1563" t="n"/>
      <c r="I54" s="1563" t="n">
        <v>0</v>
      </c>
      <c r="J54" s="260" t="n"/>
    </row>
    <row r="55" ht="15.75" customFormat="1" customHeight="1" s="256">
      <c r="A55" s="1185" t="n">
        <v>3362</v>
      </c>
      <c r="B55" s="1303" t="inlineStr">
        <is>
          <t>FORECLOSURE CHARGES</t>
        </is>
      </c>
      <c r="C55" s="1561" t="n"/>
      <c r="D55" s="1562" t="n"/>
      <c r="E55" s="1562" t="n"/>
      <c r="F55" s="1562">
        <f>IF(D55&gt;0," ",C55*18%)</f>
        <v/>
      </c>
      <c r="G55" s="1563" t="n"/>
      <c r="H55" s="1563" t="n"/>
      <c r="I55" s="1563" t="n">
        <v>0</v>
      </c>
      <c r="J55" s="260" t="n"/>
    </row>
    <row r="56" ht="15.75" customFormat="1" customHeight="1" s="256">
      <c r="A56" s="1187" t="n">
        <v>3340</v>
      </c>
      <c r="B56" s="1220" t="inlineStr">
        <is>
          <t>LOAN PROCESSING FEES</t>
        </is>
      </c>
      <c r="C56" s="1561" t="n"/>
      <c r="D56" s="1497">
        <f>+C56*9%</f>
        <v/>
      </c>
      <c r="E56" s="1497">
        <f>+D56</f>
        <v/>
      </c>
      <c r="F56" s="1562">
        <f>IF(D56&gt;0," ",C56*18%)</f>
        <v/>
      </c>
      <c r="G56" s="1563" t="n"/>
      <c r="H56" s="1563" t="n"/>
      <c r="I56" s="1563" t="n">
        <v>0</v>
      </c>
      <c r="J56" s="260" t="n"/>
    </row>
    <row r="57" ht="15.75" customFormat="1" customHeight="1" s="256">
      <c r="A57" s="1188" t="inlineStr">
        <is>
          <t>GL</t>
        </is>
      </c>
      <c r="B57" s="1303" t="n"/>
      <c r="C57" s="1561" t="n"/>
      <c r="D57" s="1562" t="n"/>
      <c r="E57" s="1562" t="n"/>
      <c r="F57" s="1562" t="n"/>
      <c r="G57" s="1563" t="n"/>
      <c r="H57" s="1563" t="n"/>
      <c r="I57" s="1563" t="n">
        <v>0</v>
      </c>
      <c r="J57" s="260" t="n"/>
    </row>
    <row r="58" ht="15.75" customFormat="1" customHeight="1" s="256">
      <c r="A58" s="1185" t="inlineStr">
        <is>
          <t>1720</t>
        </is>
      </c>
      <c r="B58" s="1303" t="inlineStr">
        <is>
          <t>COMM. RECD. BUT NOT ACCRUED</t>
        </is>
      </c>
      <c r="C58" s="1561" t="n"/>
      <c r="D58" s="1562">
        <f>+C58*9%</f>
        <v/>
      </c>
      <c r="E58" s="1562">
        <f>+D58</f>
        <v/>
      </c>
      <c r="F58" s="1562" t="n">
        <v>0</v>
      </c>
      <c r="G58" s="1563" t="n"/>
      <c r="H58" s="1563" t="n"/>
      <c r="I58" s="1563" t="n">
        <v>0</v>
      </c>
      <c r="J58" s="260" t="n"/>
      <c r="K58" s="256" t="inlineStr">
        <is>
          <t xml:space="preserve"> </t>
        </is>
      </c>
    </row>
    <row r="59" ht="15.75" customFormat="1" customHeight="1" s="256">
      <c r="A59" s="1183" t="inlineStr">
        <is>
          <t>1836</t>
        </is>
      </c>
      <c r="B59" s="1303" t="inlineStr">
        <is>
          <t>RENT ON LOCKER RECEIVED BUT</t>
        </is>
      </c>
      <c r="C59" s="1561" t="n"/>
      <c r="D59" s="1562">
        <f>+C59*9%</f>
        <v/>
      </c>
      <c r="E59" s="1562">
        <f>+D59</f>
        <v/>
      </c>
      <c r="F59" s="1562">
        <f>IF(D59&gt;0," ",C59*18%)</f>
        <v/>
      </c>
      <c r="G59" s="1563" t="n"/>
      <c r="H59" s="1563" t="n"/>
      <c r="I59" s="1563" t="n">
        <v>0</v>
      </c>
      <c r="J59" s="260" t="n"/>
    </row>
    <row r="60" ht="15.75" customFormat="1" customHeight="1" s="256">
      <c r="A60" s="1303" t="inlineStr">
        <is>
          <t xml:space="preserve"> </t>
        </is>
      </c>
      <c r="B60" s="1303" t="inlineStr">
        <is>
          <t>NOT ACCRUED</t>
        </is>
      </c>
      <c r="C60" s="1561" t="n"/>
      <c r="D60" s="1562" t="n"/>
      <c r="E60" s="1562" t="n"/>
      <c r="F60" s="1497" t="n"/>
      <c r="G60" s="1563" t="n"/>
      <c r="H60" s="1563" t="n"/>
      <c r="I60" s="1563" t="n">
        <v>0</v>
      </c>
      <c r="J60" s="260" t="n"/>
    </row>
    <row r="61" ht="15.75" customFormat="1" customHeight="1" s="256">
      <c r="A61" s="838" t="n"/>
      <c r="B61" s="839" t="inlineStr">
        <is>
          <t>SALE OF ASSET ( CASH COUNTING MACHINE)</t>
        </is>
      </c>
      <c r="C61" s="1561" t="n"/>
      <c r="D61" s="1568">
        <f>+C61*0.09</f>
        <v/>
      </c>
      <c r="E61" s="1568">
        <f>+D61</f>
        <v/>
      </c>
      <c r="F61" s="1569" t="n">
        <v>0</v>
      </c>
      <c r="G61" s="1563" t="n"/>
      <c r="H61" s="1563" t="n"/>
      <c r="I61" s="1563" t="n">
        <v>0</v>
      </c>
      <c r="J61" s="1039" t="n"/>
    </row>
    <row r="62" ht="16.5" customFormat="1" customHeight="1" s="256" thickBot="1">
      <c r="A62" s="841" t="n"/>
      <c r="B62" s="842" t="inlineStr">
        <is>
          <t>TOTAL :</t>
        </is>
      </c>
      <c r="C62" s="1570">
        <f>SUM(C9:C61)</f>
        <v/>
      </c>
      <c r="D62" s="1570">
        <f>SUM(D9:D61)</f>
        <v/>
      </c>
      <c r="E62" s="1570">
        <f>SUM(E9:E61)</f>
        <v/>
      </c>
      <c r="F62" s="1571">
        <f>SUM(F9:F61)</f>
        <v/>
      </c>
      <c r="G62" s="1501">
        <f>SUM(G9:G59)</f>
        <v/>
      </c>
      <c r="H62" s="1501">
        <f>SUM(H9:H59)</f>
        <v/>
      </c>
      <c r="I62" s="1501">
        <f>SUM(I9:I59)</f>
        <v/>
      </c>
      <c r="J62" s="260" t="n"/>
    </row>
    <row r="63" ht="16.5" customFormat="1" customHeight="1" s="256" thickTop="1">
      <c r="A63" s="844" t="inlineStr">
        <is>
          <t>RCM</t>
        </is>
      </c>
      <c r="B63" s="845" t="n"/>
      <c r="C63" s="1572" t="n"/>
      <c r="D63" s="1572" t="n"/>
      <c r="E63" s="1572" t="n"/>
      <c r="F63" s="847" t="n"/>
      <c r="G63" s="263" t="inlineStr">
        <is>
          <t xml:space="preserve"> </t>
        </is>
      </c>
      <c r="H63" s="261" t="n"/>
      <c r="I63" s="260" t="n"/>
      <c r="J63" s="260" t="n"/>
    </row>
    <row r="64" ht="15.75" customFormat="1" customHeight="1" s="256">
      <c r="A64" s="1303" t="inlineStr">
        <is>
          <t>PL 3750</t>
        </is>
      </c>
      <c r="B64" s="1292" t="inlineStr">
        <is>
          <t>LAW CHARGES (EXCLUSIVE)</t>
        </is>
      </c>
      <c r="C64" s="1562" t="n">
        <v>0</v>
      </c>
      <c r="D64" s="1573">
        <f>+C64*9%</f>
        <v/>
      </c>
      <c r="E64" s="1573">
        <f>+D64</f>
        <v/>
      </c>
      <c r="F64" s="1573">
        <f>IF(D64&gt;0," ",C64*18%)</f>
        <v/>
      </c>
      <c r="G64" s="260" t="n"/>
      <c r="H64" s="261" t="n"/>
      <c r="I64" s="260" t="n"/>
      <c r="J64" s="260" t="n"/>
    </row>
    <row r="65" ht="15.75" customFormat="1" customHeight="1" s="256">
      <c r="A65" s="1303" t="inlineStr">
        <is>
          <t>PL 3751</t>
        </is>
      </c>
      <c r="B65" s="1292" t="inlineStr">
        <is>
          <t>INCIDENTAL LAW CHARGES (EXCLUSIVE)</t>
        </is>
      </c>
      <c r="C65" s="1562" t="n">
        <v>0</v>
      </c>
      <c r="D65" s="1573">
        <f>+C65*9%</f>
        <v/>
      </c>
      <c r="E65" s="1573">
        <f>+D65</f>
        <v/>
      </c>
      <c r="F65" s="1573">
        <f>IF(D65&gt;0," ",C65*18%)</f>
        <v/>
      </c>
      <c r="G65" s="1084">
        <f>+C62*0.09</f>
        <v/>
      </c>
      <c r="H65" s="261" t="n"/>
      <c r="I65" s="260" t="n"/>
      <c r="J65" s="260" t="n"/>
    </row>
    <row r="66" ht="15.75" customFormat="1" customHeight="1" s="256">
      <c r="A66" s="1210" t="inlineStr">
        <is>
          <t xml:space="preserve">SUMMARY </t>
        </is>
      </c>
      <c r="G66" s="260" t="n"/>
      <c r="H66" s="261" t="inlineStr">
        <is>
          <t xml:space="preserve"> </t>
        </is>
      </c>
      <c r="I66" s="260" t="n"/>
      <c r="J66" s="260" t="n"/>
    </row>
    <row r="67" ht="12" customFormat="1" customHeight="1" s="256">
      <c r="A67" s="258" t="n"/>
      <c r="B67" s="258" t="n"/>
      <c r="C67" s="258" t="n"/>
      <c r="D67" s="258" t="n"/>
      <c r="E67" s="258" t="n"/>
      <c r="F67" s="258" t="n"/>
      <c r="H67" s="255" t="n"/>
    </row>
    <row r="68" customFormat="1" s="256">
      <c r="A68" s="816" t="inlineStr">
        <is>
          <t>(1) INCOME</t>
        </is>
      </c>
      <c r="B68" s="816" t="n"/>
      <c r="C68" s="817" t="n"/>
      <c r="D68" s="817" t="n"/>
      <c r="E68" s="817" t="n"/>
      <c r="F68" s="817" t="n"/>
      <c r="H68" s="255" t="n"/>
    </row>
    <row r="69" ht="12" customFormat="1" customHeight="1" s="256">
      <c r="A69" s="1288" t="inlineStr">
        <is>
          <t>PARTICULARS</t>
        </is>
      </c>
      <c r="B69" s="1504" t="n"/>
      <c r="C69" s="1505" t="n"/>
      <c r="D69" s="1288" t="inlineStr">
        <is>
          <t>GGST</t>
        </is>
      </c>
      <c r="E69" s="1288" t="inlineStr">
        <is>
          <t>CGST</t>
        </is>
      </c>
      <c r="F69" s="1288" t="inlineStr">
        <is>
          <t>IGST</t>
        </is>
      </c>
      <c r="H69" s="255" t="n"/>
    </row>
    <row r="70" ht="12" customFormat="1" customHeight="1" s="256">
      <c r="A70" s="1506" t="n"/>
      <c r="B70" s="1041" t="n"/>
      <c r="C70" s="1507" t="n"/>
      <c r="D70" s="1494" t="n"/>
      <c r="E70" s="1494" t="n"/>
      <c r="F70" s="1494" t="n"/>
      <c r="H70" s="255" t="n"/>
    </row>
    <row r="71" ht="14.25" customFormat="1" customHeight="1" s="256">
      <c r="A71" s="1303" t="inlineStr">
        <is>
          <t>(1) INCOME AS PER LEDGERWISE CALCULATION</t>
        </is>
      </c>
      <c r="B71" s="1042" t="n"/>
      <c r="C71" s="1508" t="n"/>
      <c r="D71" s="818">
        <f>+D62</f>
        <v/>
      </c>
      <c r="E71" s="818">
        <f>+E62</f>
        <v/>
      </c>
      <c r="F71" s="818" t="n">
        <v>0</v>
      </c>
      <c r="G71" s="256" t="n">
        <v>13870</v>
      </c>
      <c r="H71" s="255" t="n">
        <v>33.03</v>
      </c>
      <c r="I71" s="256">
        <f>+H71/9*100</f>
        <v/>
      </c>
    </row>
    <row r="72" ht="14.25" customFormat="1" customHeight="1" s="256">
      <c r="A72" s="1292" t="inlineStr">
        <is>
          <t>(2) REFUND GIVEN BUT GST REFUND NOT GIVEN</t>
        </is>
      </c>
      <c r="B72" s="1292" t="n"/>
      <c r="C72" s="1292">
        <f>G62</f>
        <v/>
      </c>
      <c r="D72" s="820">
        <f>+C72*0.09</f>
        <v/>
      </c>
      <c r="E72" s="820">
        <f>+C72*0.09</f>
        <v/>
      </c>
      <c r="F72" s="820" t="n">
        <v>0</v>
      </c>
      <c r="H72" s="255" t="n">
        <v>180</v>
      </c>
      <c r="I72" s="256">
        <f>+H72/9*100</f>
        <v/>
      </c>
    </row>
    <row r="73" ht="14.25" customFormat="1" customHeight="1" s="256">
      <c r="A73" s="1292" t="n"/>
      <c r="B73" s="1292" t="n"/>
      <c r="C73" s="1292" t="n"/>
      <c r="D73" s="818">
        <f>+D71+D72</f>
        <v/>
      </c>
      <c r="E73" s="818">
        <f>+E71+E72</f>
        <v/>
      </c>
      <c r="F73" s="818">
        <f>+F71+F72</f>
        <v/>
      </c>
      <c r="H73" s="255" t="inlineStr">
        <is>
          <t xml:space="preserve"> </t>
        </is>
      </c>
      <c r="I73" s="256" t="inlineStr">
        <is>
          <t xml:space="preserve"> </t>
        </is>
      </c>
      <c r="J73" s="256" t="inlineStr">
        <is>
          <t xml:space="preserve"> </t>
        </is>
      </c>
    </row>
    <row r="74" customFormat="1" s="256">
      <c r="A74" s="1303" t="inlineStr">
        <is>
          <t>(3) PAYABLE AS PER LEDGER</t>
        </is>
      </c>
      <c r="B74" s="1042" t="n"/>
      <c r="C74" s="1508" t="n"/>
      <c r="D74" s="821" t="n">
        <v>35698.38</v>
      </c>
      <c r="E74" s="821">
        <f>+D74</f>
        <v/>
      </c>
      <c r="F74" s="818" t="n">
        <v>0</v>
      </c>
      <c r="H74" s="255" t="inlineStr">
        <is>
          <t xml:space="preserve"> </t>
        </is>
      </c>
      <c r="I74" s="256" t="inlineStr">
        <is>
          <t xml:space="preserve"> </t>
        </is>
      </c>
      <c r="J74" s="1574" t="n"/>
    </row>
    <row r="75" customFormat="1" s="256">
      <c r="A75" s="1575" t="inlineStr">
        <is>
          <t>DIFFERENCE</t>
        </is>
      </c>
      <c r="B75" s="1042" t="n"/>
      <c r="C75" s="1508" t="n"/>
      <c r="D75" s="822">
        <f>+D73-D74</f>
        <v/>
      </c>
      <c r="E75" s="822">
        <f>+E73-E74</f>
        <v/>
      </c>
      <c r="F75" s="821">
        <f>IF(F71&gt;F74,F71,F74)</f>
        <v/>
      </c>
      <c r="G75" s="256">
        <f>+D75/9%</f>
        <v/>
      </c>
      <c r="H75" s="255" t="n"/>
    </row>
    <row r="76" customFormat="1" s="256">
      <c r="A76" s="823" t="n"/>
      <c r="B76" s="823" t="n"/>
      <c r="C76" s="823" t="n"/>
      <c r="D76" s="824" t="n"/>
      <c r="E76" s="824" t="n"/>
      <c r="F76" s="825" t="n"/>
      <c r="G76" s="1576" t="n"/>
      <c r="H76" s="255" t="n"/>
    </row>
    <row r="77" ht="14.25" customFormat="1" customHeight="1" s="256">
      <c r="A77" s="817" t="n"/>
      <c r="B77" s="817" t="n"/>
      <c r="C77" s="817" t="n"/>
      <c r="D77" s="817" t="n"/>
      <c r="E77" s="817" t="n"/>
      <c r="F77" s="817" t="n"/>
      <c r="H77" s="255" t="n"/>
    </row>
    <row r="78" customFormat="1" s="256">
      <c r="A78" s="825" t="inlineStr">
        <is>
          <t>(2) INPUT TAX CREDIT</t>
        </is>
      </c>
      <c r="B78" s="817" t="n"/>
      <c r="C78" s="817" t="n"/>
      <c r="D78" s="817" t="n"/>
      <c r="E78" s="817" t="n"/>
      <c r="F78" s="817" t="n"/>
      <c r="H78" s="255" t="n"/>
    </row>
    <row r="79" ht="12" customFormat="1" customHeight="1" s="256">
      <c r="A79" s="1577" t="inlineStr">
        <is>
          <t>PARTICULARS</t>
        </is>
      </c>
      <c r="B79" s="1504" t="n"/>
      <c r="C79" s="1505" t="n"/>
      <c r="D79" s="1578" t="inlineStr">
        <is>
          <t>GL 8546 GGST</t>
        </is>
      </c>
      <c r="E79" s="1578" t="inlineStr">
        <is>
          <t>GL 8547 CGST</t>
        </is>
      </c>
      <c r="F79" s="1578" t="inlineStr">
        <is>
          <t>GL 8548 IGST</t>
        </is>
      </c>
      <c r="H79" s="255" t="n"/>
    </row>
    <row r="80" ht="17.25" customFormat="1" customHeight="1" s="256">
      <c r="A80" s="1506" t="n"/>
      <c r="B80" s="1041" t="n"/>
      <c r="C80" s="1507" t="n"/>
      <c r="D80" s="1494" t="n"/>
      <c r="E80" s="1494" t="n"/>
      <c r="F80" s="1494" t="n"/>
      <c r="H80" s="255" t="n"/>
    </row>
    <row r="81" customFormat="1" s="256">
      <c r="A81" s="1228" t="n"/>
      <c r="B81" s="1042" t="n"/>
      <c r="C81" s="1508" t="n"/>
      <c r="D81" s="1228" t="n"/>
      <c r="E81" s="1228" t="n"/>
      <c r="F81" s="1228" t="n"/>
      <c r="H81" s="255" t="n"/>
    </row>
    <row r="82" customFormat="1" s="256">
      <c r="A82" s="1303" t="inlineStr">
        <is>
          <t>CURRENT MONTH INPUT TAX CREDIT AVAILABLE</t>
        </is>
      </c>
      <c r="B82" s="1042" t="n"/>
      <c r="C82" s="1508" t="n"/>
      <c r="D82" s="821" t="n">
        <v>4003.3</v>
      </c>
      <c r="E82" s="821">
        <f>+D82</f>
        <v/>
      </c>
      <c r="F82" s="1579" t="n">
        <v>0</v>
      </c>
      <c r="G82" s="255">
        <f>+D82/2</f>
        <v/>
      </c>
      <c r="H82" s="255">
        <f>+E82/2</f>
        <v/>
      </c>
      <c r="I82" s="1580">
        <f>+F82/2</f>
        <v/>
      </c>
    </row>
    <row r="83" customFormat="1" s="256">
      <c r="A83" s="1228" t="inlineStr">
        <is>
          <t>LESS : CREDIT CANNOT BE UTILISED (BCUZ GST NO NOT AVAILABLE IN BILL)</t>
        </is>
      </c>
      <c r="B83" s="1042" t="n"/>
      <c r="C83" s="1508" t="n"/>
      <c r="D83" s="818">
        <f>C93</f>
        <v/>
      </c>
      <c r="E83" s="818">
        <f>+D93</f>
        <v/>
      </c>
      <c r="F83" s="1581" t="n">
        <v>0</v>
      </c>
      <c r="G83" s="255">
        <f>+D83/2</f>
        <v/>
      </c>
      <c r="H83" s="255">
        <f>+E83/2</f>
        <v/>
      </c>
      <c r="I83" s="1580">
        <f>+F83/2</f>
        <v/>
      </c>
    </row>
    <row r="84" customFormat="1" s="256">
      <c r="A84" s="1219" t="inlineStr">
        <is>
          <t>ELIGIBLE CREDIT</t>
        </is>
      </c>
      <c r="B84" s="1042" t="n"/>
      <c r="C84" s="1508" t="n"/>
      <c r="D84" s="818">
        <f>+D82-D83</f>
        <v/>
      </c>
      <c r="E84" s="818">
        <f>+E82-E83</f>
        <v/>
      </c>
      <c r="F84" s="1581">
        <f>+F82-F83</f>
        <v/>
      </c>
      <c r="G84" s="255">
        <f>+D84/2</f>
        <v/>
      </c>
      <c r="H84" s="255">
        <f>+E84/2</f>
        <v/>
      </c>
      <c r="I84" s="1580">
        <f>+F84/2</f>
        <v/>
      </c>
    </row>
    <row r="85" customFormat="1" s="256">
      <c r="A85" s="1084" t="n"/>
      <c r="B85" s="1084" t="n"/>
      <c r="C85" s="1084" t="n"/>
      <c r="D85" s="1084" t="n"/>
      <c r="E85" s="1084" t="n"/>
      <c r="F85" s="1084" t="n"/>
      <c r="H85" s="255" t="n"/>
    </row>
    <row r="86" ht="14.25" customFormat="1" customHeight="1" s="256">
      <c r="A86" s="828" t="n"/>
      <c r="B86" s="828" t="n"/>
      <c r="C86" s="828" t="n"/>
      <c r="D86" s="828" t="n"/>
      <c r="E86" s="828" t="n"/>
      <c r="F86" s="828" t="n"/>
      <c r="H86" s="255" t="inlineStr">
        <is>
          <t xml:space="preserve"> </t>
        </is>
      </c>
    </row>
    <row r="87" customFormat="1" s="256">
      <c r="A87" s="1084" t="n"/>
      <c r="B87" s="141" t="inlineStr">
        <is>
          <t>PARTY NAME</t>
        </is>
      </c>
      <c r="C87" s="829" t="inlineStr">
        <is>
          <t>CGST</t>
        </is>
      </c>
      <c r="D87" s="829" t="inlineStr">
        <is>
          <t>SGST</t>
        </is>
      </c>
      <c r="E87" s="141" t="inlineStr">
        <is>
          <t>IGST</t>
        </is>
      </c>
      <c r="F87" s="1084" t="n"/>
      <c r="H87" s="255" t="inlineStr">
        <is>
          <t xml:space="preserve"> </t>
        </is>
      </c>
    </row>
    <row r="88" customFormat="1" s="256">
      <c r="A88" s="1084" t="n"/>
      <c r="B88" s="1084" t="inlineStr">
        <is>
          <t>BSNL</t>
        </is>
      </c>
      <c r="D88">
        <f>+C88</f>
        <v/>
      </c>
      <c r="E88" s="1084" t="n">
        <v>0</v>
      </c>
      <c r="F88" s="1084" t="n"/>
      <c r="H88" s="255" t="n"/>
    </row>
    <row r="89" customFormat="1" s="256">
      <c r="A89" s="1084" t="n"/>
      <c r="B89" s="830" t="inlineStr">
        <is>
          <t>ROHAN AGENCY</t>
        </is>
      </c>
      <c r="D89">
        <f>+C89</f>
        <v/>
      </c>
      <c r="E89" s="1084" t="n"/>
      <c r="F89" s="1084" t="inlineStr">
        <is>
          <t>BLOCK CREDIT</t>
        </is>
      </c>
      <c r="H89" s="255" t="n"/>
    </row>
    <row r="90" customFormat="1" s="256">
      <c r="A90" s="1084" t="n"/>
      <c r="B90" s="830" t="inlineStr">
        <is>
          <t>BSNL</t>
        </is>
      </c>
      <c r="D90">
        <f>+C90</f>
        <v/>
      </c>
      <c r="E90" s="1084" t="n"/>
      <c r="F90" s="1084" t="n"/>
      <c r="H90" s="255" t="n"/>
    </row>
    <row r="91" customFormat="1" s="256">
      <c r="A91" s="1084" t="n"/>
      <c r="B91" s="830" t="inlineStr">
        <is>
          <t>BSNL</t>
        </is>
      </c>
      <c r="C91" t="n">
        <v>0</v>
      </c>
      <c r="D91">
        <f>+C91</f>
        <v/>
      </c>
      <c r="E91" s="1084" t="n"/>
      <c r="F91" s="1084" t="n"/>
      <c r="H91" s="255" t="n"/>
    </row>
    <row r="92" customFormat="1" s="256">
      <c r="A92" s="1084" t="n"/>
      <c r="B92" s="112" t="inlineStr">
        <is>
          <t>BSNL</t>
        </is>
      </c>
      <c r="C92" t="n">
        <v>0</v>
      </c>
      <c r="D92">
        <f>+C92</f>
        <v/>
      </c>
      <c r="E92" s="112" t="n">
        <v>0</v>
      </c>
      <c r="F92" s="1084" t="n"/>
      <c r="H92" s="255" t="n"/>
    </row>
    <row r="93" customFormat="1" s="256">
      <c r="A93" s="1084" t="n"/>
      <c r="B93" s="112" t="n"/>
      <c r="C93" s="831">
        <f>+SUM(C88:C92)</f>
        <v/>
      </c>
      <c r="D93" s="831">
        <f>+SUM(D88:D92)</f>
        <v/>
      </c>
      <c r="E93" s="831">
        <f>+SUM(E88:E92)</f>
        <v/>
      </c>
      <c r="F93" s="1084" t="n"/>
      <c r="G93" s="256">
        <f>+C93/2</f>
        <v/>
      </c>
      <c r="H93" s="255" t="n"/>
    </row>
    <row r="94" ht="12.75" customFormat="1" customHeight="1" s="256" thickTop="1">
      <c r="A94" s="256" t="inlineStr">
        <is>
          <t xml:space="preserve"> </t>
        </is>
      </c>
      <c r="C94" s="581" t="n"/>
      <c r="D94" s="581" t="n"/>
      <c r="E94" s="581" t="n"/>
      <c r="H94" s="255" t="n"/>
    </row>
    <row r="95" ht="12" customFormat="1" customHeight="1" s="256">
      <c r="A95" s="725" t="n"/>
      <c r="B95" s="725" t="n"/>
      <c r="C95" s="725" t="n"/>
      <c r="D95" s="725" t="n"/>
      <c r="E95" s="725" t="n"/>
      <c r="F95" s="725" t="n"/>
      <c r="H95" s="255" t="n"/>
    </row>
    <row r="96" ht="12" customFormat="1" customHeight="1" s="256">
      <c r="A96" s="974" t="n"/>
    </row>
  </sheetData>
  <mergeCells count="28">
    <mergeCell ref="E79:E80"/>
    <mergeCell ref="A66:F66"/>
    <mergeCell ref="A84:C84"/>
    <mergeCell ref="A75:C75"/>
    <mergeCell ref="A74:C74"/>
    <mergeCell ref="G7:G8"/>
    <mergeCell ref="E69:E70"/>
    <mergeCell ref="I7:I8"/>
    <mergeCell ref="A3:F3"/>
    <mergeCell ref="D6:E6"/>
    <mergeCell ref="F79:F80"/>
    <mergeCell ref="A71:C71"/>
    <mergeCell ref="A5:F5"/>
    <mergeCell ref="A79:C80"/>
    <mergeCell ref="D7:D8"/>
    <mergeCell ref="H7:H8"/>
    <mergeCell ref="A4:F4"/>
    <mergeCell ref="A69:C70"/>
    <mergeCell ref="A81:C81"/>
    <mergeCell ref="E7:E8"/>
    <mergeCell ref="A83:C83"/>
    <mergeCell ref="A82:C82"/>
    <mergeCell ref="D79:D80"/>
    <mergeCell ref="A1:F1"/>
    <mergeCell ref="B7:B8"/>
    <mergeCell ref="D69:D70"/>
    <mergeCell ref="F69:F70"/>
    <mergeCell ref="F7:F8"/>
  </mergeCells>
  <conditionalFormatting sqref="A9:B21 A77:XFD80 A96:XFD96 G86:XFD86 G95:XFD95">
    <cfRule type="containsText" priority="38" operator="containsText" dxfId="0" text="LESS COLLECTED">
      <formula>NOT(ISERROR(SEARCH("LESS COLLECTED",A9)))</formula>
    </cfRule>
  </conditionalFormatting>
  <conditionalFormatting sqref="A22:B34">
    <cfRule type="containsText" priority="45" operator="containsText" dxfId="0" text="LESS COLLECTED">
      <formula>NOT(ISERROR(SEARCH("LESS COLLECTED",A22)))</formula>
    </cfRule>
  </conditionalFormatting>
  <conditionalFormatting sqref="A28:B32">
    <cfRule type="containsText" priority="44" operator="containsText" dxfId="1" text="EXCESS COLLECTED">
      <formula>NOT(ISERROR(SEARCH("EXCESS COLLECTED",A28)))</formula>
    </cfRule>
  </conditionalFormatting>
  <conditionalFormatting sqref="A35:B52">
    <cfRule type="containsText" priority="17" operator="containsText" dxfId="0" text="LESS COLLECTED">
      <formula>NOT(ISERROR(SEARCH("LESS COLLECTED",A35)))</formula>
    </cfRule>
  </conditionalFormatting>
  <conditionalFormatting sqref="A47:B53">
    <cfRule type="containsText" priority="10" operator="containsText" dxfId="1" text="EXCESS COLLECTED">
      <formula>NOT(ISERROR(SEARCH("EXCESS COLLECTED",A47)))</formula>
    </cfRule>
  </conditionalFormatting>
  <conditionalFormatting sqref="A53 A54:B55">
    <cfRule type="containsText" priority="31" operator="containsText" dxfId="0" text="LESS COLLECTED">
      <formula>NOT(ISERROR(SEARCH("LESS COLLECTED",A53)))</formula>
    </cfRule>
  </conditionalFormatting>
  <conditionalFormatting sqref="A54:B55">
    <cfRule type="containsText" priority="30" operator="containsText" dxfId="1" text="EXCESS COLLECTED">
      <formula>NOT(ISERROR(SEARCH("EXCESS COLLECTED",A54)))</formula>
    </cfRule>
  </conditionalFormatting>
  <conditionalFormatting sqref="A56:B56">
    <cfRule type="containsText" priority="3" operator="containsText" dxfId="1" text="EXCESS COLLECTED">
      <formula>NOT(ISERROR(SEARCH("EXCESS COLLECTED",A56)))</formula>
    </cfRule>
    <cfRule type="containsText" priority="4" operator="containsText" dxfId="0" text="LESS COLLECTED">
      <formula>NOT(ISERROR(SEARCH("LESS COLLECTED",A56)))</formula>
    </cfRule>
  </conditionalFormatting>
  <conditionalFormatting sqref="A57:B61">
    <cfRule type="containsText" priority="49" operator="containsText" dxfId="0" text="LESS COLLECTED">
      <formula>NOT(ISERROR(SEARCH("LESS COLLECTED",A57)))</formula>
    </cfRule>
  </conditionalFormatting>
  <conditionalFormatting sqref="A1:XFD3 A4 A5:XFD6 A7:F8 A66:XFD73 A81:F81 A82:XFD85 A95 G4:XFD4 H74:XFD74 H81:XFD81 J7:XFD62">
    <cfRule type="containsText" priority="205" operator="containsText" dxfId="0" text="LESS COLLECTED">
      <formula>NOT(ISERROR(SEARCH("LESS COLLECTED",A1)))</formula>
    </cfRule>
  </conditionalFormatting>
  <conditionalFormatting sqref="A93:XFD94">
    <cfRule type="containsText" priority="79" operator="containsText" dxfId="0" text="LESS COLLECTED">
      <formula>NOT(ISERROR(SEARCH("LESS COLLECTED",A93)))</formula>
    </cfRule>
  </conditionalFormatting>
  <conditionalFormatting sqref="B53:B55">
    <cfRule type="containsText" priority="11" operator="containsText" dxfId="0" text="LESS COLLECTED">
      <formula>NOT(ISERROR(SEARCH("LESS COLLECTED",B53)))</formula>
    </cfRule>
  </conditionalFormatting>
  <conditionalFormatting sqref="B61">
    <cfRule type="containsText" priority="48" operator="containsText" dxfId="1" text="EXCESS COLLECTED">
      <formula>NOT(ISERROR(SEARCH("EXCESS COLLECTED",B61)))</formula>
    </cfRule>
  </conditionalFormatting>
  <conditionalFormatting sqref="C87:D92">
    <cfRule type="containsText" priority="26" operator="containsText" dxfId="1" text="EXCESS COLLECTED">
      <formula>NOT(ISERROR(SEARCH("EXCESS COLLECTED",C87)))</formula>
    </cfRule>
  </conditionalFormatting>
  <conditionalFormatting sqref="C93:E94">
    <cfRule type="containsText" priority="78" operator="containsText" dxfId="1" text="EXCESS COLLECTED">
      <formula>NOT(ISERROR(SEARCH("EXCESS COLLECTED",C93)))</formula>
    </cfRule>
  </conditionalFormatting>
  <conditionalFormatting sqref="A72:F73 B92 D57 D69:E70">
    <cfRule type="containsText" priority="193" operator="containsText" dxfId="1" text="EXCESS COLLECTED">
      <formula>NOT(ISERROR(SEARCH("EXCESS COLLECTED",A57)))</formula>
    </cfRule>
  </conditionalFormatting>
  <conditionalFormatting sqref="D93:E94">
    <cfRule type="containsText" priority="62" operator="containsText" dxfId="1" text="EXCESS COLLECTED">
      <formula>NOT(ISERROR(SEARCH("EXCESS COLLECTED",D93)))</formula>
    </cfRule>
    <cfRule type="containsText" priority="63" operator="containsText" dxfId="0" text="LESS COLLECTED">
      <formula>NOT(ISERROR(SEARCH("LESS COLLECTED",D93)))</formula>
    </cfRule>
  </conditionalFormatting>
  <conditionalFormatting sqref="C9:F9 C10:C61 D10:F56 F12:F59">
    <cfRule type="containsText" priority="6" operator="containsText" dxfId="0" text="LESS COLLECTED">
      <formula>NOT(ISERROR(SEARCH("LESS COLLECTED",C9)))</formula>
    </cfRule>
  </conditionalFormatting>
  <conditionalFormatting sqref="D48:F56">
    <cfRule type="containsText" priority="5" operator="containsText" dxfId="1" text="EXCESS COLLECTED">
      <formula>NOT(ISERROR(SEARCH("EXCESS COLLECTED",D48)))</formula>
    </cfRule>
  </conditionalFormatting>
  <conditionalFormatting sqref="A72:F74 A87:A91 A92:B92 D57:E60 D61:F61 D69:E70 D90:D92">
    <cfRule type="containsText" priority="194" operator="containsText" dxfId="0" text="LESS COLLECTED">
      <formula>NOT(ISERROR(SEARCH("LESS COLLECTED",A57)))</formula>
    </cfRule>
  </conditionalFormatting>
  <conditionalFormatting sqref="G76">
    <cfRule type="containsText" priority="195" operator="containsText" dxfId="1" text="EXC">
      <formula>NOT(ISERROR(SEARCH("EXC",G76)))</formula>
    </cfRule>
    <cfRule type="containsText" priority="196" operator="containsText" dxfId="1" text="LESS">
      <formula>NOT(ISERROR(SEARCH("LESS",G76)))</formula>
    </cfRule>
    <cfRule type="containsText" priority="197" operator="containsText" dxfId="27" text="EXC">
      <formula>NOT(ISERROR(SEARCH("EXC",G76)))</formula>
    </cfRule>
  </conditionalFormatting>
  <conditionalFormatting sqref="F57:F60">
    <cfRule type="containsText" priority="2" operator="containsText" dxfId="0" text="LESS COLLECTED">
      <formula>NOT(ISERROR(SEARCH("LESS COLLECTED",F57)))</formula>
    </cfRule>
    <cfRule type="containsText" priority="1" operator="containsText" dxfId="1" text="EXCESS COLLECTED">
      <formula>NOT(ISERROR(SEARCH("EXCESS COLLECTED",F57)))</formula>
    </cfRule>
  </conditionalFormatting>
  <pageMargins left="0.905511811023622" right="0.868110236" top="0" bottom="0" header="0.31496062992126" footer="0.31496062992126"/>
  <pageSetup orientation="portrait" paperSize="9" scale="56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97"/>
  <sheetViews>
    <sheetView topLeftCell="A58" workbookViewId="0">
      <selection activeCell="A66" sqref="A66:F66"/>
    </sheetView>
  </sheetViews>
  <sheetFormatPr baseColWidth="8" defaultColWidth="9.140625" defaultRowHeight="15"/>
  <cols>
    <col width="11.42578125" customWidth="1" style="1084" min="1" max="1"/>
    <col width="41.28515625" customWidth="1" style="1084" min="2" max="2"/>
    <col width="15.42578125" bestFit="1" customWidth="1" style="1084" min="3" max="3"/>
    <col width="22.28515625" bestFit="1" customWidth="1" style="1084" min="4" max="4"/>
    <col width="22" bestFit="1" customWidth="1" style="1084" min="5" max="5"/>
    <col width="11.42578125" customWidth="1" style="1084" min="6" max="6"/>
    <col width="19.85546875" customWidth="1" style="1084" min="7" max="7"/>
    <col width="15.140625" customWidth="1" style="32" min="8" max="8"/>
    <col width="15.85546875" customWidth="1" style="1084" min="9" max="9"/>
    <col width="16.285156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:NARANPURA BRANCH</t>
        </is>
      </c>
    </row>
    <row r="4" ht="15.75" customHeight="1">
      <c r="A4" s="1214" t="inlineStr">
        <is>
          <t>BRANCH CODE: 14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3110</v>
      </c>
      <c r="B9" s="1220" t="inlineStr">
        <is>
          <t>OVER DRAFT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510" t="n">
        <v>0</v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>
        <f>IF(D14&gt;0," ",C14*18%)</f>
        <v/>
      </c>
      <c r="G14" s="1510" t="n"/>
      <c r="H14" s="1510" t="n"/>
      <c r="I14" s="1510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510" t="n">
        <v>0</v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>
        <f>IF(D20&gt;0," ",C20*18%)</f>
        <v/>
      </c>
      <c r="G20" s="1510" t="n"/>
      <c r="H20" s="1510" t="n"/>
      <c r="I20" s="1510" t="n">
        <v>0</v>
      </c>
      <c r="J20" s="1087" t="n"/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>
        <f>+C21*9%</f>
        <v/>
      </c>
      <c r="E21" s="1497">
        <f>+D21</f>
        <v/>
      </c>
      <c r="F21" s="1497">
        <f>IF(D21&gt;0," ",C21*18%)</f>
        <v/>
      </c>
      <c r="G21" s="1510" t="n"/>
      <c r="H21" s="1510" t="n"/>
      <c r="I21" s="1510" t="n">
        <v>0</v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>
        <f>IF(D24&gt;0," ",C24*18%)</f>
        <v/>
      </c>
      <c r="G24" s="1510" t="n"/>
      <c r="H24" s="1510" t="n"/>
      <c r="I24" s="1510" t="n">
        <v>0</v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510" t="n">
        <v>0</v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510" t="n">
        <v>0</v>
      </c>
    </row>
    <row r="27" ht="15.75" customHeight="1">
      <c r="A27" s="137" t="n">
        <v>3287</v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37" t="n">
        <v>3291</v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>
        <f>IF(D33&gt;0," ",C33*18%)</f>
        <v/>
      </c>
      <c r="G33" s="1510" t="n"/>
      <c r="H33" s="1510" t="n"/>
      <c r="I33" s="1510" t="n">
        <v>0</v>
      </c>
    </row>
    <row r="34" ht="15.75" customHeight="1">
      <c r="A34" s="1187" t="inlineStr">
        <is>
          <t>3301</t>
        </is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51" t="n"/>
      <c r="D38" s="1497">
        <f>+C38*9%</f>
        <v/>
      </c>
      <c r="E38" s="1497">
        <f>+D38</f>
        <v/>
      </c>
      <c r="F38" s="1497" t="n">
        <v>0</v>
      </c>
      <c r="G38" s="1510" t="n"/>
      <c r="H38" s="1510" t="n"/>
      <c r="I38" s="1510" t="n">
        <v>0</v>
      </c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 t="n">
        <v>0</v>
      </c>
      <c r="G39" s="1510" t="n"/>
      <c r="H39" s="1510" t="n"/>
      <c r="I39" s="1510" t="n">
        <v>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510" t="n">
        <v>0</v>
      </c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187" t="inlineStr">
        <is>
          <t>3317</t>
        </is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187" t="inlineStr">
        <is>
          <t>3320</t>
        </is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 t="n">
        <v>0</v>
      </c>
      <c r="G47" s="1510" t="n"/>
      <c r="H47" s="1510" t="n"/>
      <c r="I47" s="1510" t="n">
        <v>0</v>
      </c>
    </row>
    <row r="48" ht="15.75" customHeight="1">
      <c r="A48" s="1187" t="inlineStr">
        <is>
          <t>3321</t>
        </is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510" t="n">
        <v>0</v>
      </c>
    </row>
    <row r="49" ht="15.75" customHeight="1">
      <c r="A49" s="1187" t="inlineStr">
        <is>
          <t>3322</t>
        </is>
      </c>
      <c r="B49" s="1220" t="inlineStr">
        <is>
          <t>INCOME FROM SALE OF OLD NEWS PAPERS</t>
        </is>
      </c>
      <c r="C49" s="1551" t="n"/>
      <c r="D49" s="1497">
        <f>+C49*9%</f>
        <v/>
      </c>
      <c r="E49" s="1497">
        <f>+D49</f>
        <v/>
      </c>
      <c r="F49" s="1497">
        <f>IF(D49&gt;0," ",C49*18%)</f>
        <v/>
      </c>
      <c r="G49" s="1510" t="n"/>
      <c r="H49" s="1510" t="n"/>
      <c r="I49" s="1510" t="n">
        <v>0</v>
      </c>
    </row>
    <row r="50" ht="15.75" customHeight="1">
      <c r="A50" s="1187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>
        <f>IF(D50&gt;0," ",C50*18%)</f>
        <v/>
      </c>
      <c r="G50" s="1510" t="n"/>
      <c r="H50" s="1510" t="n"/>
      <c r="I50" s="1510" t="n">
        <v>0</v>
      </c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8" customHeight="1">
      <c r="A52" s="1187" t="inlineStr">
        <is>
          <t>3391</t>
        </is>
      </c>
      <c r="B52" s="1220" t="inlineStr">
        <is>
          <t>SMS CHARGES INCOME RECEIVED</t>
        </is>
      </c>
      <c r="C52" s="1551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  <c r="I52" s="1510" t="n">
        <v>0</v>
      </c>
    </row>
    <row r="53" ht="19.5" customHeight="1">
      <c r="A53" s="1187" t="n">
        <v>3359</v>
      </c>
      <c r="B53" s="1220" t="inlineStr">
        <is>
          <t>COMMITMENT CHARGES</t>
        </is>
      </c>
      <c r="C53" s="1551" t="n"/>
      <c r="D53" s="1497">
        <f>+C53*9%</f>
        <v/>
      </c>
      <c r="E53" s="1497">
        <f>+D53</f>
        <v/>
      </c>
      <c r="F53" s="1497">
        <f>IF(D53&gt;0," ",C53*18%)</f>
        <v/>
      </c>
      <c r="G53" s="1510" t="n"/>
      <c r="H53" s="1510" t="n"/>
      <c r="I53" s="1510" t="n">
        <v>0</v>
      </c>
    </row>
    <row r="54" ht="18.75" customHeight="1">
      <c r="A54" s="1187" t="n">
        <v>3825</v>
      </c>
      <c r="B54" s="1220" t="inlineStr">
        <is>
          <t>EXTERNAL AUDIT FEES</t>
        </is>
      </c>
      <c r="C54" s="1551" t="n"/>
      <c r="D54" s="1497" t="n"/>
      <c r="E54" s="1497" t="n"/>
      <c r="F54" s="1497">
        <f>IF(D54&gt;0," ",C54*18%)</f>
        <v/>
      </c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497" t="n"/>
      <c r="E55" s="1497" t="n"/>
      <c r="F55" s="1497">
        <f>IF(D55&gt;0," ",C55*18%)</f>
        <v/>
      </c>
      <c r="G55" s="1510" t="n"/>
      <c r="H55" s="1510" t="n"/>
      <c r="I55" s="1510" t="n">
        <v>0</v>
      </c>
    </row>
    <row r="56" ht="19.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5" t="inlineStr">
        <is>
          <t>GL</t>
        </is>
      </c>
      <c r="B57" s="1220" t="n"/>
      <c r="C57" s="1551" t="n"/>
      <c r="D57" s="1497">
        <f>+C57*9%</f>
        <v/>
      </c>
      <c r="E57" s="1497">
        <f>+D57</f>
        <v/>
      </c>
      <c r="F57" s="1497" t="n"/>
      <c r="G57" s="1510" t="n"/>
      <c r="H57" s="1510" t="n"/>
      <c r="I57" s="1510" t="n">
        <v>0</v>
      </c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497">
        <f>+C58*9%</f>
        <v/>
      </c>
      <c r="E58" s="1497">
        <f>+D58</f>
        <v/>
      </c>
      <c r="F58" s="1497" t="n">
        <v>0</v>
      </c>
      <c r="G58" s="1510" t="n"/>
      <c r="H58" s="1510" t="n"/>
      <c r="I58" s="1510" t="n">
        <v>0</v>
      </c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497">
        <f>+C59*9%</f>
        <v/>
      </c>
      <c r="E59" s="1497">
        <f>+D59</f>
        <v/>
      </c>
      <c r="F59" s="1497" t="n">
        <v>0</v>
      </c>
      <c r="G59" s="1551" t="n"/>
      <c r="H59" s="1510" t="n"/>
      <c r="I59" s="1510" t="n">
        <v>0</v>
      </c>
      <c r="K59" s="1084" t="inlineStr">
        <is>
          <t xml:space="preserve"> </t>
        </is>
      </c>
      <c r="L59" s="1084" t="inlineStr">
        <is>
          <t xml:space="preserve"> </t>
        </is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497">
        <f>+C60*9%</f>
        <v/>
      </c>
      <c r="E60" s="1497">
        <f>+D60</f>
        <v/>
      </c>
      <c r="F60" s="1497" t="n"/>
      <c r="G60" s="1510" t="n"/>
      <c r="H60" s="1510" t="n"/>
      <c r="I60" s="1510" t="n">
        <v>0</v>
      </c>
      <c r="K60" s="1084" t="inlineStr">
        <is>
          <t xml:space="preserve"> </t>
        </is>
      </c>
      <c r="L60" s="1084" t="inlineStr">
        <is>
          <t xml:space="preserve"> </t>
        </is>
      </c>
      <c r="M60" s="1084" t="inlineStr">
        <is>
          <t xml:space="preserve"> </t>
        </is>
      </c>
    </row>
    <row r="61" ht="15.75" customHeight="1">
      <c r="A61" s="435" t="n"/>
      <c r="B61" s="433" t="inlineStr">
        <is>
          <t>SALE OF ASSET ( CASH COUNTING MACHINE)</t>
        </is>
      </c>
      <c r="C61" s="1551" t="n"/>
      <c r="D61" s="1500" t="n"/>
      <c r="E61" s="1500" t="n"/>
      <c r="F61" s="1500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SUM(G9:G61)</f>
        <v/>
      </c>
      <c r="H62" s="1501">
        <f>SUM(H9:H59)</f>
        <v/>
      </c>
      <c r="I62" s="1501">
        <f>SUM(I9:I59)</f>
        <v/>
      </c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  <c r="H64" s="32" t="inlineStr">
        <is>
          <t xml:space="preserve"> </t>
        </is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</row>
    <row r="66" ht="15.75" customHeight="1">
      <c r="A66" s="1210" t="inlineStr">
        <is>
          <t xml:space="preserve">SUMMARY </t>
        </is>
      </c>
      <c r="G66" s="1084" t="inlineStr">
        <is>
          <t xml:space="preserve"> </t>
        </is>
      </c>
      <c r="K66" s="1084" t="inlineStr">
        <is>
          <t xml:space="preserve">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  <c r="G67" s="1084">
        <f>+C62*9%</f>
        <v/>
      </c>
      <c r="H67" s="32">
        <f>13%/2</f>
        <v/>
      </c>
      <c r="I67" s="1084">
        <f>+G67-H67</f>
        <v/>
      </c>
      <c r="K67" s="1084" t="inlineStr">
        <is>
          <t xml:space="preserve"> </t>
        </is>
      </c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K68" s="1084" t="inlineStr">
        <is>
          <t xml:space="preserve"> </t>
        </is>
      </c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  <c r="H70" s="32">
        <f>8.1+8.1+32.4+8.1+8.1+2.7+16.2+8.1+64.8+8.1+32.4+16.2+16.2+48.6+16.2+8.1+16.2+4.5+16.2+8.1+8.1+32.4+16.2+8.1+8.1+48.6</f>
        <v/>
      </c>
      <c r="I70" s="1084">
        <f>+H70/9%</f>
        <v/>
      </c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+C72*0.09</f>
        <v/>
      </c>
      <c r="F72" s="105" t="n">
        <v>0</v>
      </c>
    </row>
    <row r="73" ht="15.75" customHeight="1">
      <c r="A73" s="1243" t="n"/>
      <c r="B73" s="1243" t="n"/>
      <c r="C73" s="1243" t="inlineStr">
        <is>
          <t xml:space="preserve">  </t>
        </is>
      </c>
      <c r="D73" s="105">
        <f>+D71+D72</f>
        <v/>
      </c>
      <c r="E73" s="105">
        <f>+E71+E72</f>
        <v/>
      </c>
      <c r="F73" s="105" t="n">
        <v>0</v>
      </c>
      <c r="H73" s="32">
        <f>+C62+C72</f>
        <v/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G74" s="1084" t="inlineStr">
        <is>
          <t xml:space="preserve"> </t>
        </is>
      </c>
      <c r="H74" s="32">
        <f>+H73*0.18</f>
        <v/>
      </c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640">
        <f>+D73-D74</f>
        <v/>
      </c>
      <c r="E75" s="640">
        <f>+E73-E74</f>
        <v/>
      </c>
      <c r="F75" s="1038">
        <f>IF(F71&gt;F74,F71,F74)</f>
        <v/>
      </c>
      <c r="G75" s="73">
        <f>+E75/9*100</f>
        <v/>
      </c>
      <c r="H75" s="627" t="inlineStr">
        <is>
          <t xml:space="preserve"> </t>
        </is>
      </c>
    </row>
    <row r="76" ht="15.75" customHeight="1">
      <c r="A76" s="939" t="n"/>
      <c r="B76" s="939" t="n"/>
      <c r="C76" s="939" t="n"/>
      <c r="D76" s="939" t="n"/>
      <c r="E76" s="939" t="n"/>
      <c r="F76" s="939" t="n"/>
    </row>
    <row r="77" ht="15.75" customHeight="1">
      <c r="A77" s="940" t="n"/>
      <c r="B77" s="940" t="n"/>
      <c r="C77" s="940" t="n"/>
      <c r="D77" s="940" t="n"/>
      <c r="E77" s="940" t="n"/>
      <c r="F77" s="940" t="n"/>
    </row>
    <row r="78" ht="15.75" customHeight="1">
      <c r="A78" s="27" t="inlineStr">
        <is>
          <t>(2) INPUT TAX CREDIT</t>
        </is>
      </c>
      <c r="B78" s="2" t="n"/>
      <c r="C78" s="3" t="n"/>
      <c r="D78" s="3" t="n"/>
      <c r="E78" s="3" t="n"/>
      <c r="F78" s="3" t="n"/>
      <c r="J78" s="1084" t="inlineStr">
        <is>
          <t xml:space="preserve"> </t>
        </is>
      </c>
      <c r="K78" s="1084" t="inlineStr">
        <is>
          <t xml:space="preserve"> </t>
        </is>
      </c>
    </row>
    <row r="79">
      <c r="A79" s="1421" t="inlineStr">
        <is>
          <t>PARTICULARS</t>
        </is>
      </c>
      <c r="B79" s="1504" t="n"/>
      <c r="C79" s="1505" t="n"/>
      <c r="D79" s="1421" t="inlineStr">
        <is>
          <t>GL 8546 GGST</t>
        </is>
      </c>
      <c r="E79" s="1343" t="inlineStr">
        <is>
          <t>GL 8547 CGST</t>
        </is>
      </c>
      <c r="F79" s="1343" t="inlineStr">
        <is>
          <t>GL 8548 IGST</t>
        </is>
      </c>
    </row>
    <row r="80">
      <c r="A80" s="1506" t="n"/>
      <c r="B80" s="1041" t="n"/>
      <c r="C80" s="1507" t="n"/>
      <c r="D80" s="1494" t="n"/>
      <c r="E80" s="1494" t="n"/>
      <c r="F80" s="1494" t="n"/>
    </row>
    <row r="81">
      <c r="A81" s="1228" t="n"/>
      <c r="B81" s="1042" t="n"/>
      <c r="C81" s="1508" t="n"/>
      <c r="D81" s="1228" t="n"/>
      <c r="E81" s="1228" t="n"/>
      <c r="F81" s="1228" t="n"/>
      <c r="G81" s="32" t="n"/>
    </row>
    <row r="82" ht="15.75" customHeight="1">
      <c r="A82" s="1220" t="inlineStr">
        <is>
          <t>CURRENT MONTH INPUT TAX CREDIT AVAILABLE</t>
        </is>
      </c>
      <c r="B82" s="1042" t="n"/>
      <c r="C82" s="1508" t="n"/>
      <c r="D82" s="108" t="n"/>
      <c r="E82" s="108">
        <f>+D82</f>
        <v/>
      </c>
      <c r="F82" s="1528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28" t="inlineStr">
        <is>
          <t>LESS : CREDIT CANNOT BE UTILISED (BCUZ GST NO NOT AVAILABLE IN BILL)</t>
        </is>
      </c>
      <c r="B83" s="1042" t="n"/>
      <c r="C83" s="1508" t="n"/>
      <c r="D83" s="579">
        <f>+C92</f>
        <v/>
      </c>
      <c r="E83" s="579">
        <f>+D83</f>
        <v/>
      </c>
      <c r="F83" s="1529" t="n">
        <v>0</v>
      </c>
      <c r="G83" s="32">
        <f>+D83/2</f>
        <v/>
      </c>
      <c r="H83" s="32">
        <f>+E83/2</f>
        <v/>
      </c>
      <c r="I83" s="32">
        <f>+F83/2</f>
        <v/>
      </c>
    </row>
    <row r="84" ht="15.75" customHeight="1">
      <c r="A84" s="1219" t="inlineStr">
        <is>
          <t>ELIGIBLE CREDIT</t>
        </is>
      </c>
      <c r="B84" s="1042" t="n"/>
      <c r="C84" s="1508" t="n"/>
      <c r="D84" s="105">
        <f>+D82-D83</f>
        <v/>
      </c>
      <c r="E84" s="105">
        <f>+E82-E83</f>
        <v/>
      </c>
      <c r="F84" s="1529">
        <f>+F82-F83</f>
        <v/>
      </c>
      <c r="G84" s="32">
        <f>+D84/2</f>
        <v/>
      </c>
      <c r="H84" s="32">
        <f>+E84/2</f>
        <v/>
      </c>
      <c r="I84" s="32">
        <f>+F84/2</f>
        <v/>
      </c>
    </row>
    <row r="87">
      <c r="B87" s="145" t="inlineStr">
        <is>
          <t>OUR GST NO. NOT REFLECTED ON CENVAT BILLS</t>
        </is>
      </c>
      <c r="C87" s="112" t="n"/>
      <c r="D87" s="112" t="n"/>
      <c r="E87" s="112" t="n"/>
    </row>
    <row r="88">
      <c r="B88" s="141" t="inlineStr">
        <is>
          <t>PARTY NAME</t>
        </is>
      </c>
      <c r="C88" s="1233" t="inlineStr">
        <is>
          <t>GGST</t>
        </is>
      </c>
      <c r="D88" s="1233" t="inlineStr">
        <is>
          <t>CGST</t>
        </is>
      </c>
      <c r="E88" s="1233" t="inlineStr">
        <is>
          <t>IGST</t>
        </is>
      </c>
    </row>
    <row r="89">
      <c r="B89" s="1084" t="inlineStr">
        <is>
          <t>BSNL</t>
        </is>
      </c>
      <c r="D89" s="1084">
        <f>+C89</f>
        <v/>
      </c>
      <c r="E89" s="1084" t="n">
        <v>0</v>
      </c>
    </row>
    <row r="90">
      <c r="B90" s="1084" t="inlineStr">
        <is>
          <t>ROHAN AGENCY</t>
        </is>
      </c>
      <c r="D90" s="1084">
        <f>+C90</f>
        <v/>
      </c>
    </row>
    <row r="91">
      <c r="B91" s="112" t="inlineStr">
        <is>
          <t>BSNL</t>
        </is>
      </c>
      <c r="C91" s="112" t="n">
        <v>0</v>
      </c>
      <c r="D91" s="112">
        <f>+C91</f>
        <v/>
      </c>
      <c r="E91" s="112" t="n">
        <v>0</v>
      </c>
    </row>
    <row r="92" ht="15.75" customHeight="1" thickBot="1">
      <c r="B92" s="145" t="inlineStr">
        <is>
          <t>TOTAL</t>
        </is>
      </c>
      <c r="C92" s="1582">
        <f>SUM(C89:C91)</f>
        <v/>
      </c>
      <c r="D92" s="1582">
        <f>SUM(D89:D91)</f>
        <v/>
      </c>
      <c r="E92" s="1582">
        <f>SUM(E89:E91)</f>
        <v/>
      </c>
      <c r="G92" s="1084">
        <f>+C92/2</f>
        <v/>
      </c>
    </row>
    <row r="93" ht="15.75" customHeight="1" thickTop="1">
      <c r="C93" s="1520" t="n"/>
      <c r="D93" s="1520" t="n"/>
    </row>
    <row r="95">
      <c r="B95" s="1087" t="n"/>
    </row>
    <row r="97">
      <c r="H97" s="1087" t="n"/>
    </row>
  </sheetData>
  <mergeCells count="28">
    <mergeCell ref="E79:E80"/>
    <mergeCell ref="A75:C75"/>
    <mergeCell ref="A84:C84"/>
    <mergeCell ref="A66:F66"/>
    <mergeCell ref="A74:C74"/>
    <mergeCell ref="G7:G8"/>
    <mergeCell ref="E69:E70"/>
    <mergeCell ref="I7:I8"/>
    <mergeCell ref="A3:F3"/>
    <mergeCell ref="D6:E6"/>
    <mergeCell ref="A71:C71"/>
    <mergeCell ref="F79:F80"/>
    <mergeCell ref="A5:F5"/>
    <mergeCell ref="A79:C80"/>
    <mergeCell ref="D7:D8"/>
    <mergeCell ref="H7:H8"/>
    <mergeCell ref="A4:F4"/>
    <mergeCell ref="A69:C70"/>
    <mergeCell ref="A81:C81"/>
    <mergeCell ref="E7:E8"/>
    <mergeCell ref="A83:C83"/>
    <mergeCell ref="A82:C82"/>
    <mergeCell ref="D79:D80"/>
    <mergeCell ref="A1:F1"/>
    <mergeCell ref="D69:D70"/>
    <mergeCell ref="B7:B8"/>
    <mergeCell ref="F69:F70"/>
    <mergeCell ref="F7:F8"/>
  </mergeCells>
  <conditionalFormatting sqref="A9:B21 A92:F94 A95 A96:F1048576 C95:F95 H97">
    <cfRule type="containsText" priority="26" operator="containsText" dxfId="0" text="LESS COLLECTED">
      <formula>NOT(ISERROR(SEARCH("LESS COLLECTED",A9)))</formula>
    </cfRule>
  </conditionalFormatting>
  <conditionalFormatting sqref="A22:B34">
    <cfRule type="containsText" priority="33" operator="containsText" dxfId="0" text="LESS COLLECTED">
      <formula>NOT(ISERROR(SEARCH("LESS COLLECTED",A22)))</formula>
    </cfRule>
  </conditionalFormatting>
  <conditionalFormatting sqref="A28:B32">
    <cfRule type="containsText" priority="32" operator="containsText" dxfId="1" text="EXCESS COLLECTED">
      <formula>NOT(ISERROR(SEARCH("EXCESS COLLECTED",A28)))</formula>
    </cfRule>
  </conditionalFormatting>
  <conditionalFormatting sqref="A35:B56">
    <cfRule type="containsText" priority="4" operator="containsText" dxfId="0" text="LESS COLLECTED">
      <formula>NOT(ISERROR(SEARCH("LESS COLLECTED",A35)))</formula>
    </cfRule>
  </conditionalFormatting>
  <conditionalFormatting sqref="A47:B56">
    <cfRule type="containsText" priority="3" operator="containsText" dxfId="1" text="EXCESS COLLECTED">
      <formula>NOT(ISERROR(SEARCH("EXCESS COLLECTED",A47)))</formula>
    </cfRule>
  </conditionalFormatting>
  <conditionalFormatting sqref="A57:B61 A62:F65">
    <cfRule type="containsText" priority="37" operator="containsText" dxfId="0" text="LESS COLLECTED">
      <formula>NOT(ISERROR(SEARCH("LESS COLLECTED",A57)))</formula>
    </cfRule>
  </conditionalFormatting>
  <conditionalFormatting sqref="A66:F73 B87:D88 B92:D93 C89:F91">
    <cfRule type="containsText" priority="108" operator="containsText" dxfId="0" text="LESS COLLECTED">
      <formula>NOT(ISERROR(SEARCH("LESS COLLECTED",A66)))</formula>
    </cfRule>
  </conditionalFormatting>
  <conditionalFormatting sqref="A74:F75">
    <cfRule type="containsText" priority="1" operator="containsText" dxfId="0" text="LESS COLLECTED">
      <formula>NOT(ISERROR(SEARCH("LESS COLLECTED",A74)))</formula>
    </cfRule>
  </conditionalFormatting>
  <conditionalFormatting sqref="A1:F3 A4 A76 A78:F88 A89:A91 G1:I7 G75:H80 G82:H82 H74 H81 I63:I82 J1:XFD1048576">
    <cfRule type="containsText" priority="119" operator="containsText" dxfId="0" text="LESS COLLECTED">
      <formula>NOT(ISERROR(SEARCH("LESS COLLECTED",A1)))</formula>
    </cfRule>
  </conditionalFormatting>
  <conditionalFormatting sqref="B61">
    <cfRule type="containsText" priority="36" operator="containsText" dxfId="1" text="EXCESS COLLECTED">
      <formula>NOT(ISERROR(SEARCH("EXCESS COLLECTED",B61)))</formula>
    </cfRule>
  </conditionalFormatting>
  <conditionalFormatting sqref="A72:F73 B87:D88 B92:D93 C89:D91 D69:E70">
    <cfRule type="containsText" priority="107" operator="containsText" dxfId="1" text="EXCESS COLLECTED">
      <formula>NOT(ISERROR(SEARCH("EXCESS COLLECTED",A69)))</formula>
    </cfRule>
  </conditionalFormatting>
  <conditionalFormatting sqref="C9:F61">
    <cfRule type="containsText" priority="6" operator="containsText" dxfId="0" text="LESS COLLECTED">
      <formula>NOT(ISERROR(SEARCH("LESS COLLECTED",C9)))</formula>
    </cfRule>
  </conditionalFormatting>
  <conditionalFormatting sqref="D48:F56">
    <cfRule type="containsText" priority="5" operator="containsText" dxfId="1" text="EXCESS COLLECTED">
      <formula>NOT(ISERROR(SEARCH("EXCESS COLLECTED",D48)))</formula>
    </cfRule>
  </conditionalFormatting>
  <conditionalFormatting sqref="E92">
    <cfRule type="containsText" priority="38" operator="containsText" dxfId="1" text="EXCESS COLLECTED">
      <formula>NOT(ISERROR(SEARCH("EXCESS COLLECTED",E92)))</formula>
    </cfRule>
    <cfRule type="containsText" priority="39" operator="containsText" dxfId="0" text="LESS COLLECTED">
      <formula>NOT(ISERROR(SEARCH("LESS COLLECTED",E92)))</formula>
    </cfRule>
    <cfRule type="containsText" priority="50" operator="containsText" dxfId="1" text="EXCESS COLLECTED">
      <formula>NOT(ISERROR(SEARCH("EXCESS COLLECTED",E92)))</formula>
    </cfRule>
    <cfRule type="containsText" priority="51" operator="containsText" dxfId="0" text="LESS COLLECTED">
      <formula>NOT(ISERROR(SEARCH("LESS COLLECTED",E92)))</formula>
    </cfRule>
  </conditionalFormatting>
  <conditionalFormatting sqref="G59">
    <cfRule type="containsText" priority="2" operator="containsText" dxfId="0" text="LESS COLLECTED">
      <formula>NOT(ISERROR(SEARCH("LESS COLLECTED",G59)))</formula>
    </cfRule>
  </conditionalFormatting>
  <pageMargins left="1.155511811" right="0.868110236" top="0" bottom="0" header="0.31496062992126" footer="0.31496062992126"/>
  <pageSetup orientation="portrait" paperSize="9" scale="57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O100"/>
  <sheetViews>
    <sheetView topLeftCell="A67" workbookViewId="0">
      <selection activeCell="G79" sqref="G79"/>
    </sheetView>
  </sheetViews>
  <sheetFormatPr baseColWidth="8" defaultColWidth="9.140625" defaultRowHeight="15"/>
  <cols>
    <col width="11.42578125" customWidth="1" style="1084" min="1" max="1"/>
    <col width="41.28515625" customWidth="1" style="1084" min="2" max="2"/>
    <col width="15.85546875" bestFit="1" customWidth="1" style="1084" min="3" max="3"/>
    <col width="14.140625" bestFit="1" customWidth="1" style="1084" min="4" max="4"/>
    <col width="13.28515625" bestFit="1" customWidth="1" style="1084" min="5" max="5"/>
    <col width="11.28515625" bestFit="1" customWidth="1" style="1084" min="6" max="6"/>
    <col width="17.85546875" customWidth="1" style="1084" min="7" max="7"/>
    <col width="10.7109375" bestFit="1" customWidth="1" style="32" min="8" max="8"/>
    <col width="16.5703125" customWidth="1" style="1084" min="9" max="9"/>
    <col width="9.8554687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:DRIVE IN BRANCH</t>
        </is>
      </c>
    </row>
    <row r="4" ht="15.75" customHeight="1">
      <c r="A4" s="1214" t="inlineStr">
        <is>
          <t>BRANCH CODE: 09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583" t="n"/>
      <c r="H7" s="1584" t="n"/>
      <c r="I7" s="1583" t="inlineStr">
        <is>
          <t xml:space="preserve">LOCKER CLOSED 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3380</v>
      </c>
      <c r="B9" s="1220" t="inlineStr">
        <is>
          <t>STATMENT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510" t="n">
        <v>0</v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>
        <f>IF(D14&gt;0," ",C14*18%)</f>
        <v/>
      </c>
      <c r="G14" s="1510" t="n"/>
      <c r="H14" s="1510" t="n"/>
      <c r="I14" s="1510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510" t="n">
        <v>0</v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3" t="inlineStr">
        <is>
          <t>3270</t>
        </is>
      </c>
      <c r="B19" s="1220" t="inlineStr">
        <is>
          <t xml:space="preserve">PROCESSING CHARGE </t>
        </is>
      </c>
      <c r="C19" s="1551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>
        <f>IF(D20&gt;0," ",C20*18%)</f>
        <v/>
      </c>
      <c r="G20" s="1510" t="n"/>
      <c r="H20" s="1510" t="n"/>
      <c r="I20" s="1510" t="n">
        <v>0</v>
      </c>
      <c r="J20" s="1084" t="inlineStr">
        <is>
          <t xml:space="preserve"> </t>
        </is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>
        <f>+C21*9%</f>
        <v/>
      </c>
      <c r="E21" s="1497">
        <f>+D21</f>
        <v/>
      </c>
      <c r="F21" s="1497">
        <f>IF(D21&gt;0," ",C21*18%)</f>
        <v/>
      </c>
      <c r="G21" s="1510" t="n"/>
      <c r="H21" s="1510" t="n"/>
      <c r="I21" s="1510" t="n">
        <v>0</v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>
        <f>IF(D24&gt;0," ",C24*18%)</f>
        <v/>
      </c>
      <c r="G24" s="1510" t="n"/>
      <c r="H24" s="1510" t="n"/>
      <c r="I24" s="1510" t="n">
        <v>0</v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510" t="n">
        <v>0</v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510" t="n">
        <v>0</v>
      </c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37" t="n">
        <v>3291</v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 t="n">
        <v>0</v>
      </c>
      <c r="G33" s="1510" t="n"/>
      <c r="H33" s="1510" t="n"/>
      <c r="I33" s="1510" t="n">
        <v>0</v>
      </c>
    </row>
    <row r="34" ht="15.75" customHeight="1">
      <c r="A34" s="1187" t="inlineStr">
        <is>
          <t>3301</t>
        </is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51" t="n"/>
      <c r="D38" s="1497">
        <f>+C38*9%</f>
        <v/>
      </c>
      <c r="E38" s="1497">
        <f>+D38</f>
        <v/>
      </c>
      <c r="F38" s="1497">
        <f>IF(D38&gt;0," ",C38*18%)</f>
        <v/>
      </c>
      <c r="G38" s="1510" t="n"/>
      <c r="H38" s="1510" t="n"/>
      <c r="I38" s="1510" t="n">
        <v>0</v>
      </c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  <c r="I39" s="1510" t="n">
        <v>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510" t="n">
        <v>0</v>
      </c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187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187" t="n">
        <v>3320</v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>
        <f>IF(D47&gt;0," ",C47*18%)</f>
        <v/>
      </c>
      <c r="G47" s="1510" t="n"/>
      <c r="H47" s="1510" t="n"/>
      <c r="I47" s="1510" t="n">
        <v>0</v>
      </c>
    </row>
    <row r="48" ht="15.75" customHeight="1">
      <c r="A48" s="1187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510" t="n">
        <v>0</v>
      </c>
      <c r="J48" s="73" t="n"/>
      <c r="K48" s="73" t="n"/>
      <c r="L48" s="73" t="n"/>
      <c r="M48" s="73" t="n"/>
    </row>
    <row r="49" ht="15.75" customHeight="1">
      <c r="A49" s="1187" t="n">
        <v>3322</v>
      </c>
      <c r="B49" s="1220" t="inlineStr">
        <is>
          <t>INCOME FROM SALE OF OLD NEWS PAPERS</t>
        </is>
      </c>
      <c r="C49" s="1551" t="n"/>
      <c r="D49" s="1497">
        <f>+C49*9%</f>
        <v/>
      </c>
      <c r="E49" s="1497">
        <f>+D49</f>
        <v/>
      </c>
      <c r="F49" s="1497">
        <f>IF(D49&gt;0," ",C49*18%)</f>
        <v/>
      </c>
      <c r="G49" s="1510" t="n"/>
      <c r="H49" s="1510" t="n"/>
      <c r="I49" s="1510" t="n">
        <v>0</v>
      </c>
    </row>
    <row r="50" ht="15.75" customHeight="1">
      <c r="A50" s="1187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>
        <f>IF(D50&gt;0," ",C50*18%)</f>
        <v/>
      </c>
      <c r="G50" s="1510" t="n"/>
      <c r="H50" s="1510" t="n"/>
      <c r="I50" s="1510" t="n">
        <v>0</v>
      </c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5.75" customHeight="1">
      <c r="A52" s="31" t="n">
        <v>3380</v>
      </c>
      <c r="B52" s="1220" t="inlineStr">
        <is>
          <t>STATMENT CHARGES</t>
        </is>
      </c>
      <c r="C52" s="1551" t="n"/>
      <c r="D52" s="1497">
        <f>+C52*9%</f>
        <v/>
      </c>
      <c r="E52" s="1497">
        <f>+D52</f>
        <v/>
      </c>
      <c r="F52" s="1497" t="n"/>
      <c r="G52" s="1510" t="n"/>
      <c r="H52" s="1510" t="n"/>
      <c r="I52" s="1510" t="n">
        <v>0</v>
      </c>
    </row>
    <row r="53" ht="15.75" customHeight="1">
      <c r="A53" s="1187" t="n">
        <v>3391</v>
      </c>
      <c r="B53" s="1220" t="inlineStr">
        <is>
          <t>SMS CHARGES INCOME RECEIVED</t>
        </is>
      </c>
      <c r="C53" s="1551" t="n"/>
      <c r="D53" s="1497">
        <f>+C53*9%</f>
        <v/>
      </c>
      <c r="E53" s="1497">
        <f>+D53</f>
        <v/>
      </c>
      <c r="F53" s="1497">
        <f>IF(D53&gt;0," ",C53*18%)</f>
        <v/>
      </c>
      <c r="G53" s="1510" t="n"/>
      <c r="H53" s="1510" t="n"/>
      <c r="I53" s="1510" t="n">
        <v>0</v>
      </c>
    </row>
    <row r="54" ht="15.75" customHeight="1">
      <c r="A54" s="1187" t="n">
        <v>3359</v>
      </c>
      <c r="B54" s="1220" t="inlineStr">
        <is>
          <t>COMMITMENT CHARGES</t>
        </is>
      </c>
      <c r="C54" s="1551" t="n"/>
      <c r="D54" s="1497">
        <f>+C54*9%</f>
        <v/>
      </c>
      <c r="E54" s="1497">
        <f>+D54</f>
        <v/>
      </c>
      <c r="F54" s="1497">
        <f>IF(D54&gt;0," ",C54*18%)</f>
        <v/>
      </c>
      <c r="G54" s="1510" t="n"/>
      <c r="H54" s="1510" t="n"/>
      <c r="I54" s="1510" t="n">
        <v>0</v>
      </c>
    </row>
    <row r="55" ht="15.75" customHeight="1">
      <c r="A55" s="1187" t="n">
        <v>3825</v>
      </c>
      <c r="B55" s="1220" t="inlineStr">
        <is>
          <t>EXTERNAL AUDIT FEES</t>
        </is>
      </c>
      <c r="C55" s="1551" t="n"/>
      <c r="D55" s="1497">
        <f>+C55*9%</f>
        <v/>
      </c>
      <c r="E55" s="1497">
        <f>+D55</f>
        <v/>
      </c>
      <c r="F55" s="1497" t="n"/>
      <c r="G55" s="1510" t="n"/>
      <c r="H55" s="1510" t="n"/>
      <c r="I55" s="1510" t="n">
        <v>0</v>
      </c>
    </row>
    <row r="56" ht="15.75" customHeight="1">
      <c r="A56" s="1187" t="n">
        <v>3362</v>
      </c>
      <c r="B56" s="1220" t="inlineStr">
        <is>
          <t>FORECLOSURE CHARGES</t>
        </is>
      </c>
      <c r="C56" s="1551" t="n"/>
      <c r="D56" s="1497">
        <f>+C56*9%</f>
        <v/>
      </c>
      <c r="E56" s="1497">
        <f>+D56</f>
        <v/>
      </c>
      <c r="F56" s="1497" t="n"/>
      <c r="G56" s="1510" t="n"/>
      <c r="H56" s="1510" t="n"/>
      <c r="I56" s="1510" t="n">
        <v>0</v>
      </c>
    </row>
    <row r="57" ht="15.75" customHeight="1">
      <c r="A57" s="1187" t="n">
        <v>3340</v>
      </c>
      <c r="B57" s="1220" t="inlineStr">
        <is>
          <t>LOAN PROCESSING FEES</t>
        </is>
      </c>
      <c r="C57" s="1551" t="n"/>
      <c r="D57" s="1497">
        <f>+C57*9%</f>
        <v/>
      </c>
      <c r="E57" s="1497">
        <f>+D57</f>
        <v/>
      </c>
      <c r="F57" s="1497">
        <f>IF(D57&gt;0," ",C57*18%)</f>
        <v/>
      </c>
      <c r="G57" s="1510" t="n"/>
      <c r="H57" s="1510" t="n"/>
      <c r="I57" s="1510" t="n">
        <v>0</v>
      </c>
    </row>
    <row r="58" ht="15.75" customHeight="1">
      <c r="A58" s="15" t="inlineStr">
        <is>
          <t>GL</t>
        </is>
      </c>
      <c r="B58" s="1220" t="n"/>
      <c r="C58" s="1551" t="n"/>
      <c r="D58" s="1497">
        <f>+C58*9%</f>
        <v/>
      </c>
      <c r="E58" s="1497">
        <f>+D58</f>
        <v/>
      </c>
      <c r="F58" s="1497">
        <f>IF(D58&gt;0," ",C58*18%)</f>
        <v/>
      </c>
      <c r="G58" s="1510" t="n"/>
      <c r="H58" s="1510" t="n"/>
      <c r="I58" s="1510" t="n">
        <v>0</v>
      </c>
    </row>
    <row r="59" ht="15.75" customHeight="1">
      <c r="A59" s="1187" t="inlineStr">
        <is>
          <t>1720</t>
        </is>
      </c>
      <c r="B59" s="1220" t="inlineStr">
        <is>
          <t>COMM. RECD. BUT NOT ACCRUED</t>
        </is>
      </c>
      <c r="C59" s="1551" t="n"/>
      <c r="D59" s="1497">
        <f>+C59*9%</f>
        <v/>
      </c>
      <c r="E59" s="1497">
        <f>+D59</f>
        <v/>
      </c>
      <c r="F59" s="1497" t="n">
        <v>0</v>
      </c>
      <c r="G59" s="1510" t="n"/>
      <c r="H59" s="1510" t="n"/>
      <c r="I59" s="1510" t="n">
        <v>0</v>
      </c>
    </row>
    <row r="60" ht="15.75" customHeight="1">
      <c r="A60" s="13" t="inlineStr">
        <is>
          <t>1836</t>
        </is>
      </c>
      <c r="B60" s="1220" t="inlineStr">
        <is>
          <t>RENT ON LOCKER RECEIVED BUT</t>
        </is>
      </c>
      <c r="C60" s="1551" t="n"/>
      <c r="D60" s="1497">
        <f>+C60*9%</f>
        <v/>
      </c>
      <c r="E60" s="1497">
        <f>+D60</f>
        <v/>
      </c>
      <c r="F60" s="1497">
        <f>IF(D60&gt;0," ",C60*18%)</f>
        <v/>
      </c>
      <c r="G60" s="1510" t="n"/>
      <c r="H60" s="1510" t="n"/>
      <c r="I60" s="1510" t="n">
        <v>0</v>
      </c>
    </row>
    <row r="61" ht="15.75" customHeight="1">
      <c r="A61" s="1448" t="inlineStr">
        <is>
          <t xml:space="preserve"> </t>
        </is>
      </c>
      <c r="B61" s="1220" t="inlineStr">
        <is>
          <t>NOT ACCRUED</t>
        </is>
      </c>
      <c r="C61" s="1551" t="n"/>
      <c r="D61" s="1497">
        <f>+C61*9%</f>
        <v/>
      </c>
      <c r="E61" s="1497">
        <f>+D61</f>
        <v/>
      </c>
      <c r="F61" s="1497">
        <f>IF(D61&gt;0," ",C61*18%)</f>
        <v/>
      </c>
      <c r="G61" s="1510" t="n"/>
      <c r="H61" s="1510" t="n"/>
      <c r="I61" s="1510" t="n">
        <v>0</v>
      </c>
    </row>
    <row r="62" ht="15.75" customHeight="1">
      <c r="A62" s="435" t="n"/>
      <c r="B62" s="433" t="inlineStr">
        <is>
          <t>SALE OF ASSET ( CASH COUNTING MACHINE)</t>
        </is>
      </c>
      <c r="C62" s="1551" t="n"/>
      <c r="D62" s="1497">
        <f>+C62*9%</f>
        <v/>
      </c>
      <c r="E62" s="1497">
        <f>+D62</f>
        <v/>
      </c>
      <c r="F62" s="1497">
        <f>IF(D62&gt;0," ",C62*18%)</f>
        <v/>
      </c>
      <c r="G62" s="1510" t="n"/>
      <c r="H62" s="1510" t="n"/>
      <c r="I62" s="1510" t="n">
        <v>0</v>
      </c>
    </row>
    <row r="63" ht="16.5" customHeight="1" thickBot="1">
      <c r="A63" s="12" t="n"/>
      <c r="B63" s="11" t="inlineStr">
        <is>
          <t>TOTAL :</t>
        </is>
      </c>
      <c r="C63" s="1501">
        <f>SUM(C9:C62)</f>
        <v/>
      </c>
      <c r="D63" s="1501">
        <f>SUM(D9:D62)</f>
        <v/>
      </c>
      <c r="E63" s="1501">
        <f>SUM(E9:E62)</f>
        <v/>
      </c>
      <c r="F63" s="1501">
        <f>SUM(F9:F62)</f>
        <v/>
      </c>
      <c r="G63" s="1501">
        <f>SUM(G9:G62)</f>
        <v/>
      </c>
      <c r="H63" s="1501">
        <f>SUM(H9:H60)</f>
        <v/>
      </c>
      <c r="I63" s="1228" t="n"/>
      <c r="J63" s="1084" t="inlineStr">
        <is>
          <t xml:space="preserve"> </t>
        </is>
      </c>
    </row>
    <row r="64" ht="16.5" customHeight="1" thickTop="1">
      <c r="A64" s="9" t="inlineStr">
        <is>
          <t>RCM</t>
        </is>
      </c>
      <c r="B64" s="8" t="n"/>
      <c r="C64" s="1502" t="n"/>
      <c r="D64" s="1502" t="n"/>
      <c r="E64" s="1502" t="n"/>
      <c r="F64" s="6" t="n"/>
      <c r="H64" s="1084" t="n"/>
    </row>
    <row r="65" ht="15.75" customHeight="1">
      <c r="A65" s="1448" t="inlineStr">
        <is>
          <t>PL 3750</t>
        </is>
      </c>
      <c r="B65" s="1243" t="inlineStr">
        <is>
          <t>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 t="n">
        <v>0</v>
      </c>
    </row>
    <row r="66" ht="15.75" customHeight="1">
      <c r="A66" s="1448" t="inlineStr">
        <is>
          <t>PL 3751</t>
        </is>
      </c>
      <c r="B66" s="1243" t="inlineStr">
        <is>
          <t>INCIDENTAL LAW CHARGES (EXCLUSIVE)</t>
        </is>
      </c>
      <c r="C66" s="1497" t="n">
        <v>0</v>
      </c>
      <c r="D66" s="1503">
        <f>+C66*9%</f>
        <v/>
      </c>
      <c r="E66" s="1503">
        <f>+D66</f>
        <v/>
      </c>
      <c r="F66" s="1503">
        <f>IF(D66&gt;0," ",C66*18%)</f>
        <v/>
      </c>
      <c r="G66" s="1084">
        <f>+C63*0.09</f>
        <v/>
      </c>
    </row>
    <row r="67" ht="15.75" customHeight="1">
      <c r="A67" s="1210" t="inlineStr">
        <is>
          <t xml:space="preserve">SUMMARY </t>
        </is>
      </c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I68" s="1554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+D63</f>
        <v/>
      </c>
      <c r="E71" s="105">
        <f>+E63</f>
        <v/>
      </c>
      <c r="F71" s="30">
        <f>+F63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G63</f>
        <v/>
      </c>
      <c r="D72" s="106">
        <f>+C72*0.09</f>
        <v/>
      </c>
      <c r="E72" s="106">
        <f>+C72*0.09</f>
        <v/>
      </c>
      <c r="F72" s="106" t="n">
        <v>0</v>
      </c>
    </row>
    <row r="73" ht="15.75" customHeight="1">
      <c r="A73" s="1243" t="n"/>
      <c r="B73" s="1243" t="n"/>
      <c r="C73" s="1243" t="inlineStr">
        <is>
          <t xml:space="preserve"> </t>
        </is>
      </c>
      <c r="D73" s="105">
        <f>+D71+D72</f>
        <v/>
      </c>
      <c r="E73" s="105">
        <f>+E71+E72</f>
        <v/>
      </c>
      <c r="F73" s="105">
        <f>+F71+F72</f>
        <v/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>
        <v>30035.7799999998</v>
      </c>
      <c r="E74" s="108">
        <f>+D74</f>
        <v/>
      </c>
      <c r="F74" s="108">
        <f>+F73</f>
        <v/>
      </c>
    </row>
    <row r="75" ht="15.75" customHeight="1">
      <c r="A75" s="1221" t="inlineStr">
        <is>
          <t>DIFFERENCE</t>
        </is>
      </c>
      <c r="B75" s="1042" t="n"/>
      <c r="C75" s="1508" t="n"/>
      <c r="D75" s="643">
        <f>+D73-D74</f>
        <v/>
      </c>
      <c r="E75" s="643">
        <f>+E73-E74</f>
        <v/>
      </c>
      <c r="F75" s="644">
        <f>IF(F71&gt;F74,F71,F74)</f>
        <v/>
      </c>
      <c r="G75" s="1084">
        <f>+D75/9%</f>
        <v/>
      </c>
      <c r="H75" s="1084" t="n"/>
      <c r="J75" s="1547" t="n"/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inlineStr">
        <is>
          <t xml:space="preserve"> </t>
        </is>
      </c>
      <c r="E80" s="1228" t="n"/>
      <c r="F80" s="1228" t="n"/>
      <c r="G80" s="32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15183.72</v>
      </c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+C93</f>
        <v/>
      </c>
      <c r="E82" s="105">
        <f>+D82</f>
        <v/>
      </c>
      <c r="F82" s="1529">
        <f>+E93</f>
        <v/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8">
        <f>+D81-D82</f>
        <v/>
      </c>
      <c r="E83" s="108">
        <f>+E81-E82</f>
        <v/>
      </c>
      <c r="F83" s="1528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4">
      <c r="A84" s="489" t="n"/>
      <c r="B84" s="420" t="n"/>
      <c r="C84" s="420" t="n"/>
      <c r="D84" s="420" t="n"/>
      <c r="E84" s="420" t="n"/>
      <c r="F84" s="420" t="n"/>
      <c r="G84" s="32" t="n"/>
      <c r="I84" s="32" t="n"/>
    </row>
    <row r="85" ht="15.75" customHeight="1">
      <c r="A85" s="402" t="n"/>
      <c r="B85" s="402" t="n"/>
      <c r="C85" s="402" t="n"/>
      <c r="D85" s="402" t="n"/>
      <c r="E85" s="402" t="n"/>
      <c r="F85" s="402" t="n"/>
    </row>
    <row r="86" ht="15.75" customHeight="1">
      <c r="A86" s="402" t="n"/>
      <c r="B86" s="402" t="n"/>
      <c r="C86" s="402" t="n"/>
      <c r="D86" s="402" t="n"/>
      <c r="E86" s="402" t="n"/>
      <c r="F86" s="402" t="n"/>
    </row>
    <row r="87">
      <c r="B87" s="1585" t="inlineStr">
        <is>
          <t>OUR GST NO. NOT REFLECTED ON CENVAT BILLS</t>
        </is>
      </c>
      <c r="C87" s="1042" t="n"/>
      <c r="D87" s="1042" t="n"/>
      <c r="E87" s="1508" t="n"/>
      <c r="F87" s="136" t="n"/>
      <c r="G87" s="1518" t="n"/>
    </row>
    <row r="88">
      <c r="B88" s="454" t="inlineStr">
        <is>
          <t>PARTY NAME</t>
        </is>
      </c>
      <c r="C88" s="1315" t="inlineStr">
        <is>
          <t>GGST</t>
        </is>
      </c>
      <c r="D88" s="1315" t="inlineStr">
        <is>
          <t>CGST</t>
        </is>
      </c>
      <c r="E88" s="1316" t="inlineStr">
        <is>
          <t>IGST</t>
        </is>
      </c>
    </row>
    <row r="89">
      <c r="B89" s="742" t="inlineStr">
        <is>
          <t>BSNL</t>
        </is>
      </c>
      <c r="C89" s="1586" t="n"/>
      <c r="D89" s="156">
        <f>C89</f>
        <v/>
      </c>
      <c r="E89" s="1228" t="n">
        <v>0</v>
      </c>
      <c r="I89" s="32" t="n"/>
    </row>
    <row r="90">
      <c r="B90" s="517" t="inlineStr">
        <is>
          <t>ROHAN AGENCY</t>
        </is>
      </c>
      <c r="C90" s="1228" t="n"/>
      <c r="D90" s="1228">
        <f>C90</f>
        <v/>
      </c>
      <c r="E90" s="1228" t="n"/>
      <c r="F90" s="1084" t="inlineStr">
        <is>
          <t>BLOCK CREDIT</t>
        </is>
      </c>
    </row>
    <row r="91">
      <c r="B91" s="742" t="inlineStr">
        <is>
          <t>BSNL</t>
        </is>
      </c>
      <c r="C91" s="1586" t="n"/>
      <c r="D91" s="156">
        <f>C91</f>
        <v/>
      </c>
      <c r="E91" s="1228" t="n"/>
    </row>
    <row r="92">
      <c r="B92" s="742" t="inlineStr">
        <is>
          <t>ROHAN AGENCY</t>
        </is>
      </c>
      <c r="C92" s="1228" t="n"/>
      <c r="D92" s="1228">
        <f>+C92</f>
        <v/>
      </c>
      <c r="E92" s="1228" t="n">
        <v>0</v>
      </c>
    </row>
    <row r="93">
      <c r="B93" s="1228" t="n"/>
      <c r="C93" s="169">
        <f>SUM(C89:C92)</f>
        <v/>
      </c>
      <c r="D93" s="169">
        <f>SUM(D89:D92)</f>
        <v/>
      </c>
      <c r="E93" s="169">
        <f>SUM(E89:E92)</f>
        <v/>
      </c>
    </row>
    <row r="95" ht="15.75" customHeight="1" thickBot="1"/>
    <row r="96" ht="15" customHeight="1">
      <c r="A96" s="1308" t="n"/>
      <c r="B96" s="1522" t="n"/>
      <c r="C96" s="1522" t="n"/>
      <c r="D96" s="1522" t="n"/>
      <c r="E96" s="1522" t="n"/>
      <c r="F96" s="1587" t="n"/>
    </row>
    <row r="97" ht="15.75" customHeight="1" thickBot="1">
      <c r="A97" s="1588" t="n"/>
      <c r="B97" s="1041" t="n"/>
      <c r="C97" s="1041" t="n"/>
      <c r="D97" s="1041" t="n"/>
      <c r="E97" s="1041" t="n"/>
      <c r="F97" s="1507" t="n"/>
    </row>
    <row r="98" ht="15.75" customHeight="1" thickBot="1">
      <c r="A98" s="1085" t="n"/>
      <c r="B98" s="1085" t="n"/>
      <c r="C98" s="1085" t="n"/>
      <c r="D98" s="1085" t="n"/>
      <c r="E98" s="1085" t="n"/>
      <c r="F98" s="1085" t="n"/>
    </row>
    <row r="99">
      <c r="A99" s="1308" t="n"/>
      <c r="B99" s="1522" t="n"/>
      <c r="C99" s="1522" t="n"/>
      <c r="D99" s="1522" t="n"/>
      <c r="E99" s="1522" t="n"/>
      <c r="F99" s="1587" t="n"/>
    </row>
    <row r="100" ht="15.75" customHeight="1" thickBot="1">
      <c r="A100" s="1588" t="n"/>
      <c r="B100" s="1041" t="n"/>
      <c r="C100" s="1041" t="n"/>
      <c r="D100" s="1041" t="n"/>
      <c r="E100" s="1041" t="n"/>
      <c r="F100" s="1507" t="n"/>
    </row>
  </sheetData>
  <mergeCells count="31">
    <mergeCell ref="A80:C80"/>
    <mergeCell ref="A75:C75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A67:F67"/>
    <mergeCell ref="E7:E8"/>
    <mergeCell ref="A83:C83"/>
    <mergeCell ref="A99:F100"/>
    <mergeCell ref="A82:C82"/>
    <mergeCell ref="A1:F1"/>
    <mergeCell ref="F78:F79"/>
    <mergeCell ref="D69:D70"/>
    <mergeCell ref="B7:B8"/>
    <mergeCell ref="F69:F70"/>
    <mergeCell ref="B87:E87"/>
    <mergeCell ref="F7:F8"/>
    <mergeCell ref="A96:F97"/>
  </mergeCells>
  <conditionalFormatting sqref="A9:B27 A63:F73 A85 G81:I1048576 J38:XFD1048576">
    <cfRule type="containsText" priority="39" operator="containsText" dxfId="12" text="LESS COLLECTED">
      <formula>NOT(ISERROR(SEARCH("LESS COLLECTED",A9)))</formula>
    </cfRule>
  </conditionalFormatting>
  <conditionalFormatting sqref="A22:B33 A63:F73 A85 A94:F95 G81:I1048576 J38:XFD1048576">
    <cfRule type="containsText" priority="45" operator="containsText" dxfId="0" text="LESS COLLECTED">
      <formula>NOT(ISERROR(SEARCH("LESS COLLECTED",A22)))</formula>
    </cfRule>
  </conditionalFormatting>
  <conditionalFormatting sqref="A34:B57">
    <cfRule type="containsText" priority="7" operator="containsText" dxfId="0" text="LESS COLLECTED">
      <formula>NOT(ISERROR(SEARCH("LESS COLLECTED",A34)))</formula>
    </cfRule>
  </conditionalFormatting>
  <conditionalFormatting sqref="A28:B32 A47:B56">
    <cfRule type="containsText" priority="44" operator="containsText" dxfId="1" text="EXCESS COLLECTED">
      <formula>NOT(ISERROR(SEARCH("EXCESS COLLECTED",A28)))</formula>
    </cfRule>
  </conditionalFormatting>
  <conditionalFormatting sqref="A57:B57">
    <cfRule type="containsText" priority="6" operator="containsText" dxfId="1" text="EXCESS COLLECTED">
      <formula>NOT(ISERROR(SEARCH("EXCESS COLLECTED",A57)))</formula>
    </cfRule>
  </conditionalFormatting>
  <conditionalFormatting sqref="A58:B62">
    <cfRule type="containsText" priority="49" operator="containsText" dxfId="0" text="LESS COLLECTED">
      <formula>NOT(ISERROR(SEARCH("LESS COLLECTED",A58)))</formula>
    </cfRule>
  </conditionalFormatting>
  <conditionalFormatting sqref="A74:D74">
    <cfRule type="containsText" priority="59" operator="containsText" dxfId="0" text="LESS COLLECTED">
      <formula>NOT(ISERROR(SEARCH("LESS COLLECTED",A74)))</formula>
    </cfRule>
  </conditionalFormatting>
  <conditionalFormatting sqref="A75:F83">
    <cfRule type="containsText" priority="5" operator="containsText" dxfId="0" text="LESS COLLECTED">
      <formula>NOT(ISERROR(SEARCH("LESS COLLECTED",A75)))</formula>
    </cfRule>
  </conditionalFormatting>
  <conditionalFormatting sqref="B62">
    <cfRule type="containsText" priority="48" operator="containsText" dxfId="1" text="EXCESS COLLECTED">
      <formula>NOT(ISERROR(SEARCH("EXCESS COLLECTED",B62)))</formula>
    </cfRule>
  </conditionalFormatting>
  <conditionalFormatting sqref="B87 B93:E93">
    <cfRule type="containsText" priority="148" operator="containsText" dxfId="0" text="LESS COLLECTED">
      <formula>NOT(ISERROR(SEARCH("LESS COLLECTED",B87)))</formula>
    </cfRule>
  </conditionalFormatting>
  <conditionalFormatting sqref="A72:F73 B87 B93:E93 D69:E70">
    <cfRule type="containsText" priority="147" operator="containsText" dxfId="1" text="EXCESS COLLECTED">
      <formula>NOT(ISERROR(SEARCH("EXCESS COLLECTED",A69)))</formula>
    </cfRule>
  </conditionalFormatting>
  <conditionalFormatting sqref="C9:C62">
    <cfRule type="containsText" priority="1" operator="containsText" dxfId="0" text="LESS COLLECTED">
      <formula>NOT(ISERROR(SEARCH("LESS COLLECTED",C9)))</formula>
    </cfRule>
    <cfRule type="containsText" priority="2" operator="containsText" dxfId="1" text="EXCESS COLLECTED">
      <formula>NOT(ISERROR(SEARCH("EXCESS COLLECTED",C9)))</formula>
    </cfRule>
  </conditionalFormatting>
  <conditionalFormatting sqref="C89:C92">
    <cfRule type="containsText" priority="28" operator="containsText" dxfId="1" text="EXCESS COLLECTED">
      <formula>NOT(ISERROR(SEARCH("EXCESS COLLECTED",C89)))</formula>
    </cfRule>
    <cfRule type="containsText" priority="29" operator="containsText" dxfId="0" text="LESS COLLECTED">
      <formula>NOT(ISERROR(SEARCH("LESS COLLECTED",C89)))</formula>
    </cfRule>
  </conditionalFormatting>
  <conditionalFormatting sqref="C92">
    <cfRule type="containsText" priority="30" operator="containsText" dxfId="1" text="EXCESS COLLECTED">
      <formula>NOT(ISERROR(SEARCH("EXCESS COLLECTED",C92)))</formula>
    </cfRule>
  </conditionalFormatting>
  <conditionalFormatting sqref="C93:E93">
    <cfRule type="containsText" priority="104" operator="containsText" dxfId="1" text="EXCESS COLLECTED">
      <formula>NOT(ISERROR(SEARCH("EXCESS COLLECTED",C93)))</formula>
    </cfRule>
    <cfRule type="containsText" priority="105" operator="containsText" dxfId="0" text="LESS COLLECTED">
      <formula>NOT(ISERROR(SEARCH("LESS COLLECTED",C93)))</formula>
    </cfRule>
  </conditionalFormatting>
  <conditionalFormatting sqref="D74">
    <cfRule type="containsText" priority="58" operator="containsText" dxfId="1" text="EXCESS COLLECTED">
      <formula>NOT(ISERROR(SEARCH("EXCESS COLLECTED",D74)))</formula>
    </cfRule>
  </conditionalFormatting>
  <conditionalFormatting sqref="D89:D91">
    <cfRule type="containsText" priority="78" operator="containsText" dxfId="1" text="EXCESS COLLECTED">
      <formula>NOT(ISERROR(SEARCH("EXCESS COLLECTED",D89)))</formula>
    </cfRule>
    <cfRule type="containsText" priority="79" operator="containsText" dxfId="0" text="LESS COLLECTED">
      <formula>NOT(ISERROR(SEARCH("LESS COLLECTED",D89)))</formula>
    </cfRule>
  </conditionalFormatting>
  <conditionalFormatting sqref="D92:D93">
    <cfRule type="containsText" priority="108" operator="containsText" dxfId="1" text="EXCESS COLLECTED">
      <formula>NOT(ISERROR(SEARCH("EXCESS COLLECTED",D92)))</formula>
    </cfRule>
    <cfRule type="containsText" priority="109" operator="containsText" dxfId="0" text="LESS COLLECTED">
      <formula>NOT(ISERROR(SEARCH("LESS COLLECTED",D92)))</formula>
    </cfRule>
  </conditionalFormatting>
  <conditionalFormatting sqref="A1:XFD7 A8:F8 A84:B84 A101:F1048576 B88:E88 D9:XFD9 D89:E92 F87 H80:I80 J8:XFD8 J10:XFD36 K37:XFD37">
    <cfRule type="containsText" priority="159" operator="containsText" dxfId="0" text="LESS COLLECTED">
      <formula>NOT(ISERROR(SEARCH("LESS COLLECTED",A1)))</formula>
    </cfRule>
  </conditionalFormatting>
  <conditionalFormatting sqref="D10:F34">
    <cfRule type="containsText" priority="17" operator="containsText" dxfId="0" text="LESS COLLECTED">
      <formula>NOT(ISERROR(SEARCH("LESS COLLECTED",D10)))</formula>
    </cfRule>
  </conditionalFormatting>
  <conditionalFormatting sqref="A9:B21 D35:F56">
    <cfRule type="containsText" priority="38" operator="containsText" dxfId="0" text="LESS COLLECTED">
      <formula>NOT(ISERROR(SEARCH("LESS COLLECTED",A9)))</formula>
    </cfRule>
  </conditionalFormatting>
  <conditionalFormatting sqref="D51:F52">
    <cfRule type="containsText" priority="22" operator="containsText" dxfId="1" text="EXCESS COLLECTED">
      <formula>NOT(ISERROR(SEARCH("EXCESS COLLECTED",D51)))</formula>
    </cfRule>
  </conditionalFormatting>
  <conditionalFormatting sqref="D57:F57">
    <cfRule type="containsText" priority="8" operator="containsText" dxfId="1" text="EXCESS COLLECTED">
      <formula>NOT(ISERROR(SEARCH("EXCESS COLLECTED",D57)))</formula>
    </cfRule>
  </conditionalFormatting>
  <conditionalFormatting sqref="D57:F62">
    <cfRule type="containsText" priority="11" operator="containsText" dxfId="0" text="LESS COLLECTED">
      <formula>NOT(ISERROR(SEARCH("LESS COLLECTED",D57)))</formula>
    </cfRule>
  </conditionalFormatting>
  <conditionalFormatting sqref="E89:E92">
    <cfRule type="containsText" priority="70" operator="containsText" dxfId="1" text="EXCESS COLLECTED">
      <formula>NOT(ISERROR(SEARCH("EXCESS COLLECTED",E89)))</formula>
    </cfRule>
    <cfRule type="containsText" priority="71" operator="containsText" dxfId="0" text="LESS COLLECTED">
      <formula>NOT(ISERROR(SEARCH("LESS COLLECTED",E89)))</formula>
    </cfRule>
  </conditionalFormatting>
  <conditionalFormatting sqref="G74">
    <cfRule type="containsText" priority="149" operator="containsText" dxfId="1" text="EXC">
      <formula>NOT(ISERROR(SEARCH("EXC",G74)))</formula>
    </cfRule>
    <cfRule type="containsText" priority="150" operator="containsText" dxfId="1" text="LESS">
      <formula>NOT(ISERROR(SEARCH("LESS",G74)))</formula>
    </cfRule>
    <cfRule type="containsText" priority="151" operator="containsText" dxfId="27" text="EXC">
      <formula>NOT(ISERROR(SEARCH("EXC",G74)))</formula>
    </cfRule>
  </conditionalFormatting>
  <pageMargins left="0.905511811023622" right="0.868110236" top="0" bottom="0.5" header="0.31496062992126" footer="0.31496062992126"/>
  <pageSetup orientation="portrait" paperSize="9" scale="5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O98"/>
  <sheetViews>
    <sheetView topLeftCell="A74" workbookViewId="0">
      <selection activeCell="G60" sqref="G60"/>
    </sheetView>
  </sheetViews>
  <sheetFormatPr baseColWidth="8" defaultColWidth="9.140625" defaultRowHeight="15"/>
  <cols>
    <col width="16.140625" customWidth="1" style="1084" min="1" max="1"/>
    <col width="41.28515625" customWidth="1" style="1084" min="2" max="2"/>
    <col width="15.7109375" bestFit="1" customWidth="1" style="1084" min="3" max="3"/>
    <col width="15.28515625" bestFit="1" customWidth="1" style="1084" min="4" max="4"/>
    <col width="14.5703125" bestFit="1" customWidth="1" style="1084" min="5" max="5"/>
    <col width="11.42578125" customWidth="1" style="1084" min="6" max="6"/>
    <col width="19.85546875" customWidth="1" style="1084" min="7" max="7"/>
    <col width="10.85546875" bestFit="1" customWidth="1" style="32" min="8" max="8"/>
    <col width="17.7109375" customWidth="1" style="1084" min="9" max="9"/>
    <col width="9.57031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VASNA BRANCH</t>
        </is>
      </c>
    </row>
    <row r="4" ht="15.75" customHeight="1">
      <c r="A4" s="1214" t="inlineStr">
        <is>
          <t>BRANCH CODE: 8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</row>
    <row r="11" ht="15.75" customHeight="1">
      <c r="A11" s="1187" t="inlineStr">
        <is>
          <t>3215</t>
        </is>
      </c>
      <c r="B11" s="1220" t="inlineStr">
        <is>
          <t>COMMISION ON PAYORDER</t>
        </is>
      </c>
      <c r="C11" s="1551" t="n"/>
      <c r="D11" s="1531">
        <f>+C11*9%</f>
        <v/>
      </c>
      <c r="E11" s="1531">
        <f>+D11</f>
        <v/>
      </c>
      <c r="F11" s="1497">
        <f>IF(D11&gt;0," ",C11*18%)</f>
        <v/>
      </c>
      <c r="G11" s="1510" t="n"/>
      <c r="H11" s="1510" t="n"/>
      <c r="I11" s="1510" t="n">
        <v>0</v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531">
        <f>+C12*9%</f>
        <v/>
      </c>
      <c r="E12" s="1531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51" t="n"/>
      <c r="D13" s="1531">
        <f>+C13*9%</f>
        <v/>
      </c>
      <c r="E13" s="1531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551" t="n"/>
      <c r="D14" s="1531">
        <f>+C14*9%</f>
        <v/>
      </c>
      <c r="E14" s="1531">
        <f>+D14</f>
        <v/>
      </c>
      <c r="F14" s="1497">
        <f>IF(D14&gt;0," ",C14*18%)</f>
        <v/>
      </c>
      <c r="G14" s="1510" t="n"/>
      <c r="H14" s="1510" t="n"/>
      <c r="I14" s="1510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531">
        <f>+C15*9%</f>
        <v/>
      </c>
      <c r="E15" s="1531">
        <f>+D15</f>
        <v/>
      </c>
      <c r="F15" s="1497">
        <f>IF(D15&gt;0," ",C15*18%)</f>
        <v/>
      </c>
      <c r="G15" s="1510" t="n"/>
      <c r="H15" s="1510" t="n"/>
      <c r="I15" s="1510" t="n">
        <v>0</v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531">
        <f>+C16*9%</f>
        <v/>
      </c>
      <c r="E16" s="1531" t="inlineStr">
        <is>
          <t xml:space="preserve"> </t>
        </is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531">
        <f>+C17*9%</f>
        <v/>
      </c>
      <c r="E17" s="1531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531">
        <f>+C18*9%</f>
        <v/>
      </c>
      <c r="E18" s="1531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531">
        <f>+C19*9%</f>
        <v/>
      </c>
      <c r="E19" s="1531">
        <f>+D19</f>
        <v/>
      </c>
      <c r="F19" s="1497">
        <f>IF(D19&gt;0," ",C19*18%)</f>
        <v/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531">
        <f>+C20*9%</f>
        <v/>
      </c>
      <c r="E20" s="1531">
        <f>+D20</f>
        <v/>
      </c>
      <c r="F20" s="1497">
        <f>IF(D20&gt;0," ",C20*18%)</f>
        <v/>
      </c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531">
        <f>+C21*9%</f>
        <v/>
      </c>
      <c r="E21" s="1531">
        <f>+D21</f>
        <v/>
      </c>
      <c r="F21" s="1497" t="n"/>
      <c r="G21" s="1510" t="n"/>
      <c r="H21" s="1510" t="n"/>
      <c r="I21" s="1510" t="n">
        <v>0</v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531">
        <f>+C22*9%</f>
        <v/>
      </c>
      <c r="E22" s="1531">
        <f>+D22</f>
        <v/>
      </c>
      <c r="F22" s="1497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531">
        <f>+C23*9%</f>
        <v/>
      </c>
      <c r="E23" s="1531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531">
        <f>+C24*9%</f>
        <v/>
      </c>
      <c r="E24" s="1531">
        <f>+D24</f>
        <v/>
      </c>
      <c r="F24" s="1497" t="n">
        <v>0</v>
      </c>
      <c r="G24" s="1510" t="n"/>
      <c r="H24" s="1510" t="n"/>
      <c r="I24" s="1510" t="n">
        <v>0</v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531">
        <f>+C25*9%</f>
        <v/>
      </c>
      <c r="E25" s="1531">
        <f>+D25</f>
        <v/>
      </c>
      <c r="F25" s="1497">
        <f>IF(D25&gt;0," ",C25*18%)</f>
        <v/>
      </c>
      <c r="G25" s="1510" t="n"/>
      <c r="H25" s="1510" t="n"/>
      <c r="I25" s="1510" t="n">
        <v>0</v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531">
        <f>+C26*9%</f>
        <v/>
      </c>
      <c r="E26" s="1531">
        <f>+D26</f>
        <v/>
      </c>
      <c r="F26" s="1497">
        <f>IF(D26&gt;0," ",C26*18%)</f>
        <v/>
      </c>
      <c r="G26" s="1510" t="n"/>
      <c r="H26" s="1510" t="n"/>
      <c r="I26" s="1510" t="n">
        <v>0</v>
      </c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531">
        <f>+C27*9%</f>
        <v/>
      </c>
      <c r="E27" s="1531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37" t="n">
        <v>3291</v>
      </c>
      <c r="B28" s="1220" t="inlineStr">
        <is>
          <t>CIBIL CHARGES</t>
        </is>
      </c>
      <c r="C28" s="1551" t="n"/>
      <c r="D28" s="1531">
        <f>+C28*9%</f>
        <v/>
      </c>
      <c r="E28" s="1531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531">
        <f>+C29*9%</f>
        <v/>
      </c>
      <c r="E29" s="1531">
        <f>+D29</f>
        <v/>
      </c>
      <c r="F29" s="1497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531">
        <f>+C30*9%</f>
        <v/>
      </c>
      <c r="E30" s="1531">
        <f>+D30</f>
        <v/>
      </c>
      <c r="F30" s="1497">
        <f>IF(D30&gt;0," ",C30*18%)</f>
        <v/>
      </c>
      <c r="G30" s="1510" t="n"/>
      <c r="H30" s="1510" t="n"/>
      <c r="I30" s="1510" t="n">
        <v>0</v>
      </c>
      <c r="J30" s="1084" t="inlineStr">
        <is>
          <t xml:space="preserve"> </t>
        </is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531">
        <f>+C31*9%</f>
        <v/>
      </c>
      <c r="E31" s="1531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531">
        <f>+C32*9%</f>
        <v/>
      </c>
      <c r="E32" s="1531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51" t="n"/>
      <c r="D33" s="1531">
        <f>+C33*9%</f>
        <v/>
      </c>
      <c r="E33" s="1531">
        <f>+D33</f>
        <v/>
      </c>
      <c r="F33" s="1497" t="n"/>
      <c r="G33" s="1510" t="n"/>
      <c r="H33" s="1510" t="n"/>
      <c r="I33" s="1510" t="n">
        <v>0</v>
      </c>
    </row>
    <row r="34" ht="15.75" customHeight="1">
      <c r="A34" s="13" t="n">
        <v>3301</v>
      </c>
      <c r="B34" s="1220" t="inlineStr">
        <is>
          <t>INOPERATIVE CHARGES</t>
        </is>
      </c>
      <c r="C34" s="1551" t="n"/>
      <c r="D34" s="1531">
        <f>+C34*9%</f>
        <v/>
      </c>
      <c r="E34" s="1531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531">
        <f>+C35*9%</f>
        <v/>
      </c>
      <c r="E35" s="1531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531">
        <f>+C36*9%</f>
        <v/>
      </c>
      <c r="E36" s="1531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531">
        <f>+C37*2.5%</f>
        <v/>
      </c>
      <c r="E37" s="1531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51" t="n"/>
      <c r="D38" s="1531">
        <f>+C38*9%</f>
        <v/>
      </c>
      <c r="E38" s="1531">
        <f>+D38</f>
        <v/>
      </c>
      <c r="F38" s="1497">
        <f>IF(D38&gt;0," ",C38*18%)</f>
        <v/>
      </c>
      <c r="G38" s="1510" t="n"/>
      <c r="H38" s="1510" t="n"/>
      <c r="I38" s="1510" t="n">
        <v>0</v>
      </c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51" t="n"/>
      <c r="D39" s="1531">
        <f>+C39*9%</f>
        <v/>
      </c>
      <c r="E39" s="1531">
        <f>+D39</f>
        <v/>
      </c>
      <c r="F39" s="1497">
        <f>IF(D39&gt;0," ",C39*18%)</f>
        <v/>
      </c>
      <c r="G39" s="1510" t="n"/>
      <c r="H39" s="1510" t="n"/>
      <c r="I39" s="1510" t="n">
        <v>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531">
        <f>+C40*9%</f>
        <v/>
      </c>
      <c r="E40" s="1531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3" t="n">
        <v>3313</v>
      </c>
      <c r="B41" s="1220" t="inlineStr">
        <is>
          <t>ECS RETD. CHARGES</t>
        </is>
      </c>
      <c r="C41" s="1551" t="n"/>
      <c r="D41" s="1531">
        <f>+C41*9%</f>
        <v/>
      </c>
      <c r="E41" s="1531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531">
        <f>+C42*9%</f>
        <v/>
      </c>
      <c r="E42" s="1531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531">
        <f>+C43*9%</f>
        <v/>
      </c>
      <c r="E43" s="1531">
        <f>+D43</f>
        <v/>
      </c>
      <c r="F43" s="1497">
        <f>IF(D43&gt;0," ",C43*18%)</f>
        <v/>
      </c>
      <c r="G43" s="1510" t="n"/>
      <c r="H43" s="1510" t="n"/>
      <c r="I43" s="1510" t="n">
        <v>0</v>
      </c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531">
        <f>+C44*9%</f>
        <v/>
      </c>
      <c r="E44" s="1531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187" t="n">
        <v>3317</v>
      </c>
      <c r="B45" s="1220" t="inlineStr">
        <is>
          <t>THE P&amp;T CHARGES FOR LC/BG</t>
        </is>
      </c>
      <c r="C45" s="1551" t="n"/>
      <c r="D45" s="1531">
        <f>+C45*9%</f>
        <v/>
      </c>
      <c r="E45" s="1531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531">
        <f>+C46*9%</f>
        <v/>
      </c>
      <c r="E46" s="1531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187" t="n">
        <v>3320</v>
      </c>
      <c r="B47" s="1220" t="inlineStr">
        <is>
          <t>RENT ON LOCKER</t>
        </is>
      </c>
      <c r="C47" s="1551" t="n"/>
      <c r="D47" s="1531">
        <f>+C47*9%</f>
        <v/>
      </c>
      <c r="E47" s="1531">
        <f>+D47</f>
        <v/>
      </c>
      <c r="F47" s="1497">
        <f>IF(D47&gt;0," ",C47*18%)</f>
        <v/>
      </c>
      <c r="G47" s="1510" t="n"/>
      <c r="H47" s="1510" t="n"/>
      <c r="I47" s="1510" t="n">
        <v>0</v>
      </c>
    </row>
    <row r="48" ht="15.75" customHeight="1">
      <c r="A48" s="1187" t="n">
        <v>3321</v>
      </c>
      <c r="B48" s="1220" t="inlineStr">
        <is>
          <t>ADHOC LIMIT CHARGES</t>
        </is>
      </c>
      <c r="C48" s="1551" t="n"/>
      <c r="D48" s="1531">
        <f>+C48*9%</f>
        <v/>
      </c>
      <c r="E48" s="1531">
        <f>+D48</f>
        <v/>
      </c>
      <c r="F48" s="1497">
        <f>IF(D48&gt;0," ",C48*18%)</f>
        <v/>
      </c>
      <c r="G48" s="1510" t="n"/>
      <c r="H48" s="1510" t="n"/>
      <c r="I48" s="1510" t="n">
        <v>0</v>
      </c>
    </row>
    <row r="49" ht="15.75" customHeight="1">
      <c r="A49" s="1187" t="n">
        <v>3322</v>
      </c>
      <c r="B49" s="1220" t="inlineStr">
        <is>
          <t>INCOME FROM SALE OF OLD NEWS PAPERS</t>
        </is>
      </c>
      <c r="C49" s="1551" t="n"/>
      <c r="D49" s="1531">
        <f>+C49*5%</f>
        <v/>
      </c>
      <c r="E49" s="1531">
        <f>+D49</f>
        <v/>
      </c>
      <c r="F49" s="1497" t="n"/>
      <c r="G49" s="1510" t="n"/>
      <c r="H49" s="1510" t="n"/>
      <c r="I49" s="1510" t="n">
        <v>0</v>
      </c>
    </row>
    <row r="50" ht="15.75" customHeight="1">
      <c r="A50" s="1187" t="n">
        <v>3324</v>
      </c>
      <c r="B50" s="1220" t="inlineStr">
        <is>
          <t>PENALTY ON OVERDUE LOCKER RENT</t>
        </is>
      </c>
      <c r="C50" s="1551" t="n"/>
      <c r="D50" s="1531">
        <f>+C50*9%</f>
        <v/>
      </c>
      <c r="E50" s="1531">
        <f>+D50</f>
        <v/>
      </c>
      <c r="F50" s="1497" t="n"/>
      <c r="G50" s="1510" t="n"/>
      <c r="H50" s="1510" t="n"/>
      <c r="I50" s="1510" t="n">
        <v>0</v>
      </c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531">
        <f>+C51*2.5%</f>
        <v/>
      </c>
      <c r="E51" s="1531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5.75" customHeight="1">
      <c r="A52" s="1187" t="n">
        <v>3391</v>
      </c>
      <c r="B52" s="1220" t="inlineStr">
        <is>
          <t>SMS CHARGES INCOME RECEIVED</t>
        </is>
      </c>
      <c r="C52" s="1551" t="n"/>
      <c r="D52" s="1531">
        <f>+C52*9%</f>
        <v/>
      </c>
      <c r="E52" s="1531">
        <f>+D52</f>
        <v/>
      </c>
      <c r="F52" s="1497">
        <f>IF(D52&gt;0," ",C52*18%)</f>
        <v/>
      </c>
      <c r="G52" s="1510" t="n"/>
      <c r="H52" s="1510" t="n"/>
      <c r="I52" s="1510" t="n">
        <v>0</v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531">
        <f>+C53*9%</f>
        <v/>
      </c>
      <c r="E53" s="1531">
        <f>+D53</f>
        <v/>
      </c>
      <c r="F53" s="1497" t="n"/>
      <c r="G53" s="1510" t="n"/>
      <c r="H53" s="1510" t="n"/>
      <c r="I53" s="1510" t="n">
        <v>0</v>
      </c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531">
        <f>+C54*9%</f>
        <v/>
      </c>
      <c r="E54" s="1531">
        <f>+D54</f>
        <v/>
      </c>
      <c r="F54" s="1497" t="n"/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531">
        <f>+C55*9%</f>
        <v/>
      </c>
      <c r="E55" s="1531">
        <f>+D55</f>
        <v/>
      </c>
      <c r="F55" s="1497" t="n"/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5" t="inlineStr">
        <is>
          <t>GL</t>
        </is>
      </c>
      <c r="B57" s="1220" t="n"/>
      <c r="C57" s="1551" t="n"/>
      <c r="D57" s="1531">
        <f>+C57*9%</f>
        <v/>
      </c>
      <c r="E57" s="1531">
        <f>+D57</f>
        <v/>
      </c>
      <c r="F57" s="1497" t="n"/>
      <c r="G57" s="1510" t="n"/>
      <c r="H57" s="1510" t="n"/>
      <c r="I57" s="1510" t="n">
        <v>0</v>
      </c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531">
        <f>+C58*9%</f>
        <v/>
      </c>
      <c r="E58" s="1531">
        <f>+D58</f>
        <v/>
      </c>
      <c r="F58" s="1497">
        <f>IF(D58&gt;0," ",C58*18%)</f>
        <v/>
      </c>
      <c r="G58" s="1510" t="n"/>
      <c r="H58" s="1510" t="n"/>
      <c r="I58" s="1510" t="n">
        <v>0</v>
      </c>
      <c r="J58" s="1084" t="inlineStr">
        <is>
          <t xml:space="preserve"> </t>
        </is>
      </c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531">
        <f>+C59*9%</f>
        <v/>
      </c>
      <c r="E59" s="1531">
        <f>+D59</f>
        <v/>
      </c>
      <c r="F59" s="1497" t="n">
        <v>0</v>
      </c>
      <c r="G59" s="1510" t="n"/>
      <c r="H59" s="1510" t="n"/>
      <c r="I59" s="1510" t="n">
        <v>0</v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531">
        <f>+C60*9%</f>
        <v/>
      </c>
      <c r="E60" s="1531">
        <f>+D60</f>
        <v/>
      </c>
      <c r="F60" s="1497" t="n"/>
      <c r="G60" s="1510" t="n"/>
      <c r="H60" s="1510" t="n"/>
      <c r="I60" s="1510" t="n">
        <v>0</v>
      </c>
    </row>
    <row r="61" ht="15.75" customHeight="1">
      <c r="A61" s="435" t="n"/>
      <c r="B61" s="433" t="inlineStr">
        <is>
          <t>SALE OF ASSET ( CASH COUNTING MACHINE)</t>
        </is>
      </c>
      <c r="C61" s="1551" t="n"/>
      <c r="D61" s="1500">
        <f>+C61*9%</f>
        <v/>
      </c>
      <c r="E61" s="1500">
        <f>+D61</f>
        <v/>
      </c>
      <c r="F61" s="1500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SUM(F9:F59)</f>
        <v/>
      </c>
      <c r="G62" s="1501">
        <f>SUM(G9:G59)</f>
        <v/>
      </c>
      <c r="H62" s="1501">
        <f>SUM(H9:H59)</f>
        <v/>
      </c>
      <c r="I62" s="1501" t="n"/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  <c r="G66" s="1084" t="inlineStr">
        <is>
          <t xml:space="preserve">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G68" s="1084">
        <f>+C62+C72</f>
        <v/>
      </c>
    </row>
    <row r="69" ht="15" customHeight="1">
      <c r="A69" s="1421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  <c r="G69" s="1084">
        <f>+G68*0.09</f>
        <v/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+C72*0.09</f>
        <v/>
      </c>
      <c r="F72" s="105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  <c r="I73" s="32" t="n"/>
    </row>
    <row r="74" ht="15.75" customHeight="1">
      <c r="A74" s="1220" t="inlineStr">
        <is>
          <t>(3) PAYABLE AS PER LEDGER</t>
        </is>
      </c>
      <c r="B74" s="1042" t="n"/>
      <c r="C74" s="1508" t="n"/>
      <c r="D74" s="108" t="n">
        <v>35950.57</v>
      </c>
      <c r="E74" s="108">
        <f>+D74</f>
        <v/>
      </c>
      <c r="F74" s="108" t="n">
        <v>0</v>
      </c>
      <c r="I74" s="32" t="n">
        <v>31.59</v>
      </c>
      <c r="J74" s="32">
        <f>+I74/9*100</f>
        <v/>
      </c>
    </row>
    <row r="75" ht="15.75" customHeight="1">
      <c r="A75" s="1221" t="inlineStr">
        <is>
          <t>DIFFERENCE</t>
        </is>
      </c>
      <c r="B75" s="1042" t="n"/>
      <c r="C75" s="1508" t="n"/>
      <c r="D75" s="640">
        <f>+D73-D74</f>
        <v/>
      </c>
      <c r="E75" s="640">
        <f>+E73-E74</f>
        <v/>
      </c>
      <c r="F75" s="1038">
        <f>IF(F71&gt;F74,F71,F74)</f>
        <v/>
      </c>
      <c r="G75" s="1084">
        <f>+E75/0.09</f>
        <v/>
      </c>
      <c r="I75" s="253" t="n"/>
      <c r="J75" s="1084">
        <f>685-J74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2024.01</v>
      </c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+C95</f>
        <v/>
      </c>
      <c r="E82" s="105">
        <f>D82</f>
        <v/>
      </c>
      <c r="F82" s="1529">
        <f>+E95</f>
        <v/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5">
      <c r="B85" s="145" t="inlineStr">
        <is>
          <t>OUR GST NO. NOT REFLECTED ON CENVAT BILLS &amp; BLOCKED CREDIT</t>
        </is>
      </c>
      <c r="C85" s="1041" t="n"/>
      <c r="D85" s="1041" t="n"/>
      <c r="E85" s="112" t="n"/>
    </row>
    <row r="86">
      <c r="B86" s="1041" t="inlineStr">
        <is>
          <t>PARTY NAME</t>
        </is>
      </c>
      <c r="C86" s="1041" t="inlineStr">
        <is>
          <t>CGST</t>
        </is>
      </c>
      <c r="D86" s="112" t="inlineStr">
        <is>
          <t>SGST</t>
        </is>
      </c>
      <c r="E86" s="112" t="inlineStr">
        <is>
          <t>IGST</t>
        </is>
      </c>
    </row>
    <row r="87">
      <c r="B87" s="1042" t="inlineStr">
        <is>
          <t>BSNL</t>
        </is>
      </c>
      <c r="C87" s="1230" t="n"/>
      <c r="D87" s="1230">
        <f>+C87</f>
        <v/>
      </c>
      <c r="E87" s="1230" t="n">
        <v>0</v>
      </c>
    </row>
    <row r="88">
      <c r="B88" s="1042" t="inlineStr">
        <is>
          <t>ADITYA SOLSURF PRIVATE LIMITED</t>
        </is>
      </c>
      <c r="C88" s="174" t="n"/>
      <c r="D88" s="1230">
        <f>+C88</f>
        <v/>
      </c>
      <c r="E88" s="174" t="n"/>
    </row>
    <row r="89">
      <c r="B89" s="1042" t="inlineStr">
        <is>
          <t>KABIR TECHNOLOGIES PVT LTD</t>
        </is>
      </c>
      <c r="C89" s="174" t="n"/>
      <c r="D89" s="1230">
        <f>+C89</f>
        <v/>
      </c>
      <c r="E89" s="174" t="n"/>
    </row>
    <row r="90">
      <c r="B90" s="1042" t="inlineStr">
        <is>
          <t>UMIYA PLY &amp; HARDWARE</t>
        </is>
      </c>
      <c r="C90" s="174" t="n"/>
      <c r="D90" s="1230">
        <f>+C90</f>
        <v/>
      </c>
      <c r="E90" s="174" t="n"/>
    </row>
    <row r="91">
      <c r="B91" s="1042" t="inlineStr">
        <is>
          <t>UMIYA PLY &amp; HARDWARE</t>
        </is>
      </c>
      <c r="C91" s="174" t="n"/>
      <c r="D91" s="1230">
        <f>+C91</f>
        <v/>
      </c>
      <c r="E91" s="174" t="n"/>
    </row>
    <row r="92">
      <c r="B92" s="1042" t="inlineStr">
        <is>
          <t>UMIYA PLY &amp; HARDWARE</t>
        </is>
      </c>
      <c r="C92" s="174" t="n"/>
      <c r="D92" s="1230">
        <f>+C92</f>
        <v/>
      </c>
      <c r="E92" s="174" t="n"/>
    </row>
    <row r="93">
      <c r="B93" s="1042" t="inlineStr">
        <is>
          <t>UMIYA PLY &amp; HARDWARE</t>
        </is>
      </c>
      <c r="C93" s="174" t="n"/>
      <c r="D93" s="1230">
        <f>+C93</f>
        <v/>
      </c>
      <c r="E93" s="174" t="n"/>
    </row>
    <row r="94">
      <c r="B94" s="1042" t="inlineStr">
        <is>
          <t>RINKU CORPORATION</t>
        </is>
      </c>
      <c r="C94" s="174" t="n"/>
      <c r="D94" s="1230">
        <f>+C94</f>
        <v/>
      </c>
      <c r="E94" s="174" t="n"/>
    </row>
    <row r="95" ht="15.75" customHeight="1" thickBot="1">
      <c r="B95" s="1230" t="inlineStr">
        <is>
          <t>TOTAL</t>
        </is>
      </c>
      <c r="C95" s="182">
        <f>SUM(C87:C94)</f>
        <v/>
      </c>
      <c r="D95" s="182">
        <f>SUM(D87:D94)</f>
        <v/>
      </c>
      <c r="E95" s="182">
        <f>SUM(E87:E87)</f>
        <v/>
      </c>
    </row>
    <row r="96" ht="15.75" customHeight="1" thickTop="1">
      <c r="A96" s="1087" t="n"/>
    </row>
    <row r="97" ht="14.45" customHeight="1">
      <c r="A97" s="1324" t="n"/>
    </row>
    <row r="98">
      <c r="A98" s="204" t="n"/>
      <c r="B98" s="204" t="n"/>
      <c r="C98" s="204" t="n"/>
      <c r="D98" s="204" t="n"/>
      <c r="E98" s="204" t="n"/>
    </row>
  </sheetData>
  <mergeCells count="29">
    <mergeCell ref="A80:C80"/>
    <mergeCell ref="A75:C75"/>
    <mergeCell ref="A66:F66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A97:F97"/>
    <mergeCell ref="H7:H8"/>
    <mergeCell ref="A4:F4"/>
    <mergeCell ref="A78:C79"/>
    <mergeCell ref="A69:C70"/>
    <mergeCell ref="A81:C81"/>
    <mergeCell ref="E7:E8"/>
    <mergeCell ref="A83:C83"/>
    <mergeCell ref="A82:C82"/>
    <mergeCell ref="A1:F1"/>
    <mergeCell ref="F78:F79"/>
    <mergeCell ref="B7:B8"/>
    <mergeCell ref="D69:D70"/>
    <mergeCell ref="F69:F70"/>
    <mergeCell ref="F7:F8"/>
  </mergeCells>
  <conditionalFormatting sqref="A28:A30 A31:B32">
    <cfRule type="containsText" priority="43" operator="containsText" dxfId="1" text="EXCESS COLLECTED">
      <formula>NOT(ISERROR(SEARCH("EXCESS COLLECTED",A28)))</formula>
    </cfRule>
  </conditionalFormatting>
  <conditionalFormatting sqref="A29:A30 A31:B34 A85:F85 G81:XFD1048576">
    <cfRule type="containsText" priority="44" operator="containsText" dxfId="0" text="LESS COLLECTED">
      <formula>NOT(ISERROR(SEARCH("LESS COLLECTED",A29)))</formula>
    </cfRule>
  </conditionalFormatting>
  <conditionalFormatting sqref="A9:B21">
    <cfRule type="containsText" priority="35" operator="containsText" dxfId="0" text="LESS COLLECTED">
      <formula>NOT(ISERROR(SEARCH("LESS COLLECTED",A9)))</formula>
    </cfRule>
  </conditionalFormatting>
  <conditionalFormatting sqref="A35:B56">
    <cfRule type="containsText" priority="2" operator="containsText" dxfId="0" text="LESS COLLECTED">
      <formula>NOT(ISERROR(SEARCH("LESS COLLECTED",A35)))</formula>
    </cfRule>
  </conditionalFormatting>
  <conditionalFormatting sqref="A47:B56">
    <cfRule type="containsText" priority="1" operator="containsText" dxfId="1" text="EXCESS COLLECTED">
      <formula>NOT(ISERROR(SEARCH("EXCESS COLLECTED",A47)))</formula>
    </cfRule>
  </conditionalFormatting>
  <conditionalFormatting sqref="A57:B61">
    <cfRule type="containsText" priority="46" operator="containsText" dxfId="0" text="LESS COLLECTED">
      <formula>NOT(ISERROR(SEARCH("LESS COLLECTED",A57)))</formula>
    </cfRule>
  </conditionalFormatting>
  <conditionalFormatting sqref="A22:B28 A66:F80 B85:D85">
    <cfRule type="containsText" priority="147" operator="containsText" dxfId="0" text="LESS COLLECTED">
      <formula>NOT(ISERROR(SEARCH("LESS COLLECTED",A22)))</formula>
    </cfRule>
  </conditionalFormatting>
  <conditionalFormatting sqref="A1:XFD3 A4 A5:XFD7 A8:F8 A86:E96 A97 A99:F1048576 D9:XFD9 F96 F98 G4:XFD4 G76:XFD79 H74 H80:XFD80 J8:XFD8">
    <cfRule type="containsText" priority="158" operator="containsText" dxfId="0" text="LESS COLLECTED">
      <formula>NOT(ISERROR(SEARCH("LESS COLLECTED",A1)))</formula>
    </cfRule>
  </conditionalFormatting>
  <conditionalFormatting sqref="B29:B30">
    <cfRule type="containsText" priority="41" operator="containsText" dxfId="1" text="EXCESS COLLECTED">
      <formula>NOT(ISERROR(SEARCH("EXCESS COLLECTED",B29)))</formula>
    </cfRule>
    <cfRule type="containsText" priority="42" operator="containsText" dxfId="0" text="LESS COLLECTED">
      <formula>NOT(ISERROR(SEARCH("LESS COLLECTED",B29)))</formula>
    </cfRule>
  </conditionalFormatting>
  <conditionalFormatting sqref="B61">
    <cfRule type="containsText" priority="45" operator="containsText" dxfId="1" text="EXCESS COLLECTED">
      <formula>NOT(ISERROR(SEARCH("EXCESS COLLECTED",B61)))</formula>
    </cfRule>
  </conditionalFormatting>
  <conditionalFormatting sqref="A72:F73 B85:D85 D69:E70">
    <cfRule type="containsText" priority="146" operator="containsText" dxfId="1" text="EXCESS COLLECTED">
      <formula>NOT(ISERROR(SEARCH("EXCESS COLLECTED",A69)))</formula>
    </cfRule>
  </conditionalFormatting>
  <conditionalFormatting sqref="D10:F61">
    <cfRule type="containsText" priority="6" operator="containsText" dxfId="0" text="LESS COLLECTED">
      <formula>NOT(ISERROR(SEARCH("LESS COLLECTED",D10)))</formula>
    </cfRule>
  </conditionalFormatting>
  <conditionalFormatting sqref="D48:F56">
    <cfRule type="containsText" priority="3" operator="containsText" dxfId="1" text="EXCESS COLLECTED">
      <formula>NOT(ISERROR(SEARCH("EXCESS COLLECTED",D48)))</formula>
    </cfRule>
  </conditionalFormatting>
  <conditionalFormatting sqref="G75">
    <cfRule type="containsText" priority="148" operator="containsText" dxfId="1" text="EXC">
      <formula>NOT(ISERROR(SEARCH("EXC",G75)))</formula>
    </cfRule>
    <cfRule type="containsText" priority="149" operator="containsText" dxfId="1" text="LESS">
      <formula>NOT(ISERROR(SEARCH("LESS",G75)))</formula>
    </cfRule>
    <cfRule type="containsText" priority="150" operator="containsText" dxfId="27" text="EXC">
      <formula>NOT(ISERROR(SEARCH("EXC",G75)))</formula>
    </cfRule>
  </conditionalFormatting>
  <pageMargins left="0.905511811023622" right="0.868110236" top="0" bottom="0" header="0.31496062992126" footer="0.31496062992126"/>
  <pageSetup orientation="portrait" paperSize="9" scale="54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O97"/>
  <sheetViews>
    <sheetView workbookViewId="0">
      <selection activeCell="C11" sqref="C11"/>
    </sheetView>
  </sheetViews>
  <sheetFormatPr baseColWidth="8" defaultColWidth="9.140625" defaultRowHeight="15"/>
  <cols>
    <col width="11.42578125" customWidth="1" style="1084" min="1" max="1"/>
    <col width="41.28515625" customWidth="1" style="1084" min="2" max="2"/>
    <col width="14.5703125" customWidth="1" style="1084" min="3" max="3"/>
    <col width="17.28515625" bestFit="1" customWidth="1" style="1084" min="4" max="4"/>
    <col width="14.85546875" bestFit="1" customWidth="1" style="1084" min="5" max="5"/>
    <col width="11.42578125" customWidth="1" style="1084" min="6" max="6"/>
    <col width="19.85546875" customWidth="1" style="1084" min="7" max="7"/>
    <col width="10.7109375" bestFit="1" customWidth="1" style="32" min="8" max="8"/>
    <col width="9.140625" customWidth="1" style="1084" min="9" max="9"/>
    <col width="9.57031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SURAT BRANCH</t>
        </is>
      </c>
    </row>
    <row r="4" ht="15.75" customHeight="1">
      <c r="A4" s="1214" t="inlineStr">
        <is>
          <t>BRANCH CODE: 41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510" t="n">
        <v>0</v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>
        <f>IF(D14&gt;0," ",C14*18%)</f>
        <v/>
      </c>
      <c r="G14" s="1510" t="n"/>
      <c r="H14" s="1510" t="n"/>
      <c r="I14" s="1510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510" t="n">
        <v>0</v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>
        <f>IF(D20&gt;0," ",C20*18%)</f>
        <v/>
      </c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 t="n"/>
      <c r="E21" s="1497" t="n"/>
      <c r="F21" s="1497" t="n"/>
      <c r="G21" s="1510" t="n"/>
      <c r="H21" s="1510" t="n"/>
      <c r="I21" s="1510" t="n">
        <v>0</v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>
        <f>IF(D24&gt;0," ",C24*18%)</f>
        <v/>
      </c>
      <c r="G24" s="1510" t="n"/>
      <c r="H24" s="1510" t="n"/>
      <c r="I24" s="1510" t="n">
        <v>0</v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510" t="n">
        <v>0</v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510" t="n">
        <v>0</v>
      </c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37" t="n">
        <v>3291</v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 t="n">
        <v>0</v>
      </c>
      <c r="G33" s="1510" t="n"/>
      <c r="H33" s="1510" t="n"/>
      <c r="I33" s="1510" t="n">
        <v>0</v>
      </c>
    </row>
    <row r="34" ht="15.75" customHeight="1">
      <c r="A34" s="13" t="n">
        <v>3301</v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51" t="n"/>
      <c r="D38" s="1497">
        <f>+C38*9%</f>
        <v/>
      </c>
      <c r="E38" s="1497">
        <f>+D38</f>
        <v/>
      </c>
      <c r="F38" s="1497">
        <f>IF(D38&gt;0," ",C38*18%)</f>
        <v/>
      </c>
      <c r="G38" s="1510" t="n"/>
      <c r="H38" s="1510" t="n"/>
      <c r="I38" s="1510" t="n">
        <v>0</v>
      </c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  <c r="I39" s="1510" t="n">
        <v>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 t="n">
        <v>0</v>
      </c>
      <c r="G43" s="1510" t="n"/>
      <c r="H43" s="1510" t="n"/>
      <c r="I43" s="1510" t="n">
        <v>0</v>
      </c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187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187" t="n">
        <v>3320</v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>
        <f>IF(D47&gt;0," ",C47*18%)</f>
        <v/>
      </c>
      <c r="G47" s="1510" t="n"/>
      <c r="H47" s="1510" t="n"/>
      <c r="I47" s="1510" t="n">
        <v>0</v>
      </c>
    </row>
    <row r="48" ht="15.75" customHeight="1">
      <c r="A48" s="1187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510" t="n">
        <v>0</v>
      </c>
    </row>
    <row r="49" ht="15.75" customHeight="1">
      <c r="A49" s="1187" t="n">
        <v>3322</v>
      </c>
      <c r="B49" s="1220" t="inlineStr">
        <is>
          <t>INCOME FROM SALE OF OLD NEWS PAPERS</t>
        </is>
      </c>
      <c r="C49" s="1551" t="n"/>
      <c r="D49" s="1497">
        <f>+C49*9%</f>
        <v/>
      </c>
      <c r="E49" s="1497">
        <f>+D49</f>
        <v/>
      </c>
      <c r="F49" s="1497" t="n"/>
      <c r="G49" s="1510" t="n"/>
      <c r="H49" s="1510" t="n"/>
      <c r="I49" s="1510" t="n">
        <v>0</v>
      </c>
    </row>
    <row r="50" ht="15.75" customHeight="1">
      <c r="A50" s="1187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 t="n"/>
      <c r="G50" s="1510" t="n"/>
      <c r="H50" s="1510" t="n"/>
      <c r="I50" s="1510" t="n">
        <v>0</v>
      </c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5.75" customHeight="1">
      <c r="A52" s="1187" t="n">
        <v>3391</v>
      </c>
      <c r="B52" s="1220" t="inlineStr">
        <is>
          <t>SMS CHARGES INCOME RECEIVED</t>
        </is>
      </c>
      <c r="C52" s="1551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  <c r="I52" s="1510" t="n">
        <v>0</v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497">
        <f>+C53*9%</f>
        <v/>
      </c>
      <c r="E53" s="1497">
        <f>+D53</f>
        <v/>
      </c>
      <c r="F53" s="1497">
        <f>IF(D53&gt;0," ",C53*18%)</f>
        <v/>
      </c>
      <c r="G53" s="1510" t="n"/>
      <c r="H53" s="1510" t="n"/>
      <c r="I53" s="1510" t="n">
        <v>0</v>
      </c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497">
        <f>+C54*9%</f>
        <v/>
      </c>
      <c r="E54" s="1497">
        <f>+D54</f>
        <v/>
      </c>
      <c r="F54" s="1497">
        <f>IF(D54&gt;0," ",C54*18%)</f>
        <v/>
      </c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497">
        <f>+C55*9%</f>
        <v/>
      </c>
      <c r="E55" s="1497">
        <f>+D55</f>
        <v/>
      </c>
      <c r="F55" s="1497">
        <f>IF(D55&gt;0," ",C55*18%)</f>
        <v/>
      </c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5" t="inlineStr">
        <is>
          <t>GL</t>
        </is>
      </c>
      <c r="B57" s="1220" t="n"/>
      <c r="C57" s="1551" t="n"/>
      <c r="D57" s="1497" t="n"/>
      <c r="E57" s="1497" t="n"/>
      <c r="F57" s="1497" t="n"/>
      <c r="G57" s="1510" t="n"/>
      <c r="H57" s="1510" t="n"/>
      <c r="I57" s="1510" t="n">
        <v>0</v>
      </c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497">
        <f>+C58*9%</f>
        <v/>
      </c>
      <c r="E58" s="1497">
        <f>+D58</f>
        <v/>
      </c>
      <c r="F58" s="1497">
        <f>IF(D58&gt;0," ",C58*18%)</f>
        <v/>
      </c>
      <c r="G58" s="1510" t="n"/>
      <c r="H58" s="1510" t="n"/>
      <c r="I58" s="1510" t="n">
        <v>0</v>
      </c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497">
        <f>+C59*9%</f>
        <v/>
      </c>
      <c r="E59" s="1497">
        <f>+D59</f>
        <v/>
      </c>
      <c r="F59" s="1497">
        <f>IF(D59&gt;0," ",C59*18%)</f>
        <v/>
      </c>
      <c r="G59" s="1510" t="n"/>
      <c r="H59" s="1510" t="n"/>
      <c r="I59" s="1510" t="n">
        <v>0</v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497" t="n"/>
      <c r="E60" s="1497" t="n"/>
      <c r="F60" s="1497" t="n"/>
      <c r="G60" s="1510" t="n"/>
      <c r="H60" s="1510" t="n"/>
      <c r="I60" s="1510" t="n">
        <v>0</v>
      </c>
    </row>
    <row r="61" ht="15.75" customHeight="1">
      <c r="A61" s="435" t="n"/>
      <c r="B61" s="433" t="inlineStr">
        <is>
          <t>SALE OF ASSET ( CASH COUNTING MACHINE)</t>
        </is>
      </c>
      <c r="C61" s="1551" t="n"/>
      <c r="D61" s="1500">
        <f>+C61*0.09</f>
        <v/>
      </c>
      <c r="E61" s="1500">
        <f>+D61</f>
        <v/>
      </c>
      <c r="F61" s="1500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SUM(G9:G59)</f>
        <v/>
      </c>
      <c r="H62" s="1501">
        <f>SUM(H9:H59)</f>
        <v/>
      </c>
      <c r="I62" s="1501" t="n"/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  <c r="I64" s="1084" t="n">
        <v>0</v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  <c r="I65" s="1084" t="n">
        <v>0</v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  <c r="G70" s="1084" t="n">
        <v>45</v>
      </c>
      <c r="H70" s="32">
        <f>+G70/9%</f>
        <v/>
      </c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30">
        <f>+F62</f>
        <v/>
      </c>
      <c r="G71" s="1084">
        <f>6.75+6.75</f>
        <v/>
      </c>
      <c r="H71" s="32">
        <f>+G71/9%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+G62</f>
        <v/>
      </c>
      <c r="D72" s="106">
        <f>+C72*0.09</f>
        <v/>
      </c>
      <c r="E72" s="106">
        <f>+C72*0.09</f>
        <v/>
      </c>
      <c r="F72" s="30" t="n">
        <v>0</v>
      </c>
      <c r="G72" s="1084">
        <f>171.63+27.45</f>
        <v/>
      </c>
      <c r="H72" s="32">
        <f>+G72/9%</f>
        <v/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30" t="n">
        <v>0</v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26" t="n">
        <v>0</v>
      </c>
      <c r="I74" s="73" t="n"/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800">
        <f>+D73-D74</f>
        <v/>
      </c>
      <c r="E75" s="800">
        <f>+E73-E74</f>
        <v/>
      </c>
      <c r="F75" s="26">
        <f>IF(F71&gt;F74,F71,F74)</f>
        <v/>
      </c>
      <c r="G75" s="1084">
        <f>+E75/0.09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1589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  <c r="G80" s="1499" t="n"/>
      <c r="H80" s="1499" t="n"/>
      <c r="I80" s="1499" t="n"/>
      <c r="J80" s="1499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800" t="n">
        <v>0</v>
      </c>
      <c r="G81" s="1499">
        <f>+D81/2</f>
        <v/>
      </c>
      <c r="H81" s="1499">
        <f>+E81/2</f>
        <v/>
      </c>
      <c r="I81" s="1499">
        <f>+F81/2</f>
        <v/>
      </c>
      <c r="J81" s="1499" t="n"/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C92</f>
        <v/>
      </c>
      <c r="E82" s="105">
        <f>D92</f>
        <v/>
      </c>
      <c r="F82" s="109" t="n">
        <v>0</v>
      </c>
      <c r="G82" s="1499">
        <f>+D82/2</f>
        <v/>
      </c>
      <c r="H82" s="1499">
        <f>+E82/2</f>
        <v/>
      </c>
      <c r="I82" s="1499">
        <f>+F82/2</f>
        <v/>
      </c>
      <c r="J82" s="1499" t="n"/>
    </row>
    <row r="83" ht="15.75" customHeight="1">
      <c r="A83" s="1219" t="inlineStr">
        <is>
          <t>ELIGIBLE CREDIT</t>
        </is>
      </c>
      <c r="B83" s="1042" t="n"/>
      <c r="C83" s="1508" t="n"/>
      <c r="D83" s="108">
        <f>+D81-D82</f>
        <v/>
      </c>
      <c r="E83" s="108">
        <f>+E81-E82</f>
        <v/>
      </c>
      <c r="F83" s="800">
        <f>+F81-F82</f>
        <v/>
      </c>
      <c r="G83" s="1499">
        <f>+D83/2</f>
        <v/>
      </c>
      <c r="H83" s="1499">
        <f>+E83/2</f>
        <v/>
      </c>
      <c r="I83" s="1499">
        <f>+F83/2</f>
        <v/>
      </c>
      <c r="J83" s="1499" t="n"/>
    </row>
    <row r="84">
      <c r="G84" s="1499" t="n"/>
      <c r="H84" s="1499" t="n"/>
      <c r="I84" s="1499" t="n"/>
      <c r="J84" s="1499" t="n"/>
    </row>
    <row r="86">
      <c r="B86" s="1218" t="inlineStr">
        <is>
          <t>OUR GST NO. NOT REFLECTED ON CENVAT BILLS</t>
        </is>
      </c>
      <c r="C86" s="1042" t="n"/>
      <c r="D86" s="1042" t="n"/>
      <c r="E86" s="1508" t="n"/>
    </row>
    <row r="87">
      <c r="B87" s="985" t="inlineStr">
        <is>
          <t>PARTY NAME</t>
        </is>
      </c>
      <c r="C87" s="1218" t="inlineStr">
        <is>
          <t>GGST</t>
        </is>
      </c>
      <c r="D87" s="1218" t="inlineStr">
        <is>
          <t>CGST</t>
        </is>
      </c>
      <c r="E87" s="1218" t="inlineStr">
        <is>
          <t>IGST</t>
        </is>
      </c>
    </row>
    <row r="88">
      <c r="B88" s="1228" t="inlineStr">
        <is>
          <t>SHIV SHAKTI SWEETS &amp; SNACKS</t>
        </is>
      </c>
      <c r="C88" s="156" t="n"/>
      <c r="D88" s="156">
        <f>+C88</f>
        <v/>
      </c>
      <c r="E88" s="170" t="n">
        <v>0</v>
      </c>
    </row>
    <row r="89">
      <c r="B89" s="1228" t="inlineStr">
        <is>
          <t>AIRTEL</t>
        </is>
      </c>
      <c r="C89" s="156" t="n">
        <v>0</v>
      </c>
      <c r="D89" s="156">
        <f>+C89</f>
        <v/>
      </c>
      <c r="E89" s="170" t="n">
        <v>0</v>
      </c>
    </row>
    <row r="90">
      <c r="B90" s="1228" t="inlineStr">
        <is>
          <t>BSNL</t>
        </is>
      </c>
      <c r="C90" s="156" t="n"/>
      <c r="D90" s="156">
        <f>+C90</f>
        <v/>
      </c>
      <c r="E90" s="170" t="n">
        <v>0</v>
      </c>
    </row>
    <row r="91">
      <c r="B91" s="1228" t="inlineStr">
        <is>
          <t>BSNL</t>
        </is>
      </c>
      <c r="C91" s="156" t="n">
        <v>0</v>
      </c>
      <c r="D91" s="156">
        <f>+C91</f>
        <v/>
      </c>
      <c r="E91" s="170" t="n">
        <v>0</v>
      </c>
    </row>
    <row r="92">
      <c r="B92" s="169" t="inlineStr">
        <is>
          <t>TOTAL</t>
        </is>
      </c>
      <c r="C92" s="170">
        <f>+SUM(C88:C91)</f>
        <v/>
      </c>
      <c r="D92" s="170">
        <f>+SUM(D88:D91)</f>
        <v/>
      </c>
      <c r="E92" s="170">
        <f>+SUM(E88:E91)</f>
        <v/>
      </c>
    </row>
    <row r="93" ht="18" customHeight="1"/>
    <row r="94">
      <c r="A94" s="1322" t="n"/>
    </row>
    <row r="95"/>
    <row r="96">
      <c r="A96" s="1034" t="n"/>
      <c r="B96" s="1034" t="n"/>
      <c r="C96" s="1034" t="n"/>
      <c r="D96" s="1034" t="n"/>
      <c r="E96" s="1034" t="n"/>
      <c r="F96" s="1034" t="n"/>
      <c r="G96" s="986" t="n"/>
    </row>
    <row r="97">
      <c r="A97" s="1034" t="n"/>
      <c r="B97" s="1034" t="n"/>
      <c r="C97" s="1034" t="n"/>
      <c r="D97" s="1034" t="n"/>
      <c r="E97" s="1034" t="n"/>
      <c r="F97" s="1034" t="n"/>
    </row>
  </sheetData>
  <mergeCells count="30">
    <mergeCell ref="A80:C80"/>
    <mergeCell ref="A75:C75"/>
    <mergeCell ref="A66:F66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A94:F95"/>
    <mergeCell ref="D7:D8"/>
    <mergeCell ref="D78:D79"/>
    <mergeCell ref="H7:H8"/>
    <mergeCell ref="A4:F4"/>
    <mergeCell ref="A78:C79"/>
    <mergeCell ref="A69:C70"/>
    <mergeCell ref="A81:C81"/>
    <mergeCell ref="B86:E86"/>
    <mergeCell ref="E7:E8"/>
    <mergeCell ref="A83:C83"/>
    <mergeCell ref="A82:C82"/>
    <mergeCell ref="A1:F1"/>
    <mergeCell ref="B7:B8"/>
    <mergeCell ref="F78:F79"/>
    <mergeCell ref="D69:D70"/>
    <mergeCell ref="F69:F70"/>
    <mergeCell ref="F7:F8"/>
  </mergeCells>
  <conditionalFormatting sqref="A94">
    <cfRule type="containsText" priority="1" operator="containsText" dxfId="0" text="LESS COLLECTED">
      <formula>NOT(ISERROR(SEARCH("LESS COLLECTED",A94)))</formula>
    </cfRule>
  </conditionalFormatting>
  <conditionalFormatting sqref="A9:B21 G75:XFD1048576">
    <cfRule type="containsText" priority="25" operator="containsText" dxfId="0" text="LESS COLLECTED">
      <formula>NOT(ISERROR(SEARCH("LESS COLLECTED",A9)))</formula>
    </cfRule>
  </conditionalFormatting>
  <conditionalFormatting sqref="A22:B34">
    <cfRule type="containsText" priority="34" operator="containsText" dxfId="0" text="LESS COLLECTED">
      <formula>NOT(ISERROR(SEARCH("LESS COLLECTED",A22)))</formula>
    </cfRule>
  </conditionalFormatting>
  <conditionalFormatting sqref="A28:B32">
    <cfRule type="containsText" priority="33" operator="containsText" dxfId="1" text="EXCESS COLLECTED">
      <formula>NOT(ISERROR(SEARCH("EXCESS COLLECTED",A28)))</formula>
    </cfRule>
  </conditionalFormatting>
  <conditionalFormatting sqref="A35:B56">
    <cfRule type="containsText" priority="3" operator="containsText" dxfId="0" text="LESS COLLECTED">
      <formula>NOT(ISERROR(SEARCH("LESS COLLECTED",A35)))</formula>
    </cfRule>
  </conditionalFormatting>
  <conditionalFormatting sqref="A47:B56">
    <cfRule type="containsText" priority="2" operator="containsText" dxfId="1" text="EXCESS COLLECTED">
      <formula>NOT(ISERROR(SEARCH("EXCESS COLLECTED",A47)))</formula>
    </cfRule>
  </conditionalFormatting>
  <conditionalFormatting sqref="A57:B61">
    <cfRule type="containsText" priority="38" operator="containsText" dxfId="0" text="LESS COLLECTED">
      <formula>NOT(ISERROR(SEARCH("LESS COLLECTED",A57)))</formula>
    </cfRule>
  </conditionalFormatting>
  <conditionalFormatting sqref="A1:XFD6 A7:F8 A88:B93 A96 A98:F1048576 C92:C93 C92:E92 D88:F93 F86 G63:XFD73 H74:XFD74 J7:XFD62">
    <cfRule type="containsText" priority="162" operator="containsText" dxfId="0" text="LESS COLLECTED">
      <formula>NOT(ISERROR(SEARCH("LESS COLLECTED",A1)))</formula>
    </cfRule>
  </conditionalFormatting>
  <conditionalFormatting sqref="A66:F85 A86:B86 A87:F87 B88:B91 D88:D92">
    <cfRule type="containsText" priority="151" operator="containsText" dxfId="0" text="LESS COLLECTED">
      <formula>NOT(ISERROR(SEARCH("LESS COLLECTED",A66)))</formula>
    </cfRule>
  </conditionalFormatting>
  <conditionalFormatting sqref="B61">
    <cfRule type="containsText" priority="37" operator="containsText" dxfId="1" text="EXCESS COLLECTED">
      <formula>NOT(ISERROR(SEARCH("EXCESS COLLECTED",B61)))</formula>
    </cfRule>
  </conditionalFormatting>
  <conditionalFormatting sqref="A72:F73 B86 B87:D87 B88:B91 D69:E70 D88:D92">
    <cfRule type="containsText" priority="150" operator="containsText" dxfId="1" text="EXCESS COLLECTED">
      <formula>NOT(ISERROR(SEARCH("EXCESS COLLECTED",A69)))</formula>
    </cfRule>
  </conditionalFormatting>
  <conditionalFormatting sqref="D36:F61">
    <cfRule type="containsText" priority="7" operator="containsText" dxfId="0" text="LESS COLLECTED">
      <formula>NOT(ISERROR(SEARCH("LESS COLLECTED",D36)))</formula>
    </cfRule>
  </conditionalFormatting>
  <conditionalFormatting sqref="D48:F56">
    <cfRule type="containsText" priority="4" operator="containsText" dxfId="1" text="EXCESS COLLECTED">
      <formula>NOT(ISERROR(SEARCH("EXCESS COLLECTED",D48)))</formula>
    </cfRule>
  </conditionalFormatting>
  <conditionalFormatting sqref="E92">
    <cfRule type="containsText" priority="53" operator="containsText" dxfId="1" text="EXCESS COLLECTED">
      <formula>NOT(ISERROR(SEARCH("EXCESS COLLECTED",E92)))</formula>
    </cfRule>
    <cfRule type="containsText" priority="54" operator="containsText" dxfId="0" text="LESS COLLECTED">
      <formula>NOT(ISERROR(SEARCH("LESS COLLECTED",E92)))</formula>
    </cfRule>
  </conditionalFormatting>
  <pageMargins left="0.905511811023622" right="0.868110236" top="0" bottom="0" header="0.31496062992126" footer="0.31496062992126"/>
  <pageSetup orientation="portrait" paperSize="9" scale="54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O105"/>
  <sheetViews>
    <sheetView topLeftCell="A67" workbookViewId="0">
      <selection activeCell="D75" sqref="D75"/>
    </sheetView>
  </sheetViews>
  <sheetFormatPr baseColWidth="8" defaultColWidth="9.140625" defaultRowHeight="15"/>
  <cols>
    <col width="18.28515625" customWidth="1" style="1084" min="1" max="1"/>
    <col width="43.7109375" bestFit="1" customWidth="1" style="1084" min="2" max="2"/>
    <col width="16.7109375" customWidth="1" style="1084" min="3" max="3"/>
    <col width="22.28515625" bestFit="1" customWidth="1" style="1084" min="4" max="4"/>
    <col width="22" bestFit="1" customWidth="1" style="1084" min="5" max="5"/>
    <col width="12.5703125" customWidth="1" style="1084" min="6" max="6"/>
    <col width="19.85546875" customWidth="1" style="1084" min="7" max="7"/>
    <col width="11.42578125" bestFit="1" customWidth="1" style="32" min="8" max="8"/>
    <col width="12.42578125" bestFit="1" customWidth="1" style="1084" min="9" max="9"/>
    <col width="11.7109375" bestFit="1" customWidth="1" style="1084" min="10" max="10"/>
    <col width="12.42578125" bestFit="1" customWidth="1" style="1084" min="11" max="11"/>
    <col width="9.140625" customWidth="1" style="1084" min="12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LAW GARDEN BRANCH</t>
        </is>
      </c>
    </row>
    <row r="4" ht="15.75" customHeight="1">
      <c r="A4" s="1214" t="inlineStr">
        <is>
          <t>BRANCH CODE:12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175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</row>
    <row r="9" ht="15.75" customHeight="1">
      <c r="A9" s="16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</row>
    <row r="10" ht="15.75" customHeight="1">
      <c r="A10" s="16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L10" s="1590" t="n"/>
      <c r="N10" s="32" t="n"/>
    </row>
    <row r="11" ht="15.75" customHeight="1">
      <c r="A11" s="1080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32" t="n"/>
      <c r="K11" s="32" t="n"/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32" t="n"/>
      <c r="K12" s="32" t="n"/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32" t="n"/>
      <c r="K13" s="32" t="n"/>
    </row>
    <row r="14" ht="15.75" customHeight="1">
      <c r="A14" s="1080" t="inlineStr">
        <is>
          <t>3230</t>
        </is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>
        <f>IF(D14&gt;0," ",C14*18%)</f>
        <v/>
      </c>
      <c r="G14" s="1510" t="n"/>
      <c r="H14" s="1510" t="n"/>
      <c r="I14" s="32" t="n"/>
      <c r="K14" s="32" t="n"/>
    </row>
    <row r="15" ht="15.75" customHeight="1">
      <c r="A15" s="1080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32" t="n"/>
      <c r="K15" s="32" t="n"/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32" t="n"/>
      <c r="K16" s="32" t="n"/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32" t="n"/>
      <c r="K17" s="32" t="n"/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32" t="n"/>
      <c r="K18" s="32" t="n"/>
    </row>
    <row r="19" ht="16.5" customHeight="1">
      <c r="A19" s="1080" t="n">
        <v>3270</v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 t="n"/>
      <c r="G19" s="1510" t="n"/>
      <c r="H19" s="1510" t="n"/>
      <c r="I19" s="32" t="n"/>
      <c r="K19" s="32" t="n"/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 t="n"/>
      <c r="G20" s="1510" t="n"/>
      <c r="H20" s="1510" t="n"/>
      <c r="I20" s="627" t="n"/>
      <c r="K20" s="32" t="n"/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>
        <f>+C21*9%</f>
        <v/>
      </c>
      <c r="E21" s="1497">
        <f>+D21</f>
        <v/>
      </c>
      <c r="F21" s="1497" t="n"/>
      <c r="G21" s="1510" t="n"/>
      <c r="H21" s="1510" t="n"/>
      <c r="I21" s="32" t="n"/>
      <c r="K21" s="32" t="n"/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32" t="n"/>
      <c r="K22" s="32" t="n"/>
      <c r="O22" s="1084" t="inlineStr">
        <is>
          <t xml:space="preserve"> </t>
        </is>
      </c>
    </row>
    <row r="23" ht="15.75" customHeight="1">
      <c r="A23" s="161" t="n">
        <v>3280</v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32" t="n"/>
      <c r="K23" s="32" t="n"/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 t="n">
        <v>0</v>
      </c>
      <c r="G24" s="1510" t="n"/>
      <c r="H24" s="1510" t="n"/>
      <c r="I24" s="32" t="n"/>
      <c r="K24" s="32" t="n"/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32" t="n"/>
      <c r="K25" s="32" t="n"/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32" t="n"/>
      <c r="K26" s="32" t="n"/>
    </row>
    <row r="27" ht="15.75" customHeight="1">
      <c r="A27" s="158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32" t="n"/>
      <c r="K27" s="32" t="n"/>
    </row>
    <row r="28" ht="15.75" customHeight="1">
      <c r="A28" s="158" t="n">
        <v>3291</v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32" t="n"/>
      <c r="K28" s="32" t="n"/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32" t="n"/>
      <c r="K29" s="32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 t="n">
        <v>0</v>
      </c>
      <c r="G30" s="1510" t="n"/>
      <c r="H30" s="1510" t="n"/>
      <c r="I30" s="32" t="n"/>
      <c r="K30" s="32" t="n"/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32" t="n"/>
      <c r="K31" s="32" t="n"/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32" t="n"/>
      <c r="K32" s="32" t="n"/>
    </row>
    <row r="33" ht="15.75" customHeight="1">
      <c r="A33" s="1080" t="n">
        <v>3300</v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 t="n"/>
      <c r="G33" s="1510" t="n"/>
      <c r="H33" s="1510" t="n"/>
      <c r="I33" s="32" t="n"/>
      <c r="K33" s="32" t="n"/>
    </row>
    <row r="34" ht="15.75" customHeight="1">
      <c r="A34" s="1080" t="n">
        <v>3301</v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32" t="n"/>
      <c r="K34" s="32" t="n"/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32" t="n"/>
      <c r="K35" s="32" t="n"/>
    </row>
    <row r="36" ht="15.75" customHeight="1">
      <c r="A36" s="161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32" t="n"/>
      <c r="K36" s="32" t="n"/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 t="n"/>
      <c r="G37" s="1510" t="n"/>
      <c r="H37" s="1510" t="n"/>
      <c r="I37" s="32" t="n"/>
      <c r="K37" s="32" t="n"/>
    </row>
    <row r="38" ht="15.75" customHeight="1">
      <c r="A38" s="1080" t="inlineStr">
        <is>
          <t>3310</t>
        </is>
      </c>
      <c r="B38" s="1220" t="inlineStr">
        <is>
          <t>MIS. INCOME</t>
        </is>
      </c>
      <c r="C38" s="1551" t="n"/>
      <c r="D38" s="1497">
        <f>+C38*9%</f>
        <v/>
      </c>
      <c r="E38" s="1497">
        <f>+D38</f>
        <v/>
      </c>
      <c r="F38" s="1497" t="n">
        <v>0</v>
      </c>
      <c r="G38" s="1510" t="n"/>
      <c r="H38" s="1510" t="n"/>
      <c r="I38" s="32" t="n"/>
      <c r="K38" s="32" t="n"/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 t="n">
        <v>0</v>
      </c>
      <c r="G39" s="1510" t="n"/>
      <c r="H39" s="1510" t="n"/>
      <c r="I39" s="32" t="n"/>
      <c r="K39" s="32" t="n"/>
    </row>
    <row r="40" ht="15.75" customHeight="1">
      <c r="A40" s="1080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 t="n">
        <v>0</v>
      </c>
      <c r="G40" s="1510" t="n"/>
      <c r="H40" s="1510" t="n"/>
      <c r="I40" s="32" t="n"/>
      <c r="K40" s="32" t="n"/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 t="n">
        <v>0</v>
      </c>
      <c r="G41" s="1510" t="n"/>
      <c r="H41" s="1510" t="n"/>
      <c r="I41" s="32" t="n"/>
      <c r="K41" s="32" t="n"/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 t="n">
        <v>0</v>
      </c>
      <c r="G42" s="1510" t="n"/>
      <c r="H42" s="1510" t="n"/>
      <c r="I42" s="32" t="n"/>
      <c r="K42" s="32" t="n"/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 t="n">
        <v>0</v>
      </c>
      <c r="G43" s="1510" t="n"/>
      <c r="H43" s="1510" t="n"/>
      <c r="I43" s="32" t="n"/>
      <c r="K43" s="32" t="n"/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 t="n">
        <v>0</v>
      </c>
      <c r="G44" s="1510" t="n"/>
      <c r="H44" s="1510" t="n"/>
      <c r="I44" s="32" t="n"/>
      <c r="K44" s="32" t="n"/>
    </row>
    <row r="45" ht="15.75" customHeight="1">
      <c r="A45" s="161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 t="n">
        <v>0</v>
      </c>
      <c r="G45" s="1510" t="n"/>
      <c r="H45" s="1510" t="n"/>
      <c r="I45" s="32" t="n"/>
      <c r="K45" s="32" t="n"/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32" t="n"/>
      <c r="K46" s="32" t="n"/>
    </row>
    <row r="47" ht="15.75" customHeight="1">
      <c r="A47" s="161" t="n">
        <v>3320</v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 t="n">
        <v>0</v>
      </c>
      <c r="G47" s="1510" t="n"/>
      <c r="H47" s="1510" t="n"/>
      <c r="I47" s="32" t="n"/>
      <c r="K47" s="32" t="n"/>
    </row>
    <row r="48" ht="15.75" customHeight="1">
      <c r="A48" s="161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32" t="n"/>
      <c r="K48" s="32" t="n"/>
    </row>
    <row r="49" ht="15.75" customHeight="1">
      <c r="A49" s="161" t="n">
        <v>3322</v>
      </c>
      <c r="B49" s="1220" t="inlineStr">
        <is>
          <t>INCOME FROM SALE OF OLD NEWS PAPERS</t>
        </is>
      </c>
      <c r="C49" s="1551" t="n"/>
      <c r="D49" s="1497">
        <f>+C49*9%</f>
        <v/>
      </c>
      <c r="E49" s="1497">
        <f>+D49</f>
        <v/>
      </c>
      <c r="F49" s="1497" t="n"/>
      <c r="G49" s="1510" t="n"/>
      <c r="H49" s="1510" t="n"/>
      <c r="I49" s="32" t="n"/>
      <c r="K49" s="32" t="n"/>
    </row>
    <row r="50" ht="15.75" customHeight="1">
      <c r="A50" s="161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 t="n"/>
      <c r="G50" s="1510" t="n"/>
      <c r="H50" s="1510" t="n"/>
      <c r="I50" s="32" t="n"/>
      <c r="K50" s="32" t="n"/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497">
        <f>+C51*9%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32" t="n"/>
      <c r="K51" s="32" t="n"/>
    </row>
    <row r="52" ht="16.5" customHeight="1">
      <c r="A52" s="161" t="n">
        <v>3391</v>
      </c>
      <c r="B52" s="1220" t="inlineStr">
        <is>
          <t>SMS CHARGES INCOME RECEIVED</t>
        </is>
      </c>
      <c r="C52" s="1551" t="n"/>
      <c r="D52" s="1497">
        <f>+C52*9%</f>
        <v/>
      </c>
      <c r="E52" s="1497">
        <f>+D52</f>
        <v/>
      </c>
      <c r="F52" s="1497" t="n">
        <v>0</v>
      </c>
      <c r="G52" s="1510" t="n"/>
      <c r="H52" s="1510" t="n"/>
      <c r="I52" s="32" t="n"/>
      <c r="K52" s="32" t="n"/>
    </row>
    <row r="53" ht="16.5" customHeight="1">
      <c r="A53" s="161" t="n">
        <v>3359</v>
      </c>
      <c r="B53" s="1220" t="inlineStr">
        <is>
          <t>COMMITMENT CHARGES</t>
        </is>
      </c>
      <c r="C53" s="1551" t="n"/>
      <c r="D53" s="1497">
        <f>+C53*9%</f>
        <v/>
      </c>
      <c r="E53" s="1497">
        <f>+D53</f>
        <v/>
      </c>
      <c r="F53" s="1497" t="n">
        <v>0</v>
      </c>
      <c r="G53" s="1510" t="n"/>
      <c r="H53" s="1510" t="n"/>
      <c r="I53" s="32" t="n"/>
      <c r="J53" s="1084" t="inlineStr">
        <is>
          <t xml:space="preserve"> </t>
        </is>
      </c>
      <c r="K53" s="32" t="n"/>
    </row>
    <row r="54" ht="15.75" customHeight="1">
      <c r="A54" s="161" t="n">
        <v>3825</v>
      </c>
      <c r="B54" s="1220" t="inlineStr">
        <is>
          <t>EXTERNAL AUDIT FEES</t>
        </is>
      </c>
      <c r="C54" s="1551" t="n"/>
      <c r="D54" s="1497">
        <f>+C54*9%</f>
        <v/>
      </c>
      <c r="E54" s="1497">
        <f>+D54</f>
        <v/>
      </c>
      <c r="F54" s="1497" t="n"/>
      <c r="G54" s="1510" t="n"/>
      <c r="H54" s="1510" t="n"/>
      <c r="I54" s="627" t="n"/>
      <c r="K54" s="32" t="n"/>
    </row>
    <row r="55" ht="15.75" customHeight="1">
      <c r="A55" s="161" t="n">
        <v>3362</v>
      </c>
      <c r="B55" s="1220" t="inlineStr">
        <is>
          <t>FORECLOSURE CHARGES</t>
        </is>
      </c>
      <c r="C55" s="1551" t="n"/>
      <c r="D55" s="1497">
        <f>+C55*9%</f>
        <v/>
      </c>
      <c r="E55" s="1497">
        <f>+D55</f>
        <v/>
      </c>
      <c r="F55" s="1497" t="n"/>
      <c r="G55" s="1510" t="n"/>
      <c r="H55" s="1510" t="n"/>
      <c r="I55" s="32" t="n"/>
      <c r="K55" s="32" t="n"/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32" t="n"/>
      <c r="K56" s="32" t="n"/>
    </row>
    <row r="57" ht="15.75" customHeight="1">
      <c r="A57" s="162" t="inlineStr">
        <is>
          <t>GL</t>
        </is>
      </c>
      <c r="B57" s="1220" t="n"/>
      <c r="C57" s="1551" t="n"/>
      <c r="D57" s="1497" t="n">
        <v>0</v>
      </c>
      <c r="E57" s="1497" t="n"/>
      <c r="F57" s="1497" t="n"/>
      <c r="G57" s="1510" t="n"/>
      <c r="H57" s="1510" t="n"/>
      <c r="I57" s="32" t="n"/>
      <c r="J57" s="1084" t="inlineStr">
        <is>
          <t xml:space="preserve"> </t>
        </is>
      </c>
      <c r="K57" s="32" t="n"/>
    </row>
    <row r="58" ht="15.75" customHeight="1">
      <c r="A58" s="161" t="inlineStr">
        <is>
          <t>1720</t>
        </is>
      </c>
      <c r="B58" s="1220" t="inlineStr">
        <is>
          <t>COMM. RECD. BUT NOT ACCRUED</t>
        </is>
      </c>
      <c r="C58" s="1551" t="n"/>
      <c r="D58" s="1497">
        <f>+C58*9%</f>
        <v/>
      </c>
      <c r="E58" s="1497">
        <f>+D58</f>
        <v/>
      </c>
      <c r="F58" s="1497" t="n">
        <v>0</v>
      </c>
      <c r="G58" s="1510" t="n"/>
      <c r="H58" s="1510" t="n"/>
      <c r="I58" s="32" t="n"/>
      <c r="J58" s="1084" t="inlineStr">
        <is>
          <t xml:space="preserve"> </t>
        </is>
      </c>
      <c r="K58" s="32" t="n"/>
    </row>
    <row r="59" ht="15.75" customHeight="1">
      <c r="A59" s="1080" t="inlineStr">
        <is>
          <t>1836</t>
        </is>
      </c>
      <c r="B59" s="1220" t="inlineStr">
        <is>
          <t>RENT ON LOCKER RECEIVED BUT</t>
        </is>
      </c>
      <c r="C59" s="1551" t="n"/>
      <c r="D59" s="1497">
        <f>+C59*9%</f>
        <v/>
      </c>
      <c r="E59" s="1497">
        <f>+D59</f>
        <v/>
      </c>
      <c r="F59" s="1497">
        <f>IF(D59&gt;0," ",C59*18%)</f>
        <v/>
      </c>
      <c r="G59" s="1510" t="n"/>
      <c r="H59" s="1510" t="n"/>
      <c r="I59" s="32" t="n"/>
    </row>
    <row r="60" ht="15.75" customHeight="1">
      <c r="A60" s="163" t="inlineStr">
        <is>
          <t xml:space="preserve"> </t>
        </is>
      </c>
      <c r="B60" s="1220" t="inlineStr">
        <is>
          <t>NOT ACCRUED</t>
        </is>
      </c>
      <c r="C60" s="1551" t="n"/>
      <c r="D60" s="1497" t="n"/>
      <c r="E60" s="1497" t="n"/>
      <c r="F60" s="1497" t="n"/>
      <c r="G60" s="1510" t="n"/>
      <c r="H60" s="1510" t="n"/>
      <c r="I60" s="32" t="n"/>
      <c r="K60" s="32" t="n"/>
    </row>
    <row r="61" ht="16.5" customHeight="1" thickBot="1">
      <c r="A61" s="432" t="n"/>
      <c r="B61" s="433" t="inlineStr">
        <is>
          <t>SALE OF ASSET ( CASH COUNTING MACHINE)</t>
        </is>
      </c>
      <c r="C61" s="1551" t="n"/>
      <c r="D61" s="1497">
        <f>+C61*9%</f>
        <v/>
      </c>
      <c r="E61" s="1500">
        <f>+D61</f>
        <v/>
      </c>
      <c r="F61" s="1500" t="n"/>
      <c r="G61" s="1510" t="n"/>
      <c r="H61" s="1510" t="n"/>
      <c r="I61" s="32" t="n"/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91">
        <f>SUM(F9:F61)</f>
        <v/>
      </c>
      <c r="G62" s="983">
        <f>+SUM(G9:G60)</f>
        <v/>
      </c>
      <c r="H62" s="984">
        <f>+SUM(H9:H60)</f>
        <v/>
      </c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3" t="inlineStr">
        <is>
          <t>PL 3750</t>
        </is>
      </c>
      <c r="B64" s="1243" t="inlineStr">
        <is>
          <t>LAW CHARGES (EXCLUSIVE)</t>
        </is>
      </c>
      <c r="C64" s="1497" t="n"/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3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>SUMMARY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 t="n">
        <v>0</v>
      </c>
    </row>
    <row r="72" ht="15.75" customHeight="1">
      <c r="A72" s="1243" t="inlineStr">
        <is>
          <t>(2) REFUND GIVEN BUT GST REFUND NOT GIVEN</t>
        </is>
      </c>
      <c r="B72" s="1243" t="n"/>
      <c r="C72" s="1243">
        <f>+G62</f>
        <v/>
      </c>
      <c r="D72" s="106">
        <f>+C72*0.09</f>
        <v/>
      </c>
      <c r="E72" s="106">
        <f>+C72*0.09</f>
        <v/>
      </c>
      <c r="F72" s="106" t="n">
        <v>0</v>
      </c>
    </row>
    <row r="73" ht="15.75" customHeight="1">
      <c r="A73" s="1243" t="n"/>
      <c r="B73" s="1243" t="n"/>
      <c r="C73" s="1243" t="n"/>
      <c r="D73" s="105">
        <f>SUM(D71:D72)</f>
        <v/>
      </c>
      <c r="E73" s="105">
        <f>+D73</f>
        <v/>
      </c>
      <c r="F73" s="105">
        <f>SUM(F71:F72)</f>
        <v/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>
        <v>82565.32000000001</v>
      </c>
      <c r="E74" s="108">
        <f>+D74</f>
        <v/>
      </c>
      <c r="F74" s="108" t="n">
        <v>0</v>
      </c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108">
        <f>+D73-D74</f>
        <v/>
      </c>
      <c r="E75" s="800">
        <f>+E73-E74</f>
        <v/>
      </c>
      <c r="F75" s="108">
        <f>IF(F71&gt;F74,F71,F74)</f>
        <v/>
      </c>
      <c r="G75" s="1091">
        <f>+D75/9%</f>
        <v/>
      </c>
      <c r="H75" s="1084" t="n"/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421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2935.71</v>
      </c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+C96</f>
        <v/>
      </c>
      <c r="E82" s="105">
        <f>D82</f>
        <v/>
      </c>
      <c r="F82" s="152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4">
      <c r="A84" s="135" t="n"/>
      <c r="H84" s="1084" t="n"/>
    </row>
    <row r="85">
      <c r="B85" s="145" t="inlineStr">
        <is>
          <t>OUR GST NO. NOT REFLECTED ON CENVAT BILLS &amp; BLOCKED CREDIT</t>
        </is>
      </c>
      <c r="C85" s="112" t="n"/>
      <c r="D85" s="112" t="n"/>
      <c r="E85" s="112" t="n"/>
      <c r="H85" s="1084" t="n"/>
    </row>
    <row r="86">
      <c r="B86" s="145" t="n"/>
      <c r="C86" s="145" t="inlineStr">
        <is>
          <t>CGST</t>
        </is>
      </c>
      <c r="D86" s="145" t="inlineStr">
        <is>
          <t>SGST</t>
        </is>
      </c>
      <c r="E86" s="145" t="inlineStr">
        <is>
          <t>IGST</t>
        </is>
      </c>
      <c r="H86" s="1084" t="n"/>
    </row>
    <row r="87">
      <c r="A87" s="1084" t="inlineStr">
        <is>
          <t>GSTIN MISSING</t>
        </is>
      </c>
      <c r="B87" s="1084" t="inlineStr">
        <is>
          <t>BSNL</t>
        </is>
      </c>
      <c r="C87" s="1084" t="n">
        <v>0</v>
      </c>
      <c r="D87" s="1084">
        <f>+C87</f>
        <v/>
      </c>
      <c r="E87" s="1084" t="n">
        <v>0</v>
      </c>
      <c r="G87" s="32" t="n"/>
      <c r="H87" s="1084" t="n"/>
    </row>
    <row r="88">
      <c r="B88" s="1084" t="inlineStr">
        <is>
          <t>BSNL</t>
        </is>
      </c>
      <c r="C88" s="1084" t="n">
        <v>0</v>
      </c>
      <c r="D88" s="1084">
        <f>+C88</f>
        <v/>
      </c>
      <c r="G88" s="32" t="n"/>
      <c r="H88" s="1084" t="n"/>
    </row>
    <row r="89">
      <c r="B89" s="1084" t="inlineStr">
        <is>
          <t>DALIA MOTOR PVT.LTD.</t>
        </is>
      </c>
      <c r="C89" s="1084" t="n">
        <v>0</v>
      </c>
      <c r="D89" s="1084">
        <f>+C89</f>
        <v/>
      </c>
      <c r="G89" s="32" t="n"/>
      <c r="H89" s="1084" t="n"/>
    </row>
    <row r="90">
      <c r="B90" s="1084" t="inlineStr">
        <is>
          <t>DALIA MOTOR PVT.LTD.</t>
        </is>
      </c>
      <c r="C90" s="1084" t="n">
        <v>0</v>
      </c>
      <c r="D90" s="1084">
        <f>+C90</f>
        <v/>
      </c>
      <c r="G90" s="32" t="n"/>
      <c r="H90" s="1084" t="n"/>
    </row>
    <row r="91">
      <c r="B91" s="1084" t="inlineStr">
        <is>
          <t>DALIA MOTOR PVT.LTD.</t>
        </is>
      </c>
      <c r="C91" s="1084" t="n">
        <v>0</v>
      </c>
      <c r="D91" s="1084">
        <f>+C91</f>
        <v/>
      </c>
      <c r="G91" s="32" t="n"/>
      <c r="H91" s="1084" t="n"/>
    </row>
    <row r="92">
      <c r="A92" s="1084" t="inlineStr">
        <is>
          <t>GSTIN MISSING</t>
        </is>
      </c>
      <c r="B92" s="1084" t="inlineStr">
        <is>
          <t>TRISHUL MARKETING</t>
        </is>
      </c>
      <c r="C92" s="1084" t="n">
        <v>0</v>
      </c>
      <c r="D92" s="1084">
        <f>+C92</f>
        <v/>
      </c>
      <c r="G92" s="32" t="n"/>
      <c r="H92" s="1084" t="n"/>
    </row>
    <row r="93">
      <c r="B93" s="1084" t="inlineStr">
        <is>
          <t>VENUS MOTORS</t>
        </is>
      </c>
      <c r="C93" s="1084" t="n">
        <v>0</v>
      </c>
      <c r="D93" s="1084">
        <f>+C93</f>
        <v/>
      </c>
      <c r="G93" s="32" t="n"/>
      <c r="H93" s="1084" t="n"/>
    </row>
    <row r="94">
      <c r="B94" s="1084" t="inlineStr">
        <is>
          <t>VENUS MOTORS</t>
        </is>
      </c>
      <c r="C94" s="1084" t="n">
        <v>0</v>
      </c>
      <c r="D94" s="1084">
        <f>+C94</f>
        <v/>
      </c>
      <c r="G94" s="32" t="n"/>
      <c r="H94" s="1084" t="n"/>
    </row>
    <row r="95">
      <c r="A95" s="1084" t="inlineStr">
        <is>
          <t>GSTIN MISSING</t>
        </is>
      </c>
      <c r="B95" s="1084" t="inlineStr">
        <is>
          <t>UNION BANK OF INDIA</t>
        </is>
      </c>
      <c r="C95" s="1084" t="n">
        <v>0</v>
      </c>
      <c r="D95" s="1084">
        <f>+C95</f>
        <v/>
      </c>
      <c r="E95" s="1084" t="n">
        <v>0</v>
      </c>
      <c r="G95" s="32" t="n"/>
      <c r="H95" s="1084" t="n"/>
    </row>
    <row r="96">
      <c r="B96" s="141" t="inlineStr">
        <is>
          <t>TOTAL</t>
        </is>
      </c>
      <c r="C96" s="1592">
        <f>+SUM(C87:C95)</f>
        <v/>
      </c>
      <c r="D96" s="1592">
        <f>+SUM(D87:D95)</f>
        <v/>
      </c>
      <c r="E96" s="1592">
        <f>+SUM(E87:E95)</f>
        <v/>
      </c>
      <c r="G96" s="32">
        <f>+C96/2</f>
        <v/>
      </c>
      <c r="H96" s="32">
        <f>+D96/2</f>
        <v/>
      </c>
    </row>
    <row r="97">
      <c r="B97" s="140" t="n"/>
      <c r="C97" s="140" t="n"/>
      <c r="D97" s="140" t="n"/>
      <c r="E97" s="140" t="n"/>
      <c r="H97" s="1084" t="n"/>
    </row>
    <row r="105">
      <c r="A105" s="1323" t="n"/>
    </row>
  </sheetData>
  <mergeCells count="28">
    <mergeCell ref="A80:C80"/>
    <mergeCell ref="A66:F66"/>
    <mergeCell ref="A75:C75"/>
    <mergeCell ref="A74:C74"/>
    <mergeCell ref="E78:E79"/>
    <mergeCell ref="G7:G8"/>
    <mergeCell ref="E69:E70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A105:H105"/>
    <mergeCell ref="E7:E8"/>
    <mergeCell ref="A83:C83"/>
    <mergeCell ref="A82:C82"/>
    <mergeCell ref="A1:F1"/>
    <mergeCell ref="D69:D70"/>
    <mergeCell ref="B7:B8"/>
    <mergeCell ref="F78:F79"/>
    <mergeCell ref="F69:F70"/>
    <mergeCell ref="F7:F8"/>
  </mergeCells>
  <conditionalFormatting sqref="A9:B21 A98:XFD104 A106:XFD1048576 G75 G77:XFD79 G81:XFD97 H75:XFD76 I105:XFD105">
    <cfRule type="containsText" priority="38" operator="containsText" dxfId="0" text="LESS COLLECTED">
      <formula>NOT(ISERROR(SEARCH("LESS COLLECTED",A9)))</formula>
    </cfRule>
  </conditionalFormatting>
  <conditionalFormatting sqref="A22:B34">
    <cfRule type="containsText" priority="51" operator="containsText" dxfId="0" text="LESS COLLECTED">
      <formula>NOT(ISERROR(SEARCH("LESS COLLECTED",A22)))</formula>
    </cfRule>
  </conditionalFormatting>
  <conditionalFormatting sqref="A28:B32">
    <cfRule type="containsText" priority="50" operator="containsText" dxfId="1" text="EXCESS COLLECTED">
      <formula>NOT(ISERROR(SEARCH("EXCESS COLLECTED",A28)))</formula>
    </cfRule>
  </conditionalFormatting>
  <conditionalFormatting sqref="A35:B56">
    <cfRule type="containsText" priority="2" operator="containsText" dxfId="0" text="LESS COLLECTED">
      <formula>NOT(ISERROR(SEARCH("LESS COLLECTED",A35)))</formula>
    </cfRule>
  </conditionalFormatting>
  <conditionalFormatting sqref="A47:B56">
    <cfRule type="containsText" priority="1" operator="containsText" dxfId="1" text="EXCESS COLLECTED">
      <formula>NOT(ISERROR(SEARCH("EXCESS COLLECTED",A47)))</formula>
    </cfRule>
  </conditionalFormatting>
  <conditionalFormatting sqref="A57:B61">
    <cfRule type="containsText" priority="55" operator="containsText" dxfId="0" text="LESS COLLECTED">
      <formula>NOT(ISERROR(SEARCH("LESS COLLECTED",A57)))</formula>
    </cfRule>
  </conditionalFormatting>
  <conditionalFormatting sqref="A62:XFD62 A63:F86 A97:B97 F97 G84:I97">
    <cfRule type="containsText" priority="130" operator="containsText" dxfId="0" text="LESS COLLECTED">
      <formula>NOT(ISERROR(SEARCH("LESS COLLECTED",A62)))</formula>
    </cfRule>
  </conditionalFormatting>
  <conditionalFormatting sqref="A85:F96">
    <cfRule type="containsText" priority="24" operator="containsText" dxfId="1" text="EXCESS COLLECTED">
      <formula>NOT(ISERROR(SEARCH("EXCESS COLLECTED",A85)))</formula>
    </cfRule>
  </conditionalFormatting>
  <conditionalFormatting sqref="A1:XFD3 A4 A5:XFD7 A8:F8 A105 G4:XFD4 I8:XFD58 I59 I60:XFD61 I63:XFD63 I80:XFD80 J74:XFD74 L59:XFD59">
    <cfRule type="containsText" priority="141" operator="containsText" dxfId="0" text="LESS COLLECTED">
      <formula>NOT(ISERROR(SEARCH("LESS COLLECTED",A1)))</formula>
    </cfRule>
  </conditionalFormatting>
  <conditionalFormatting sqref="B61">
    <cfRule type="containsText" priority="54" operator="containsText" dxfId="1" text="EXCESS COLLECTED">
      <formula>NOT(ISERROR(SEARCH("EXCESS COLLECTED",B61)))</formula>
    </cfRule>
  </conditionalFormatting>
  <conditionalFormatting sqref="C9:C61">
    <cfRule type="containsText" priority="43" operator="containsText" dxfId="0" text="LESS COLLECTED">
      <formula>NOT(ISERROR(SEARCH("LESS COLLECTED",C9)))</formula>
    </cfRule>
  </conditionalFormatting>
  <conditionalFormatting sqref="C9:C62">
    <cfRule type="containsText" priority="42" operator="containsText" dxfId="1" text="EXCESS COLLECTED">
      <formula>NOT(ISERROR(SEARCH("EXCESS COLLECTED",C9)))</formula>
    </cfRule>
  </conditionalFormatting>
  <conditionalFormatting sqref="D51">
    <cfRule type="containsText" priority="10" operator="containsText" dxfId="0" text="LESS COLLECTED">
      <formula>NOT(ISERROR(SEARCH("LESS COLLECTED",D51)))</formula>
    </cfRule>
  </conditionalFormatting>
  <conditionalFormatting sqref="D56:F56">
    <cfRule type="containsText" priority="3" operator="containsText" dxfId="1" text="EXCESS COLLECTED">
      <formula>NOT(ISERROR(SEARCH("EXCESS COLLECTED",D56)))</formula>
    </cfRule>
  </conditionalFormatting>
  <conditionalFormatting sqref="D9:H35">
    <cfRule type="containsText" priority="13" operator="containsText" dxfId="0" text="LESS COLLECTED">
      <formula>NOT(ISERROR(SEARCH("LESS COLLECTED",D9)))</formula>
    </cfRule>
  </conditionalFormatting>
  <conditionalFormatting sqref="D36:H50 D52:H55">
    <cfRule type="containsText" priority="37" operator="containsText" dxfId="0" text="LESS COLLECTED">
      <formula>NOT(ISERROR(SEARCH("LESS COLLECTED",D36)))</formula>
    </cfRule>
  </conditionalFormatting>
  <conditionalFormatting sqref="D56:H61">
    <cfRule type="containsText" priority="6" operator="containsText" dxfId="0" text="LESS COLLECTED">
      <formula>NOT(ISERROR(SEARCH("LESS COLLECTED",D56)))</formula>
    </cfRule>
  </conditionalFormatting>
  <conditionalFormatting sqref="E48:F55">
    <cfRule type="containsText" priority="17" operator="containsText" dxfId="1" text="EXCESS COLLECTED">
      <formula>NOT(ISERROR(SEARCH("EXCESS COLLECTED",E48)))</formula>
    </cfRule>
  </conditionalFormatting>
  <conditionalFormatting sqref="E53:F55">
    <cfRule type="containsText" priority="35" operator="containsText" dxfId="0" text="LESS COLLECTED">
      <formula>NOT(ISERROR(SEARCH("LESS COLLECTED",E53)))</formula>
    </cfRule>
  </conditionalFormatting>
  <conditionalFormatting sqref="E51:H51">
    <cfRule type="containsText" priority="18" operator="containsText" dxfId="0" text="LESS COLLECTED">
      <formula>NOT(ISERROR(SEARCH("LESS COLLECTED",E51)))</formula>
    </cfRule>
  </conditionalFormatting>
  <conditionalFormatting sqref="A72:F73 A97:B97 D69:E70 F97 G84:I97">
    <cfRule type="containsText" priority="129" operator="containsText" dxfId="1" text="EXCESS COLLECTED">
      <formula>NOT(ISERROR(SEARCH("EXCESS COLLECTED",A69)))</formula>
    </cfRule>
  </conditionalFormatting>
  <pageMargins left="1.155511811" right="1.118110236" top="0.5" bottom="0.5" header="0.31496062992126" footer="0.31496062992126"/>
  <pageSetup orientation="portrait" paperSize="9" scale="50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O98"/>
  <sheetViews>
    <sheetView topLeftCell="A82" workbookViewId="0">
      <selection activeCell="H79" sqref="H79"/>
    </sheetView>
  </sheetViews>
  <sheetFormatPr baseColWidth="8" defaultColWidth="9.140625" defaultRowHeight="15"/>
  <cols>
    <col width="11.42578125" customWidth="1" style="1084" min="1" max="1"/>
    <col width="41.28515625" customWidth="1" style="1084" min="2" max="2"/>
    <col width="17.5703125" customWidth="1" style="1084" min="3" max="3"/>
    <col width="20.28515625" customWidth="1" style="1084" min="4" max="4"/>
    <col width="19.7109375" customWidth="1" style="1084" min="5" max="5"/>
    <col width="14.85546875" customWidth="1" style="1084" min="6" max="6"/>
    <col width="15" customWidth="1" style="1084" min="7" max="7"/>
    <col width="12.5703125" customWidth="1" style="32" min="8" max="8"/>
    <col width="9.140625" customWidth="1" style="1084" min="9" max="9"/>
    <col width="9.57031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NEW CLOTH MARKET BRANCH</t>
        </is>
      </c>
    </row>
    <row r="4" ht="15.75" customHeight="1">
      <c r="A4" s="1214" t="inlineStr">
        <is>
          <t>BRANCH NAME : 03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  <c r="J10" s="1084" t="inlineStr">
        <is>
          <t xml:space="preserve"> </t>
        </is>
      </c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 t="n"/>
      <c r="G11" s="1510" t="n"/>
      <c r="H11" s="1510" t="n"/>
      <c r="I11" s="1510" t="n">
        <v>0</v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497" t="n"/>
      <c r="D14" s="1497">
        <f>+C14*9%</f>
        <v/>
      </c>
      <c r="E14" s="1497">
        <f>+D14</f>
        <v/>
      </c>
      <c r="F14" s="1497" t="n">
        <v>0</v>
      </c>
      <c r="G14" s="1510" t="n"/>
      <c r="H14" s="1510" t="n"/>
      <c r="I14" s="1510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531">
        <f>+C15*9%</f>
        <v/>
      </c>
      <c r="E15" s="1531">
        <f>+D15</f>
        <v/>
      </c>
      <c r="F15" s="1497" t="n">
        <v>0</v>
      </c>
      <c r="G15" s="1510" t="n"/>
      <c r="H15" s="1510" t="n"/>
      <c r="I15" s="1510" t="n">
        <v>0</v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531">
        <f>+C16*9%</f>
        <v/>
      </c>
      <c r="E16" s="1531">
        <f>+D16</f>
        <v/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531">
        <f>+C17*9%</f>
        <v/>
      </c>
      <c r="E17" s="1531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531">
        <f>+C18*9%</f>
        <v/>
      </c>
      <c r="E18" s="1531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531">
        <f>+C19*9%</f>
        <v/>
      </c>
      <c r="E19" s="1531">
        <f>+D19</f>
        <v/>
      </c>
      <c r="F19" s="1497" t="n">
        <v>0</v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531">
        <f>+C20*9%</f>
        <v/>
      </c>
      <c r="E20" s="1531">
        <f>+D20</f>
        <v/>
      </c>
      <c r="F20" s="1497" t="n"/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531">
        <f>+C21*9%</f>
        <v/>
      </c>
      <c r="E21" s="1531">
        <f>+D21</f>
        <v/>
      </c>
      <c r="F21" s="1497" t="n"/>
      <c r="G21" s="1510" t="n"/>
      <c r="H21" s="1510" t="n"/>
      <c r="I21" s="1510" t="n">
        <v>0</v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531">
        <f>+C22*9%</f>
        <v/>
      </c>
      <c r="E22" s="1531">
        <f>+D22</f>
        <v/>
      </c>
      <c r="F22" s="1497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531">
        <f>+C23*9%</f>
        <v/>
      </c>
      <c r="E23" s="1531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531">
        <f>+C24*9%</f>
        <v/>
      </c>
      <c r="E24" s="1531">
        <f>+D24</f>
        <v/>
      </c>
      <c r="F24" s="1497" t="inlineStr">
        <is>
          <t xml:space="preserve"> </t>
        </is>
      </c>
      <c r="G24" s="1510" t="n"/>
      <c r="H24" s="1510" t="n"/>
      <c r="I24" s="1510" t="n">
        <v>0</v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531">
        <f>+C25*9%</f>
        <v/>
      </c>
      <c r="E25" s="1531">
        <f>+D25</f>
        <v/>
      </c>
      <c r="F25" s="1497" t="n"/>
      <c r="G25" s="1510" t="n"/>
      <c r="H25" s="1510" t="n"/>
      <c r="I25" s="1510" t="n">
        <v>0</v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531">
        <f>+C26*9%</f>
        <v/>
      </c>
      <c r="E26" s="1531">
        <f>+D26</f>
        <v/>
      </c>
      <c r="F26" s="1497" t="n"/>
      <c r="G26" s="1510" t="n"/>
      <c r="H26" s="1510" t="n"/>
      <c r="I26" s="1510" t="n">
        <v>0</v>
      </c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531">
        <f>+C27*9%</f>
        <v/>
      </c>
      <c r="E27" s="1531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37" t="n">
        <v>3291</v>
      </c>
      <c r="B28" s="33" t="inlineStr">
        <is>
          <t>CIBIL CHARGES</t>
        </is>
      </c>
      <c r="C28" s="1551" t="n"/>
      <c r="D28" s="1531">
        <f>+C28*9%</f>
        <v/>
      </c>
      <c r="E28" s="1531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531">
        <f>+C29*9%</f>
        <v/>
      </c>
      <c r="E29" s="1531">
        <f>+D29</f>
        <v/>
      </c>
      <c r="F29" s="1497">
        <f>IF(D29&gt;0," ",C29*18%)</f>
        <v/>
      </c>
      <c r="G29" s="1510" t="n"/>
      <c r="H29" s="1510" t="n"/>
      <c r="I29" s="1510" t="n">
        <v>0</v>
      </c>
      <c r="J29" s="32" t="n"/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531">
        <f>+C30*9%</f>
        <v/>
      </c>
      <c r="E30" s="1531">
        <f>+D30</f>
        <v/>
      </c>
      <c r="F30" s="1497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531">
        <f>+C31*9%</f>
        <v/>
      </c>
      <c r="E31" s="1531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531">
        <f>+C32*9%</f>
        <v/>
      </c>
      <c r="E32" s="1531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51" t="n"/>
      <c r="D33" s="1531">
        <f>+C33*9%</f>
        <v/>
      </c>
      <c r="E33" s="1531">
        <f>+D33</f>
        <v/>
      </c>
      <c r="F33" s="1497" t="n">
        <v>0</v>
      </c>
      <c r="G33" s="1510" t="n"/>
      <c r="H33" s="1510" t="n"/>
      <c r="I33" s="1510" t="n">
        <v>0</v>
      </c>
    </row>
    <row r="34" ht="15.75" customHeight="1">
      <c r="A34" s="1187" t="inlineStr">
        <is>
          <t>3301</t>
        </is>
      </c>
      <c r="B34" s="1220" t="inlineStr">
        <is>
          <t>INOPERATIVE CHARGES</t>
        </is>
      </c>
      <c r="C34" s="1551" t="n"/>
      <c r="D34" s="1531">
        <f>+C34*9%</f>
        <v/>
      </c>
      <c r="E34" s="1531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531">
        <f>+C35*9%</f>
        <v/>
      </c>
      <c r="E35" s="1531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531">
        <f>+C36*9%</f>
        <v/>
      </c>
      <c r="E36" s="1531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6.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531">
        <f>+C37*9%</f>
        <v/>
      </c>
      <c r="E37" s="1531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187" t="inlineStr">
        <is>
          <t>3310</t>
        </is>
      </c>
      <c r="B38" s="1220" t="inlineStr">
        <is>
          <t>MIS. INCOME</t>
        </is>
      </c>
      <c r="C38" s="1551" t="n"/>
      <c r="D38" s="1531">
        <f>+C38*9%</f>
        <v/>
      </c>
      <c r="E38" s="1531">
        <f>+D38</f>
        <v/>
      </c>
      <c r="F38" s="1497">
        <f>IF(D38&gt;0," ",C38*18%)</f>
        <v/>
      </c>
      <c r="G38" s="1510" t="n"/>
      <c r="H38" s="1510" t="n"/>
      <c r="I38" s="1510" t="n">
        <v>0</v>
      </c>
      <c r="J38" s="32" t="n"/>
    </row>
    <row r="39" ht="15.75" customHeight="1">
      <c r="A39" s="1187" t="inlineStr">
        <is>
          <t>3311</t>
        </is>
      </c>
      <c r="B39" s="1220" t="inlineStr">
        <is>
          <t>I/W CHQ. RET. CHARGES</t>
        </is>
      </c>
      <c r="C39" s="1551" t="n"/>
      <c r="D39" s="1531">
        <f>+C39*9%</f>
        <v/>
      </c>
      <c r="E39" s="1531">
        <f>+D39</f>
        <v/>
      </c>
      <c r="F39" s="1497">
        <f>IF(D39&gt;0," ",C39*18%)</f>
        <v/>
      </c>
      <c r="G39" s="1510" t="n"/>
      <c r="H39" s="1510" t="n"/>
      <c r="I39" s="1510" t="n">
        <v>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531">
        <f>+C40*9%</f>
        <v/>
      </c>
      <c r="E40" s="1531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51" t="n"/>
      <c r="D41" s="1531">
        <f>+C41*9%</f>
        <v/>
      </c>
      <c r="E41" s="1531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531">
        <f>+C42*9%</f>
        <v/>
      </c>
      <c r="E42" s="1531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531">
        <f>+C43*9%</f>
        <v/>
      </c>
      <c r="E43" s="1531">
        <f>+D43</f>
        <v/>
      </c>
      <c r="F43" s="1497" t="n">
        <v>0</v>
      </c>
      <c r="G43" s="1510" t="n"/>
      <c r="H43" s="1510" t="n"/>
      <c r="I43" s="1510" t="n">
        <v>0</v>
      </c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531">
        <f>+C44*9%</f>
        <v/>
      </c>
      <c r="E44" s="1531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187" t="inlineStr">
        <is>
          <t>3317</t>
        </is>
      </c>
      <c r="B45" s="1220" t="inlineStr">
        <is>
          <t>THE P&amp;T CHARGES FOR LC/BG</t>
        </is>
      </c>
      <c r="C45" s="1551" t="n"/>
      <c r="D45" s="1531">
        <f>+C45*9%</f>
        <v/>
      </c>
      <c r="E45" s="1531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531">
        <f>+C46*9%</f>
        <v/>
      </c>
      <c r="E46" s="1531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187" t="inlineStr">
        <is>
          <t>3320</t>
        </is>
      </c>
      <c r="B47" s="1220" t="inlineStr">
        <is>
          <t>RENT ON LOCKER</t>
        </is>
      </c>
      <c r="C47" s="1551" t="n"/>
      <c r="D47" s="1531">
        <f>+C47*9%</f>
        <v/>
      </c>
      <c r="E47" s="1531">
        <f>+D47</f>
        <v/>
      </c>
      <c r="F47" s="1497">
        <f>IF(D47&gt;0," ",C47*18%)</f>
        <v/>
      </c>
      <c r="G47" s="1510" t="n"/>
      <c r="H47" s="1510" t="n"/>
      <c r="I47" s="1510" t="n">
        <v>0</v>
      </c>
    </row>
    <row r="48" ht="15.75" customHeight="1">
      <c r="A48" s="1187" t="inlineStr">
        <is>
          <t>3321</t>
        </is>
      </c>
      <c r="B48" s="1220" t="inlineStr">
        <is>
          <t>ADHOC LIMIT CHARGES</t>
        </is>
      </c>
      <c r="C48" s="1551" t="n"/>
      <c r="D48" s="1531">
        <f>+C48*9%</f>
        <v/>
      </c>
      <c r="E48" s="1531">
        <f>+D48</f>
        <v/>
      </c>
      <c r="F48" s="1497">
        <f>IF(D48&gt;0," ",C48*18%)</f>
        <v/>
      </c>
      <c r="G48" s="1510" t="n"/>
      <c r="H48" s="1510" t="n"/>
      <c r="I48" s="1510" t="n">
        <v>0</v>
      </c>
    </row>
    <row r="49" ht="15.75" customHeight="1">
      <c r="A49" s="1187" t="inlineStr">
        <is>
          <t>3322</t>
        </is>
      </c>
      <c r="B49" s="1220" t="inlineStr">
        <is>
          <t>INCOME FROM SALE OF OLD NEWS PAPERS</t>
        </is>
      </c>
      <c r="C49" s="1551" t="n"/>
      <c r="D49" s="1531">
        <f>+C49*9%</f>
        <v/>
      </c>
      <c r="E49" s="1531">
        <f>+D49</f>
        <v/>
      </c>
      <c r="F49" s="1497" t="n"/>
      <c r="G49" s="1510" t="n"/>
      <c r="H49" s="1510" t="n"/>
      <c r="I49" s="1510" t="n">
        <v>0</v>
      </c>
    </row>
    <row r="50" ht="15.75" customHeight="1">
      <c r="A50" s="161" t="n">
        <v>3324</v>
      </c>
      <c r="B50" s="1220" t="inlineStr">
        <is>
          <t>PENALTY ON OVERDUE LOCKER RENT</t>
        </is>
      </c>
      <c r="C50" s="1551" t="n"/>
      <c r="D50" s="1531">
        <f>+C50*9%</f>
        <v/>
      </c>
      <c r="E50" s="1531">
        <f>+D50</f>
        <v/>
      </c>
      <c r="F50" s="1497" t="n"/>
      <c r="G50" s="1510" t="n"/>
      <c r="H50" s="1510" t="n"/>
      <c r="I50" s="1510" t="n">
        <v>0</v>
      </c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531">
        <f>+C51*2.5%</f>
        <v/>
      </c>
      <c r="E51" s="1531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5.75" customHeight="1">
      <c r="A52" s="1187" t="inlineStr">
        <is>
          <t>3391</t>
        </is>
      </c>
      <c r="B52" s="1220" t="inlineStr">
        <is>
          <t>SMS CHARGES INCOME RECEIVED</t>
        </is>
      </c>
      <c r="C52" s="1551" t="n"/>
      <c r="D52" s="1531">
        <f>+C52*9%</f>
        <v/>
      </c>
      <c r="E52" s="1531">
        <f>+D52</f>
        <v/>
      </c>
      <c r="F52" s="1497" t="n"/>
      <c r="G52" s="1510" t="n"/>
      <c r="H52" s="1510" t="n"/>
      <c r="I52" s="1510" t="n">
        <v>0</v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531">
        <f>+C53*9%</f>
        <v/>
      </c>
      <c r="E53" s="1531">
        <f>+D53</f>
        <v/>
      </c>
      <c r="F53" s="1497" t="n"/>
      <c r="G53" s="1510" t="n"/>
      <c r="H53" s="1510" t="n"/>
      <c r="I53" s="1510" t="n">
        <v>0</v>
      </c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531">
        <f>+C54*9%</f>
        <v/>
      </c>
      <c r="E54" s="1531">
        <f>+D54</f>
        <v/>
      </c>
      <c r="F54" s="1497" t="n"/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531">
        <f>+C55*9%</f>
        <v/>
      </c>
      <c r="E55" s="1531">
        <f>+D55</f>
        <v/>
      </c>
      <c r="F55" s="1497" t="n"/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5" t="inlineStr">
        <is>
          <t>GL</t>
        </is>
      </c>
      <c r="B57" s="1220" t="n"/>
      <c r="C57" s="1551" t="n"/>
      <c r="D57" s="1531" t="n"/>
      <c r="E57" s="1531" t="n"/>
      <c r="F57" s="1497" t="n"/>
      <c r="G57" s="1510" t="n"/>
      <c r="H57" s="1510" t="n"/>
      <c r="I57" s="1510" t="n">
        <v>0</v>
      </c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531">
        <f>+C58*9%</f>
        <v/>
      </c>
      <c r="E58" s="1531">
        <f>+D58</f>
        <v/>
      </c>
      <c r="F58" s="1497" t="n">
        <v>0</v>
      </c>
      <c r="G58" s="1510" t="n"/>
      <c r="H58" s="1510" t="n"/>
      <c r="I58" s="1510" t="n">
        <v>0</v>
      </c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531">
        <f>+C59*9%</f>
        <v/>
      </c>
      <c r="E59" s="1531">
        <f>+D59</f>
        <v/>
      </c>
      <c r="F59" s="1497">
        <f>IF(D59&gt;0," ",C59*18%)</f>
        <v/>
      </c>
      <c r="G59" s="1510" t="n"/>
      <c r="H59" s="1510" t="n"/>
      <c r="I59" s="1510" t="n">
        <v>0</v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531" t="n"/>
      <c r="E60" s="1531" t="n"/>
      <c r="F60" s="1497" t="n"/>
      <c r="G60" s="1510" t="n"/>
      <c r="H60" s="1510" t="n"/>
      <c r="I60" s="1510" t="n">
        <v>0</v>
      </c>
    </row>
    <row r="61" ht="15.75" customHeight="1">
      <c r="A61" s="435" t="n"/>
      <c r="B61" s="433" t="inlineStr">
        <is>
          <t>SALE OF ASSET ( CASH COUNTING MACHINE)</t>
        </is>
      </c>
      <c r="C61" s="1551" t="n"/>
      <c r="D61" s="1531">
        <f>+C61*9%</f>
        <v/>
      </c>
      <c r="E61" s="1593">
        <f>+D61</f>
        <v/>
      </c>
      <c r="F61" s="1500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SUM(G9:G59)</f>
        <v/>
      </c>
      <c r="H62" s="1501">
        <f>SUM(H9:H59)</f>
        <v/>
      </c>
      <c r="I62" s="1501">
        <f>SUM(I9:I59)</f>
        <v/>
      </c>
    </row>
    <row r="63" ht="16.5" customHeight="1" thickTop="1">
      <c r="A63" s="9" t="inlineStr">
        <is>
          <t>RCM</t>
        </is>
      </c>
      <c r="B63" s="8" t="n"/>
      <c r="C63" s="1502" t="n"/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  <c r="K64" s="1084" t="inlineStr">
        <is>
          <t>.</t>
        </is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/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</row>
    <row r="69" ht="15" customHeight="1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  <c r="H71" s="32" t="inlineStr">
        <is>
          <t xml:space="preserve"> </t>
        </is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+C72*0.09</f>
        <v/>
      </c>
      <c r="F72" s="105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>
        <f>+F71+F72</f>
        <v/>
      </c>
    </row>
    <row r="74" ht="15.75" customHeight="1">
      <c r="A74" s="1220" t="inlineStr">
        <is>
          <t>(2)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800">
        <f>+D73-D74</f>
        <v/>
      </c>
      <c r="E75" s="800">
        <f>+E73-E74</f>
        <v/>
      </c>
      <c r="F75" s="108">
        <f>+F73-F74</f>
        <v/>
      </c>
      <c r="G75" s="1084">
        <f>+E75/9%</f>
        <v/>
      </c>
      <c r="H75" s="1084" t="n"/>
    </row>
    <row r="76" ht="15.75" customHeight="1">
      <c r="A76" s="3" t="n"/>
      <c r="B76" s="2" t="n"/>
      <c r="C76" s="3" t="n"/>
      <c r="D76" s="3" t="n"/>
      <c r="E76" s="3" t="n"/>
      <c r="F76" s="3" t="n"/>
    </row>
    <row r="77" ht="1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 ht="15" customHeight="1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421" t="inlineStr">
        <is>
          <t>GL 8547 CGST</t>
        </is>
      </c>
      <c r="F78" s="1343" t="inlineStr">
        <is>
          <t>GL 8548 IGST</t>
        </is>
      </c>
    </row>
    <row r="79" ht="15" customHeight="1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+C95</f>
        <v/>
      </c>
      <c r="E82" s="105">
        <f>+D82</f>
        <v/>
      </c>
      <c r="F82" s="152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SUM(D81-D82)</f>
        <v/>
      </c>
      <c r="E83" s="105">
        <f>SUM(E81-E82)</f>
        <v/>
      </c>
      <c r="F83" s="1529" t="n">
        <v>0</v>
      </c>
      <c r="G83" s="32">
        <f>+D83/2</f>
        <v/>
      </c>
      <c r="H83" s="32">
        <f>+E83/2</f>
        <v/>
      </c>
      <c r="I83" s="32">
        <f>+F83/2</f>
        <v/>
      </c>
    </row>
    <row r="85">
      <c r="A85" s="402" t="n"/>
      <c r="B85" s="402" t="n"/>
      <c r="C85" s="402" t="n"/>
      <c r="D85" s="402" t="n"/>
      <c r="E85" s="402" t="n"/>
      <c r="F85" s="402" t="n"/>
    </row>
    <row r="86">
      <c r="B86" s="145" t="inlineStr">
        <is>
          <t>OUR GST NO. NOT REFLECTED ON GST BILLS</t>
        </is>
      </c>
      <c r="C86" s="112" t="n"/>
      <c r="D86" s="112" t="n"/>
      <c r="E86" s="112" t="n"/>
    </row>
    <row r="87">
      <c r="B87" s="1233" t="inlineStr">
        <is>
          <t>PARTY NAME</t>
        </is>
      </c>
      <c r="C87" s="1233" t="inlineStr">
        <is>
          <t>CGST</t>
        </is>
      </c>
      <c r="D87" s="1233" t="inlineStr">
        <is>
          <t>SGST</t>
        </is>
      </c>
      <c r="E87" s="1233" t="inlineStr">
        <is>
          <t>IGST</t>
        </is>
      </c>
    </row>
    <row r="88">
      <c r="B88" s="1084" t="inlineStr">
        <is>
          <t>BSNL</t>
        </is>
      </c>
      <c r="D88" s="1084">
        <f>+C88</f>
        <v/>
      </c>
      <c r="E88" s="1084" t="n">
        <v>0</v>
      </c>
    </row>
    <row r="89">
      <c r="B89" s="1084" t="inlineStr">
        <is>
          <t>BSNL</t>
        </is>
      </c>
      <c r="C89" s="1084" t="n">
        <v>0</v>
      </c>
      <c r="D89" s="1084">
        <f>+C89</f>
        <v/>
      </c>
      <c r="E89" s="1084" t="n">
        <v>0</v>
      </c>
    </row>
    <row r="90">
      <c r="B90" s="1084" t="inlineStr">
        <is>
          <t>BSNL</t>
        </is>
      </c>
      <c r="C90" s="1084" t="n">
        <v>0</v>
      </c>
      <c r="D90" s="1084">
        <f>+C90</f>
        <v/>
      </c>
      <c r="E90" s="1084" t="n">
        <v>0</v>
      </c>
    </row>
    <row r="91">
      <c r="B91" s="1084" t="inlineStr">
        <is>
          <t>BSNL</t>
        </is>
      </c>
      <c r="C91" s="1084" t="n">
        <v>0</v>
      </c>
      <c r="D91" s="1084">
        <f>+C91</f>
        <v/>
      </c>
      <c r="E91" s="1084" t="n">
        <v>0</v>
      </c>
    </row>
    <row r="92">
      <c r="B92" s="1084" t="inlineStr">
        <is>
          <t>BSNL</t>
        </is>
      </c>
      <c r="C92" s="1084" t="n">
        <v>0</v>
      </c>
      <c r="D92" s="1084">
        <f>+C92</f>
        <v/>
      </c>
      <c r="E92" s="1084" t="n">
        <v>0</v>
      </c>
    </row>
    <row r="93">
      <c r="B93" s="487" t="inlineStr">
        <is>
          <t>KRISHNA IMPEX</t>
        </is>
      </c>
      <c r="C93" s="1084" t="n">
        <v>0</v>
      </c>
      <c r="D93" s="1084">
        <f>+C93</f>
        <v/>
      </c>
      <c r="E93" s="1084" t="n">
        <v>0</v>
      </c>
    </row>
    <row r="94">
      <c r="B94" s="1084" t="inlineStr">
        <is>
          <t>ROHAN AGENCY</t>
        </is>
      </c>
      <c r="C94" s="1084" t="n">
        <v>0</v>
      </c>
      <c r="D94" s="1084">
        <f>+C94</f>
        <v/>
      </c>
      <c r="E94" s="1084" t="n">
        <v>0</v>
      </c>
    </row>
    <row r="95" ht="15.75" customHeight="1" thickBot="1">
      <c r="B95" s="1230" t="n"/>
      <c r="C95" s="182">
        <f>SUM(C88:C94)</f>
        <v/>
      </c>
      <c r="D95" s="182">
        <f>SUM(D88:D94)</f>
        <v/>
      </c>
      <c r="E95" s="182">
        <f>SUM(E88:E94)</f>
        <v/>
      </c>
    </row>
    <row r="96" ht="15.75" customHeight="1" thickTop="1"/>
    <row r="97" ht="15" customHeight="1">
      <c r="A97" s="725" t="n"/>
      <c r="B97" s="725" t="n"/>
      <c r="C97" s="725" t="n"/>
      <c r="D97" s="725" t="n"/>
      <c r="E97" s="725" t="n"/>
      <c r="F97" s="725" t="n"/>
    </row>
    <row r="98" ht="15" customHeight="1">
      <c r="A98" s="1324" t="n"/>
    </row>
  </sheetData>
  <mergeCells count="29">
    <mergeCell ref="A80:C80"/>
    <mergeCell ref="A66:F66"/>
    <mergeCell ref="A75:C75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98:F98"/>
    <mergeCell ref="A1:F1"/>
    <mergeCell ref="D69:D70"/>
    <mergeCell ref="B7:B8"/>
    <mergeCell ref="F78:F79"/>
    <mergeCell ref="F69:F70"/>
    <mergeCell ref="F7:F8"/>
  </mergeCells>
  <conditionalFormatting sqref="A22:B34 A99:F1048576 G81:XFD1048576">
    <cfRule type="containsText" priority="33" operator="containsText" dxfId="0" text="LESS COLLECTED">
      <formula>NOT(ISERROR(SEARCH("LESS COLLECTED",A22)))</formula>
    </cfRule>
  </conditionalFormatting>
  <conditionalFormatting sqref="A28:B32">
    <cfRule type="containsText" priority="32" operator="containsText" dxfId="1" text="EXCESS COLLECTED">
      <formula>NOT(ISERROR(SEARCH("EXCESS COLLECTED",A28)))</formula>
    </cfRule>
  </conditionalFormatting>
  <conditionalFormatting sqref="A35:B61">
    <cfRule type="containsText" priority="3" operator="containsText" dxfId="0" text="LESS COLLECTED">
      <formula>NOT(ISERROR(SEARCH("LESS COLLECTED",A35)))</formula>
    </cfRule>
  </conditionalFormatting>
  <conditionalFormatting sqref="A47:B56">
    <cfRule type="containsText" priority="2" operator="containsText" dxfId="1" text="EXCESS COLLECTED">
      <formula>NOT(ISERROR(SEARCH("EXCESS COLLECTED",A47)))</formula>
    </cfRule>
  </conditionalFormatting>
  <conditionalFormatting sqref="B61">
    <cfRule type="containsText" priority="36" operator="containsText" dxfId="1" text="EXCESS COLLECTED">
      <formula>NOT(ISERROR(SEARCH("EXCESS COLLECTED",B61)))</formula>
    </cfRule>
  </conditionalFormatting>
  <conditionalFormatting sqref="C10:C61">
    <cfRule type="containsText" priority="1" operator="containsText" dxfId="0" text="LESS COLLECTED">
      <formula>NOT(ISERROR(SEARCH("LESS COLLECTED",C10)))</formula>
    </cfRule>
  </conditionalFormatting>
  <conditionalFormatting sqref="A1:XFD3 A4 A5:XFD6 A7:F8 A76:A97 B76:F84 B94:E95 C93:E93 F86:F96 G4:XFD4 G63:XFD63 G64:H64 G75:XFD79 H74:XFD74 H80:XFD80 K64:XFD64">
    <cfRule type="containsText" priority="116" operator="containsText" dxfId="0" text="LESS COLLECTED">
      <formula>NOT(ISERROR(SEARCH("LESS COLLECTED",A1)))</formula>
    </cfRule>
  </conditionalFormatting>
  <conditionalFormatting sqref="D50">
    <cfRule type="containsText" priority="27" operator="containsText" dxfId="0" text="LESS COLLECTED">
      <formula>NOT(ISERROR(SEARCH("LESS COLLECTED",D50)))</formula>
    </cfRule>
  </conditionalFormatting>
  <conditionalFormatting sqref="A72:F73 B86:B92 B89:D92 B94:D94 C87:D94 D48:F50 D69:E70">
    <cfRule type="containsText" priority="104" operator="containsText" dxfId="1" text="EXCESS COLLECTED">
      <formula>NOT(ISERROR(SEARCH("EXCESS COLLECTED",A48)))</formula>
    </cfRule>
  </conditionalFormatting>
  <conditionalFormatting sqref="D51:F56">
    <cfRule type="containsText" priority="4" operator="containsText" dxfId="1" text="EXCESS COLLECTED">
      <formula>NOT(ISERROR(SEARCH("EXCESS COLLECTED",D51)))</formula>
    </cfRule>
  </conditionalFormatting>
  <conditionalFormatting sqref="D10:I35">
    <cfRule type="containsText" priority="17" operator="containsText" dxfId="0" text="LESS COLLECTED">
      <formula>NOT(ISERROR(SEARCH("LESS COLLECTED",D10)))</formula>
    </cfRule>
  </conditionalFormatting>
  <conditionalFormatting sqref="A66:F75 B86:E92 B94:D94 C9:I9 C87:D94 D36:I50">
    <cfRule type="containsText" priority="105" operator="containsText" dxfId="0" text="LESS COLLECTED">
      <formula>NOT(ISERROR(SEARCH("LESS COLLECTED",A9)))</formula>
    </cfRule>
  </conditionalFormatting>
  <conditionalFormatting sqref="D51:I61">
    <cfRule type="containsText" priority="7" operator="containsText" dxfId="0" text="LESS COLLECTED">
      <formula>NOT(ISERROR(SEARCH("LESS COLLECTED",D51)))</formula>
    </cfRule>
  </conditionalFormatting>
  <conditionalFormatting sqref="G62:I62">
    <cfRule type="containsText" priority="41" operator="containsText" dxfId="0" text="LESS COLLECTED">
      <formula>NOT(ISERROR(SEARCH("LESS COLLECTED",G62)))</formula>
    </cfRule>
  </conditionalFormatting>
  <conditionalFormatting sqref="A9:B21 J7:XFD62">
    <cfRule type="containsText" priority="28" operator="containsText" dxfId="0" text="LESS COLLECTED">
      <formula>NOT(ISERROR(SEARCH("LESS COLLECTED",A7)))</formula>
    </cfRule>
  </conditionalFormatting>
  <pageMargins left="0.905511811023622" right="1.090551181" top="0.69488189" bottom="0.748031496062992" header="0.31496062992126" footer="0.31496062992126"/>
  <pageSetup orientation="portrait" paperSize="9" scale="47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O97"/>
  <sheetViews>
    <sheetView workbookViewId="0">
      <selection activeCell="K16" sqref="K16"/>
    </sheetView>
  </sheetViews>
  <sheetFormatPr baseColWidth="8" defaultColWidth="9.140625" defaultRowHeight="15"/>
  <cols>
    <col width="11.42578125" customWidth="1" style="1084" min="1" max="1"/>
    <col width="41.28515625" customWidth="1" style="1084" min="2" max="2"/>
    <col width="14.7109375" bestFit="1" customWidth="1" style="1084" min="3" max="3"/>
    <col width="16" customWidth="1" style="1084" min="4" max="4"/>
    <col width="16.140625" bestFit="1" customWidth="1" style="1084" min="5" max="5"/>
    <col width="11.42578125" customWidth="1" style="1084" min="6" max="6"/>
    <col width="19.85546875" customWidth="1" style="1084" min="7" max="7"/>
    <col width="10.7109375" bestFit="1" customWidth="1" style="32" min="8" max="8"/>
    <col width="9.140625" customWidth="1" style="1084" min="9" max="9"/>
    <col width="9.57031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BAPUNAGAR BRANCH</t>
        </is>
      </c>
    </row>
    <row r="4" ht="15.75" customHeight="1">
      <c r="A4" s="1214" t="inlineStr">
        <is>
          <t>BRANCH CODE: 07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3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>
        <f>IF(D9&gt;0," ",C9*18%)</f>
        <v/>
      </c>
      <c r="G9" s="1510" t="n"/>
      <c r="H9" s="1510" t="n"/>
      <c r="I9" s="1510" t="n">
        <v>0</v>
      </c>
    </row>
    <row r="10" ht="15.75" customHeight="1">
      <c r="A10" s="3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</row>
    <row r="11" ht="15.75" customHeight="1">
      <c r="A11" s="13" t="inlineStr">
        <is>
          <t>3215</t>
        </is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510" t="n">
        <v>0</v>
      </c>
    </row>
    <row r="12" ht="15.75" customHeight="1">
      <c r="A12" s="1187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3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3" t="inlineStr">
        <is>
          <t>3230</t>
        </is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>
        <f>IF(D14&gt;0," ",C14*18%)</f>
        <v/>
      </c>
      <c r="G14" s="1510" t="n"/>
      <c r="H14" s="1510" t="n"/>
      <c r="I14" s="1510" t="n">
        <v>0</v>
      </c>
    </row>
    <row r="15" ht="15.75" customHeight="1">
      <c r="A15" s="13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510" t="n">
        <v>0</v>
      </c>
    </row>
    <row r="16" ht="15.75" customHeight="1">
      <c r="A16" s="1187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187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187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3" t="inlineStr">
        <is>
          <t>3270</t>
        </is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>
        <f>IF(D19&gt;0," ",C19*18%)</f>
        <v/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>
        <f>IF(D20&gt;0," ",C20*18%)</f>
        <v/>
      </c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 t="n"/>
      <c r="E21" s="1497" t="n"/>
      <c r="F21" s="1497" t="n"/>
      <c r="G21" s="1510" t="n"/>
      <c r="H21" s="1510" t="n"/>
      <c r="I21" s="1510" t="n">
        <v>0</v>
      </c>
    </row>
    <row r="22" ht="15.75" customHeight="1">
      <c r="A22" s="1511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187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187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>
        <f>IF(D24&gt;0," ",C24*18%)</f>
        <v/>
      </c>
      <c r="G24" s="1510" t="n"/>
      <c r="H24" s="1510" t="n"/>
      <c r="I24" s="1510" t="n">
        <v>0</v>
      </c>
    </row>
    <row r="25" ht="15.75" customHeight="1">
      <c r="A25" s="1496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510" t="n">
        <v>0</v>
      </c>
    </row>
    <row r="26" ht="15.75" customHeight="1">
      <c r="A26" s="1496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510" t="n">
        <v>0</v>
      </c>
    </row>
    <row r="27" ht="15.75" customHeight="1">
      <c r="A27" s="1496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37" t="n">
        <v>3291</v>
      </c>
      <c r="B28" s="33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3" t="inlineStr">
        <is>
          <t>3300</t>
        </is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 t="n">
        <v>0</v>
      </c>
      <c r="G33" s="1510" t="n"/>
      <c r="H33" s="1510" t="n"/>
      <c r="I33" s="1510" t="n">
        <v>0</v>
      </c>
    </row>
    <row r="34" ht="15.75" customHeight="1">
      <c r="A34" s="13" t="n">
        <v>3301</v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187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5.75" customHeight="1">
      <c r="A37" s="1496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3" t="inlineStr">
        <is>
          <t>3310</t>
        </is>
      </c>
      <c r="B38" s="1220" t="inlineStr">
        <is>
          <t>MIS. INCOME</t>
        </is>
      </c>
      <c r="C38" s="1551" t="n"/>
      <c r="D38" s="1497">
        <f>+C38*9%</f>
        <v/>
      </c>
      <c r="E38" s="1497">
        <f>+D38</f>
        <v/>
      </c>
      <c r="F38" s="1497">
        <f>IF(D38&gt;0," ",C38*18%)</f>
        <v/>
      </c>
      <c r="G38" s="1510" t="n"/>
      <c r="H38" s="1510" t="n"/>
      <c r="I38" s="1510" t="n">
        <v>0</v>
      </c>
    </row>
    <row r="39" ht="15.75" customHeight="1">
      <c r="A39" s="13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  <c r="I39" s="1510" t="n">
        <v>0</v>
      </c>
    </row>
    <row r="40" ht="15.75" customHeight="1">
      <c r="A40" s="13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3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187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187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510" t="n">
        <v>0</v>
      </c>
    </row>
    <row r="44" ht="15.75" customHeight="1">
      <c r="A44" s="1187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187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187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187" t="n">
        <v>3320</v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>
        <f>IF(D47&gt;0," ",C47*18%)</f>
        <v/>
      </c>
      <c r="G47" s="1510" t="n"/>
      <c r="H47" s="1510" t="n"/>
      <c r="I47" s="1510" t="n">
        <v>0</v>
      </c>
    </row>
    <row r="48" ht="15.75" customHeight="1">
      <c r="A48" s="1187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510" t="n">
        <v>0</v>
      </c>
    </row>
    <row r="49" ht="15.75" customHeight="1">
      <c r="A49" s="1187" t="n">
        <v>3322</v>
      </c>
      <c r="B49" s="1220" t="inlineStr">
        <is>
          <t>INCOME FROM SALE OF OLD NEWS PAPERS</t>
        </is>
      </c>
      <c r="C49" s="1551" t="n"/>
      <c r="D49" s="1497">
        <f>+C49*5%</f>
        <v/>
      </c>
      <c r="E49" s="1497">
        <f>+D49</f>
        <v/>
      </c>
      <c r="F49" s="1497">
        <f>IF(D49&gt;0," ",C49*18%)</f>
        <v/>
      </c>
      <c r="G49" s="1510" t="n"/>
      <c r="H49" s="1510" t="n"/>
      <c r="I49" s="1510" t="n">
        <v>0</v>
      </c>
    </row>
    <row r="50" ht="15.75" customHeight="1">
      <c r="A50" s="1187" t="n">
        <v>3324</v>
      </c>
      <c r="B50" s="1220" t="inlineStr">
        <is>
          <t>PENALTY ON OVERDUE LOCKER RENT</t>
        </is>
      </c>
      <c r="C50" s="1551" t="n"/>
      <c r="D50" s="1497">
        <f>+C50*5%</f>
        <v/>
      </c>
      <c r="E50" s="1497">
        <f>+D50</f>
        <v/>
      </c>
      <c r="F50" s="1497">
        <f>IF(D50&gt;0," ",C50*18%)</f>
        <v/>
      </c>
      <c r="G50" s="1510" t="n"/>
      <c r="H50" s="1510" t="n"/>
      <c r="I50" s="1510" t="n">
        <v>0</v>
      </c>
    </row>
    <row r="51" ht="15.75" customHeight="1">
      <c r="A51" s="161" t="n">
        <v>3325</v>
      </c>
      <c r="B51" s="1220" t="inlineStr">
        <is>
          <t>MICR CHARGES</t>
        </is>
      </c>
      <c r="C51" s="1551" t="n"/>
      <c r="D51" s="1497">
        <f>+C51*2.5%</f>
        <v/>
      </c>
      <c r="E51" s="1497">
        <f>+D51</f>
        <v/>
      </c>
      <c r="F51" s="1497">
        <f>IF(D51&gt;0," ",C51*18%)</f>
        <v/>
      </c>
      <c r="G51" s="1510" t="n"/>
      <c r="H51" s="1510" t="n"/>
      <c r="I51" s="1510" t="n">
        <v>0</v>
      </c>
    </row>
    <row r="52" ht="15.75" customHeight="1">
      <c r="A52" s="1187" t="n">
        <v>3391</v>
      </c>
      <c r="B52" s="1220" t="inlineStr">
        <is>
          <t>SMS CHARGES INCOME RECEIVED</t>
        </is>
      </c>
      <c r="C52" s="1551" t="n"/>
      <c r="D52" s="1497">
        <f>+C52*9%</f>
        <v/>
      </c>
      <c r="E52" s="1497">
        <f>+D52</f>
        <v/>
      </c>
      <c r="F52" s="1497">
        <f>IF(D52&gt;0," ",C52*18%)</f>
        <v/>
      </c>
      <c r="G52" s="1510" t="n"/>
      <c r="H52" s="1510" t="n"/>
      <c r="I52" s="1510" t="n">
        <v>0</v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497">
        <f>+C53*9%</f>
        <v/>
      </c>
      <c r="E53" s="1497">
        <f>+D53</f>
        <v/>
      </c>
      <c r="F53" s="1497" t="n">
        <v>0</v>
      </c>
      <c r="G53" s="1510" t="n"/>
      <c r="H53" s="1510" t="n"/>
      <c r="I53" s="1510" t="n">
        <v>0</v>
      </c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497">
        <f>+C54*9%</f>
        <v/>
      </c>
      <c r="E54" s="1497">
        <f>+D54</f>
        <v/>
      </c>
      <c r="F54" s="1497" t="n"/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497" t="n"/>
      <c r="E55" s="1497" t="n"/>
      <c r="F55" s="1497" t="n"/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5" t="inlineStr">
        <is>
          <t>GL</t>
        </is>
      </c>
      <c r="B57" s="1220" t="n"/>
      <c r="C57" s="1551" t="n"/>
      <c r="D57" s="1497" t="n"/>
      <c r="E57" s="1497" t="n"/>
      <c r="F57" s="1497" t="n"/>
      <c r="G57" s="1510" t="n"/>
      <c r="H57" s="1510" t="n"/>
      <c r="I57" s="1510" t="n">
        <v>0</v>
      </c>
    </row>
    <row r="58" ht="15.75" customHeight="1">
      <c r="A58" s="1187" t="inlineStr">
        <is>
          <t>1720</t>
        </is>
      </c>
      <c r="B58" s="1220" t="inlineStr">
        <is>
          <t>COMM. RECD. BUT NOT ACCRUED</t>
        </is>
      </c>
      <c r="C58" s="1551" t="n"/>
      <c r="D58" s="1497">
        <f>+C58*9%</f>
        <v/>
      </c>
      <c r="E58" s="1497">
        <f>+D58</f>
        <v/>
      </c>
      <c r="F58" s="1497">
        <f>IF(D58&gt;0," ",C58*18%)</f>
        <v/>
      </c>
      <c r="G58" s="1510" t="n"/>
      <c r="H58" s="1510" t="n"/>
      <c r="I58" s="1510" t="n">
        <v>0</v>
      </c>
    </row>
    <row r="59" ht="15.75" customHeight="1">
      <c r="A59" s="13" t="inlineStr">
        <is>
          <t>1836</t>
        </is>
      </c>
      <c r="B59" s="1220" t="inlineStr">
        <is>
          <t>RENT ON LOCKER RECEIVED BUT</t>
        </is>
      </c>
      <c r="C59" s="1551" t="n"/>
      <c r="D59" s="1497">
        <f>+C59*9%</f>
        <v/>
      </c>
      <c r="E59" s="1497">
        <f>+D59</f>
        <v/>
      </c>
      <c r="F59" s="1497">
        <f>IF(D59&gt;0," ",C59*18%)</f>
        <v/>
      </c>
      <c r="G59" s="1510" t="n"/>
      <c r="H59" s="1510" t="n"/>
      <c r="I59" s="1510" t="n">
        <v>0</v>
      </c>
    </row>
    <row r="60" ht="15.75" customHeight="1">
      <c r="A60" s="1448" t="inlineStr">
        <is>
          <t xml:space="preserve"> </t>
        </is>
      </c>
      <c r="B60" s="1220" t="inlineStr">
        <is>
          <t>NOT ACCRUED</t>
        </is>
      </c>
      <c r="C60" s="1551" t="n"/>
      <c r="D60" s="1497" t="n"/>
      <c r="E60" s="1497" t="n"/>
      <c r="F60" s="1497" t="n"/>
      <c r="G60" s="1510" t="n"/>
      <c r="H60" s="1510" t="n"/>
      <c r="I60" s="1510" t="n">
        <v>0</v>
      </c>
    </row>
    <row r="61" ht="15.75" customHeight="1">
      <c r="A61" s="435" t="n"/>
      <c r="B61" s="433" t="inlineStr">
        <is>
          <t>SALE OF ASSET ( CASH COUNTING MACHINE)</t>
        </is>
      </c>
      <c r="C61" s="1551" t="n"/>
      <c r="D61" s="1497">
        <f>+C61*9%</f>
        <v/>
      </c>
      <c r="E61" s="1500">
        <f>+D61</f>
        <v/>
      </c>
      <c r="F61" s="1500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01">
        <f>SUM(C9:C61)</f>
        <v/>
      </c>
      <c r="D62" s="1501">
        <f>SUM(D9:D61)</f>
        <v/>
      </c>
      <c r="E62" s="1501">
        <f>SUM(E9:E61)</f>
        <v/>
      </c>
      <c r="F62" s="1501">
        <f>SUM(F9:F61)</f>
        <v/>
      </c>
      <c r="G62" s="1501">
        <f>SUM(G9:G59)</f>
        <v/>
      </c>
      <c r="H62" s="1501">
        <f>SUM(H9:H59)</f>
        <v/>
      </c>
      <c r="I62" s="1501" t="n"/>
      <c r="K62" s="1084">
        <f>3853.29-D62</f>
        <v/>
      </c>
    </row>
    <row r="63" ht="16.5" customHeight="1" thickTop="1">
      <c r="A63" s="9" t="inlineStr">
        <is>
          <t>RCM</t>
        </is>
      </c>
      <c r="B63" s="8" t="n"/>
      <c r="C63" s="1502" t="n"/>
      <c r="D63" s="1502" t="inlineStr">
        <is>
          <t xml:space="preserve">   </t>
        </is>
      </c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7" t="n">
        <v>0</v>
      </c>
      <c r="D64" s="1503">
        <f>+C64*9%</f>
        <v/>
      </c>
      <c r="E64" s="1503">
        <f>+D64</f>
        <v/>
      </c>
      <c r="F64" s="1503">
        <f>IF(D64&gt;0," ",C64*18%)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G65" s="1084">
        <f>+C62*0.09</f>
        <v/>
      </c>
    </row>
    <row r="66" ht="15.75" customHeight="1">
      <c r="A66" s="1210" t="inlineStr">
        <is>
          <t xml:space="preserve">SUMMARY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+C72*9%</f>
        <v/>
      </c>
      <c r="E72" s="106">
        <f>+D72</f>
        <v/>
      </c>
      <c r="F72" s="105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800">
        <f>D73-D74</f>
        <v/>
      </c>
      <c r="E75" s="800">
        <f>+E73-E74</f>
        <v/>
      </c>
      <c r="F75" s="108">
        <f>IF(F71&gt;F74,F71,F74)</f>
        <v/>
      </c>
      <c r="G75" s="1084">
        <f>+E75/9%</f>
        <v/>
      </c>
    </row>
    <row r="76" ht="15.75" customHeight="1">
      <c r="A76" s="3" t="n"/>
      <c r="B76" s="2" t="n"/>
      <c r="C76" s="3" t="n"/>
      <c r="D76" s="942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528" t="n">
        <v>0</v>
      </c>
      <c r="G81" s="32">
        <f>+D81/2</f>
        <v/>
      </c>
      <c r="H81" s="32">
        <f>+E81/2</f>
        <v/>
      </c>
      <c r="I81" s="32">
        <f>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05">
        <f>+C91</f>
        <v/>
      </c>
      <c r="E82" s="105">
        <f>D82</f>
        <v/>
      </c>
      <c r="F82" s="1529" t="n">
        <v>0</v>
      </c>
      <c r="G82" s="32">
        <f>+D82/2</f>
        <v/>
      </c>
      <c r="H82" s="32">
        <f>+E82/2</f>
        <v/>
      </c>
      <c r="I82" s="32">
        <f>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+E81-E82</f>
        <v/>
      </c>
      <c r="F83" s="1529">
        <f>+F81-F82</f>
        <v/>
      </c>
      <c r="G83" s="32">
        <f>+D83/2</f>
        <v/>
      </c>
      <c r="H83" s="32">
        <f>+E83/2</f>
        <v/>
      </c>
      <c r="I83" s="32">
        <f>+F83/2</f>
        <v/>
      </c>
    </row>
    <row r="86">
      <c r="B86" s="145" t="inlineStr">
        <is>
          <t>OUR GST NO. NOT REFLECTED ON CENVAT BILLS</t>
        </is>
      </c>
      <c r="C86" s="112" t="n"/>
      <c r="D86" s="112" t="n"/>
      <c r="E86" s="112" t="n"/>
    </row>
    <row r="87">
      <c r="B87" s="1218" t="inlineStr">
        <is>
          <t>PARTY</t>
        </is>
      </c>
      <c r="C87" s="1218" t="inlineStr">
        <is>
          <t>CGST</t>
        </is>
      </c>
      <c r="D87" s="1218" t="inlineStr">
        <is>
          <t>SGST</t>
        </is>
      </c>
      <c r="E87" s="1218" t="inlineStr">
        <is>
          <t>IGST</t>
        </is>
      </c>
    </row>
    <row r="88">
      <c r="B88" s="1228" t="inlineStr">
        <is>
          <t>BSNL</t>
        </is>
      </c>
      <c r="C88" s="1228" t="n">
        <v>0</v>
      </c>
      <c r="D88" s="1228">
        <f>+C88</f>
        <v/>
      </c>
      <c r="E88" s="1228" t="n">
        <v>0</v>
      </c>
    </row>
    <row r="89">
      <c r="B89" s="517" t="inlineStr">
        <is>
          <t>ROHAN AGENCY</t>
        </is>
      </c>
      <c r="C89" s="1228" t="n">
        <v>0</v>
      </c>
      <c r="D89" s="1228">
        <f>+C89</f>
        <v/>
      </c>
      <c r="E89" s="1228" t="n"/>
    </row>
    <row r="90">
      <c r="B90" s="517" t="inlineStr">
        <is>
          <t>MAA BEVERAGES</t>
        </is>
      </c>
      <c r="C90" s="1228" t="n">
        <v>0</v>
      </c>
      <c r="D90" s="1228">
        <f>+C90</f>
        <v/>
      </c>
      <c r="E90" s="1228" t="n"/>
    </row>
    <row r="91">
      <c r="B91" s="169" t="inlineStr">
        <is>
          <t>TOTAL</t>
        </is>
      </c>
      <c r="C91" s="1219">
        <f>SUM(C88:C90)</f>
        <v/>
      </c>
      <c r="D91" s="1219">
        <f>SUM(D88:D90)</f>
        <v/>
      </c>
      <c r="E91" s="1219">
        <f>+SUM(E88:E88)</f>
        <v/>
      </c>
    </row>
    <row r="92" ht="15.75" customHeight="1" thickBot="1">
      <c r="B92" s="1087" t="n"/>
      <c r="C92" s="75" t="n"/>
      <c r="D92" s="75" t="n"/>
      <c r="E92" s="75" t="n"/>
    </row>
    <row r="93">
      <c r="A93" s="1594" t="n"/>
      <c r="B93" s="1522" t="n"/>
      <c r="C93" s="1522" t="n"/>
      <c r="D93" s="1522" t="n"/>
      <c r="E93" s="1522" t="n"/>
      <c r="F93" s="1523" t="n"/>
    </row>
    <row r="94" ht="15" customHeight="1" thickBot="1">
      <c r="A94" s="1524" t="n"/>
      <c r="B94" s="1525" t="n"/>
      <c r="C94" s="1525" t="n"/>
      <c r="D94" s="1525" t="n"/>
      <c r="E94" s="1525" t="n"/>
      <c r="F94" s="1526" t="n"/>
    </row>
    <row r="95" ht="15.75" customHeight="1" thickBot="1">
      <c r="A95" s="727" t="n"/>
      <c r="B95" s="727" t="n"/>
      <c r="C95" s="727" t="n"/>
      <c r="D95" s="727" t="n"/>
      <c r="E95" s="727" t="n"/>
      <c r="F95" s="727" t="n"/>
    </row>
    <row r="96">
      <c r="A96" s="1542" t="n"/>
      <c r="B96" s="1522" t="n"/>
      <c r="C96" s="1522" t="n"/>
      <c r="D96" s="1522" t="n"/>
      <c r="E96" s="1522" t="n"/>
      <c r="F96" s="1523" t="n"/>
    </row>
    <row r="97" ht="15.75" customHeight="1" thickBot="1">
      <c r="A97" s="1524" t="n"/>
      <c r="B97" s="1525" t="n"/>
      <c r="C97" s="1525" t="n"/>
      <c r="D97" s="1525" t="n"/>
      <c r="E97" s="1525" t="n"/>
      <c r="F97" s="1526" t="n"/>
    </row>
  </sheetData>
  <mergeCells count="30">
    <mergeCell ref="A80:C80"/>
    <mergeCell ref="A66:F66"/>
    <mergeCell ref="A93:F94"/>
    <mergeCell ref="A75:C75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1:F1"/>
    <mergeCell ref="F78:F79"/>
    <mergeCell ref="D69:D70"/>
    <mergeCell ref="B7:B8"/>
    <mergeCell ref="F69:F70"/>
    <mergeCell ref="F7:F8"/>
    <mergeCell ref="A96:F97"/>
  </mergeCells>
  <conditionalFormatting sqref="A22:B34 F66:F86 G81:XFD1048576">
    <cfRule type="containsText" priority="45" operator="containsText" dxfId="0" text="LESS COLLECTED">
      <formula>NOT(ISERROR(SEARCH("LESS COLLECTED",A22)))</formula>
    </cfRule>
  </conditionalFormatting>
  <conditionalFormatting sqref="A28:B32">
    <cfRule type="containsText" priority="44" operator="containsText" dxfId="1" text="EXCESS COLLECTED">
      <formula>NOT(ISERROR(SEARCH("EXCESS COLLECTED",A28)))</formula>
    </cfRule>
  </conditionalFormatting>
  <conditionalFormatting sqref="A35:B56">
    <cfRule type="containsText" priority="4" operator="containsText" dxfId="0" text="LESS COLLECTED">
      <formula>NOT(ISERROR(SEARCH("LESS COLLECTED",A35)))</formula>
    </cfRule>
  </conditionalFormatting>
  <conditionalFormatting sqref="A47:B56">
    <cfRule type="containsText" priority="3" operator="containsText" dxfId="1" text="EXCESS COLLECTED">
      <formula>NOT(ISERROR(SEARCH("EXCESS COLLECTED",A47)))</formula>
    </cfRule>
  </conditionalFormatting>
  <conditionalFormatting sqref="A57:B61">
    <cfRule type="containsText" priority="49" operator="containsText" dxfId="0" text="LESS COLLECTED">
      <formula>NOT(ISERROR(SEARCH("LESS COLLECTED",A57)))</formula>
    </cfRule>
  </conditionalFormatting>
  <conditionalFormatting sqref="A66:E87 A72:F73 D69:E70">
    <cfRule type="containsText" priority="110" operator="containsText" dxfId="0" text="LESS COLLECTED">
      <formula>NOT(ISERROR(SEARCH("LESS COLLECTED",A66)))</formula>
    </cfRule>
  </conditionalFormatting>
  <conditionalFormatting sqref="A72:F73 D69:E70 D85:D86">
    <cfRule type="containsText" priority="109" operator="containsText" dxfId="1" text="EXCESS COLLECTED">
      <formula>NOT(ISERROR(SEARCH("EXCESS COLLECTED",A69)))</formula>
    </cfRule>
  </conditionalFormatting>
  <conditionalFormatting sqref="A98:F1048576">
    <cfRule type="containsText" priority="17" operator="containsText" dxfId="153" text="LESS COLLECTED">
      <formula>NOT(ISERROR(SEARCH("LESS COLLECTED",A98)))</formula>
    </cfRule>
  </conditionalFormatting>
  <conditionalFormatting sqref="A1:XFD3 A4 A5:XFD6 A7:F8 A91:F92 A93 G4:XFD4 G76:XFD79 H74:XFD75 H80:XFD80">
    <cfRule type="containsText" priority="121" operator="containsText" dxfId="0" text="LESS COLLECTED">
      <formula>NOT(ISERROR(SEARCH("LESS COLLECTED",A1)))</formula>
    </cfRule>
  </conditionalFormatting>
  <conditionalFormatting sqref="B61">
    <cfRule type="containsText" priority="48" operator="containsText" dxfId="1" text="EXCESS COLLECTED">
      <formula>NOT(ISERROR(SEARCH("EXCESS COLLECTED",B61)))</formula>
    </cfRule>
  </conditionalFormatting>
  <conditionalFormatting sqref="B85:C90">
    <cfRule type="containsText" priority="30" operator="containsText" dxfId="1" text="EXCESS COLLECTED">
      <formula>NOT(ISERROR(SEARCH("EXCESS COLLECTED",B85)))</formula>
    </cfRule>
  </conditionalFormatting>
  <conditionalFormatting sqref="C9:F61">
    <cfRule type="containsText" priority="8" operator="containsText" dxfId="0" text="LESS COLLECTED">
      <formula>NOT(ISERROR(SEARCH("LESS COLLECTED",C9)))</formula>
    </cfRule>
  </conditionalFormatting>
  <conditionalFormatting sqref="D48:F56">
    <cfRule type="containsText" priority="5" operator="containsText" dxfId="1" text="EXCESS COLLECTED">
      <formula>NOT(ISERROR(SEARCH("EXCESS COLLECTED",D48)))</formula>
    </cfRule>
  </conditionalFormatting>
  <conditionalFormatting sqref="A9:B21 J7:XFD62">
    <cfRule type="containsText" priority="38" operator="containsText" dxfId="0" text="LESS COLLECTED">
      <formula>NOT(ISERROR(SEARCH("LESS COLLECTED",A7)))</formula>
    </cfRule>
  </conditionalFormatting>
  <conditionalFormatting sqref="A96">
    <cfRule type="containsText" priority="2" operator="containsText" dxfId="0" text="LESS COLLECTED">
      <formula>NOT(ISERROR(SEARCH("LESS COLLECTED",A96)))</formula>
    </cfRule>
  </conditionalFormatting>
  <conditionalFormatting sqref="G75">
    <cfRule type="containsText" priority="1" operator="containsText" dxfId="0" text="LESS COLLECTED">
      <formula>NOT(ISERROR(SEARCH("LESS COLLECTED",G75)))</formula>
    </cfRule>
  </conditionalFormatting>
  <pageMargins left="0.905511811023622" right="0.958661417" top="0.643700787" bottom="0" header="0.31496062992126" footer="0.31496062992126"/>
  <pageSetup orientation="portrait" paperSize="9" scale="49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O98"/>
  <sheetViews>
    <sheetView topLeftCell="A70" workbookViewId="0">
      <selection activeCell="H83" sqref="H83"/>
    </sheetView>
  </sheetViews>
  <sheetFormatPr baseColWidth="8" defaultColWidth="9.140625" defaultRowHeight="15"/>
  <cols>
    <col width="20.7109375" bestFit="1" customWidth="1" style="1084" min="1" max="1"/>
    <col width="43.7109375" bestFit="1" customWidth="1" style="1084" min="2" max="2"/>
    <col width="17.140625" bestFit="1" customWidth="1" style="1084" min="3" max="3"/>
    <col width="22.28515625" bestFit="1" customWidth="1" style="1084" min="4" max="4"/>
    <col width="15.5703125" bestFit="1" customWidth="1" style="1084" min="5" max="5"/>
    <col width="11.42578125" customWidth="1" style="1084" min="6" max="6"/>
    <col width="17.5703125" customWidth="1" style="1084" min="7" max="7"/>
    <col width="16.85546875" bestFit="1" customWidth="1" style="32" min="8" max="8"/>
    <col width="19.5703125" customWidth="1" style="1084" min="9" max="9"/>
    <col width="9.570312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  <c r="H2" s="911" t="n"/>
    </row>
    <row r="3" ht="15.75" customHeight="1">
      <c r="A3" s="1214" t="inlineStr">
        <is>
          <t>BRANCH NAME : BOPAL BRANCH</t>
        </is>
      </c>
    </row>
    <row r="4" ht="15.75" customHeight="1">
      <c r="A4" s="1214" t="inlineStr">
        <is>
          <t>BRANCH CODE: 22</t>
        </is>
      </c>
    </row>
    <row r="5" ht="15.75" customHeight="1">
      <c r="A5" s="1210">
        <f>+'ODHAV '!$A$5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161" t="n">
        <v>3303</v>
      </c>
      <c r="B9" s="1220" t="inlineStr">
        <is>
          <t>DD CANCEL CHARGES</t>
        </is>
      </c>
      <c r="C9" s="1551" t="n"/>
      <c r="D9" s="1497">
        <f>+C9*9%</f>
        <v/>
      </c>
      <c r="E9" s="1497">
        <f>+D9</f>
        <v/>
      </c>
      <c r="F9" s="1497" t="n">
        <v>0</v>
      </c>
      <c r="G9" s="1510" t="n"/>
      <c r="H9" s="1510" t="n"/>
      <c r="I9" s="1510" t="n">
        <v>0</v>
      </c>
    </row>
    <row r="10" ht="15.75" customHeight="1">
      <c r="A10" s="161" t="inlineStr">
        <is>
          <t>3200</t>
        </is>
      </c>
      <c r="B10" s="1220" t="inlineStr">
        <is>
          <t>COMMISION ON BILLS</t>
        </is>
      </c>
      <c r="C10" s="1551" t="n"/>
      <c r="D10" s="1497">
        <f>+C10*9%</f>
        <v/>
      </c>
      <c r="E10" s="1497">
        <f>+D10</f>
        <v/>
      </c>
      <c r="F10" s="1497">
        <f>IF(D10&gt;0," ",C10*18%)</f>
        <v/>
      </c>
      <c r="G10" s="1510" t="n"/>
      <c r="H10" s="1510" t="n"/>
      <c r="I10" s="1510" t="n">
        <v>0</v>
      </c>
    </row>
    <row r="11" ht="15.75" customHeight="1">
      <c r="A11" s="1080" t="n">
        <v>3215</v>
      </c>
      <c r="B11" s="1220" t="inlineStr">
        <is>
          <t>COMMISION ON PAYORDER</t>
        </is>
      </c>
      <c r="C11" s="1551" t="n"/>
      <c r="D11" s="1497">
        <f>+C11*9%</f>
        <v/>
      </c>
      <c r="E11" s="1497">
        <f>+D11</f>
        <v/>
      </c>
      <c r="F11" s="1497">
        <f>IF(D11&gt;0," ",C11*18%)</f>
        <v/>
      </c>
      <c r="G11" s="1510" t="n"/>
      <c r="H11" s="1510" t="n"/>
      <c r="I11" s="1510" t="n">
        <v>0</v>
      </c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551" t="n"/>
      <c r="D12" s="1497">
        <f>+C12*9%</f>
        <v/>
      </c>
      <c r="E12" s="1497">
        <f>+D12</f>
        <v/>
      </c>
      <c r="F12" s="1497">
        <f>IF(D12&gt;0," ",C12*18%)</f>
        <v/>
      </c>
      <c r="G12" s="1510" t="n"/>
      <c r="H12" s="1510" t="n"/>
      <c r="I12" s="1510" t="n">
        <v>0</v>
      </c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551" t="n"/>
      <c r="D13" s="1497">
        <f>+C13*9%</f>
        <v/>
      </c>
      <c r="E13" s="1497">
        <f>+D13</f>
        <v/>
      </c>
      <c r="F13" s="1497">
        <f>IF(D13&gt;0," ",C13*18%)</f>
        <v/>
      </c>
      <c r="G13" s="1510" t="n"/>
      <c r="H13" s="1510" t="n"/>
      <c r="I13" s="1510" t="n">
        <v>0</v>
      </c>
    </row>
    <row r="14" ht="15.75" customHeight="1">
      <c r="A14" s="1080" t="inlineStr">
        <is>
          <t>3230</t>
        </is>
      </c>
      <c r="B14" s="1220" t="inlineStr">
        <is>
          <t>COMMISION ON GUARANTEE</t>
        </is>
      </c>
      <c r="C14" s="1551" t="n"/>
      <c r="D14" s="1497">
        <f>+C14*9%</f>
        <v/>
      </c>
      <c r="E14" s="1497">
        <f>+D14</f>
        <v/>
      </c>
      <c r="F14" s="1497">
        <f>IF(D14&gt;0," ",C14*18%)</f>
        <v/>
      </c>
      <c r="G14" s="1510" t="n"/>
      <c r="H14" s="1510" t="n"/>
      <c r="I14" s="1510" t="n">
        <v>0</v>
      </c>
    </row>
    <row r="15" ht="15.75" customHeight="1">
      <c r="A15" s="1080" t="inlineStr">
        <is>
          <t>3235</t>
        </is>
      </c>
      <c r="B15" s="1220" t="inlineStr">
        <is>
          <t>COMMISION ON DEMAND DRAFT</t>
        </is>
      </c>
      <c r="C15" s="1551" t="n"/>
      <c r="D15" s="1497">
        <f>+C15*9%</f>
        <v/>
      </c>
      <c r="E15" s="1497">
        <f>+D15</f>
        <v/>
      </c>
      <c r="F15" s="1497">
        <f>IF(D15&gt;0," ",C15*18%)</f>
        <v/>
      </c>
      <c r="G15" s="1510" t="n"/>
      <c r="H15" s="1510" t="n"/>
      <c r="I15" s="1510" t="n">
        <v>0</v>
      </c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551" t="n"/>
      <c r="D16" s="1497">
        <f>+C16*9%</f>
        <v/>
      </c>
      <c r="E16" s="1497">
        <f>+D16</f>
        <v/>
      </c>
      <c r="F16" s="1497">
        <f>IF(D16&gt;0," ",C16*18%)</f>
        <v/>
      </c>
      <c r="G16" s="1510" t="n"/>
      <c r="H16" s="1510" t="n"/>
      <c r="I16" s="1510" t="n">
        <v>0</v>
      </c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551" t="n"/>
      <c r="D17" s="1497">
        <f>+C17*9%</f>
        <v/>
      </c>
      <c r="E17" s="1497">
        <f>+D17</f>
        <v/>
      </c>
      <c r="F17" s="1497">
        <f>IF(D17&gt;0," ",C17*18%)</f>
        <v/>
      </c>
      <c r="G17" s="1510" t="n"/>
      <c r="H17" s="1510" t="n"/>
      <c r="I17" s="1510" t="n">
        <v>0</v>
      </c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551" t="n"/>
      <c r="D18" s="1497">
        <f>+C18*9%</f>
        <v/>
      </c>
      <c r="E18" s="1497">
        <f>+D18</f>
        <v/>
      </c>
      <c r="F18" s="1497">
        <f>IF(D18&gt;0," ",C18*18%)</f>
        <v/>
      </c>
      <c r="G18" s="1510" t="n"/>
      <c r="H18" s="1510" t="n"/>
      <c r="I18" s="1510" t="n">
        <v>0</v>
      </c>
    </row>
    <row r="19" ht="15.75" customHeight="1">
      <c r="A19" s="1080" t="inlineStr">
        <is>
          <t>3270</t>
        </is>
      </c>
      <c r="B19" s="1220" t="inlineStr">
        <is>
          <t>PROCESSING CHARGE</t>
        </is>
      </c>
      <c r="C19" s="1551" t="n"/>
      <c r="D19" s="1497">
        <f>+C19*9%</f>
        <v/>
      </c>
      <c r="E19" s="1497">
        <f>+D19</f>
        <v/>
      </c>
      <c r="F19" s="1497" t="n">
        <v>0</v>
      </c>
      <c r="G19" s="152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497">
        <f>+C20*9%</f>
        <v/>
      </c>
      <c r="E20" s="1497">
        <f>+D20</f>
        <v/>
      </c>
      <c r="F20" s="1497" t="n"/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497" t="n"/>
      <c r="E21" s="1497" t="n"/>
      <c r="F21" s="1497" t="n"/>
      <c r="G21" s="1510" t="n"/>
      <c r="H21" s="1510" t="n"/>
      <c r="I21" s="1510" t="n">
        <v>0</v>
      </c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551" t="n"/>
      <c r="D22" s="1497">
        <f>+C22*9%</f>
        <v/>
      </c>
      <c r="E22" s="1497">
        <f>+D22</f>
        <v/>
      </c>
      <c r="F22" s="1497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61" t="inlineStr">
        <is>
          <t>3280</t>
        </is>
      </c>
      <c r="B23" s="1220" t="inlineStr">
        <is>
          <t>INSURANCE PREMIUM</t>
        </is>
      </c>
      <c r="C23" s="1551" t="n"/>
      <c r="D23" s="1497">
        <f>+C23*9%</f>
        <v/>
      </c>
      <c r="E23" s="1497">
        <f>+D23</f>
        <v/>
      </c>
      <c r="F23" s="1497">
        <f>IF(D23&gt;0," ",C23*18%)</f>
        <v/>
      </c>
      <c r="G23" s="1510" t="n"/>
      <c r="H23" s="1510" t="n"/>
      <c r="I23" s="1510" t="n">
        <v>0</v>
      </c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551" t="n"/>
      <c r="D24" s="1497">
        <f>+C24*9%</f>
        <v/>
      </c>
      <c r="E24" s="1497">
        <f>+D24</f>
        <v/>
      </c>
      <c r="F24" s="1497">
        <f>IF(D24&gt;0," ",C24*18%)</f>
        <v/>
      </c>
      <c r="G24" s="1510" t="n"/>
      <c r="H24" s="1510" t="n"/>
      <c r="I24" s="1510" t="n">
        <v>0</v>
      </c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551" t="n"/>
      <c r="D25" s="1497">
        <f>+C25*9%</f>
        <v/>
      </c>
      <c r="E25" s="1497">
        <f>+D25</f>
        <v/>
      </c>
      <c r="F25" s="1497">
        <f>IF(D25&gt;0," ",C25*18%)</f>
        <v/>
      </c>
      <c r="G25" s="1510" t="n"/>
      <c r="H25" s="1510" t="n"/>
      <c r="I25" s="1510" t="n">
        <v>0</v>
      </c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551" t="n"/>
      <c r="D26" s="1497">
        <f>+C26*9%</f>
        <v/>
      </c>
      <c r="E26" s="1497">
        <f>+D26</f>
        <v/>
      </c>
      <c r="F26" s="1497">
        <f>IF(D26&gt;0," ",C26*18%)</f>
        <v/>
      </c>
      <c r="G26" s="1510" t="n"/>
      <c r="H26" s="1510" t="n"/>
      <c r="I26" s="1510" t="n">
        <v>0</v>
      </c>
    </row>
    <row r="27" ht="15.75" customHeight="1">
      <c r="A27" s="158" t="inlineStr">
        <is>
          <t>3287</t>
        </is>
      </c>
      <c r="B27" s="1220" t="inlineStr">
        <is>
          <t>COMM. ON PMSBY NEW INDIA ASSURANCE</t>
        </is>
      </c>
      <c r="C27" s="1551" t="n"/>
      <c r="D27" s="1497">
        <f>+C27*9%</f>
        <v/>
      </c>
      <c r="E27" s="1497">
        <f>+D27</f>
        <v/>
      </c>
      <c r="F27" s="1497">
        <f>IF(D27&gt;0," ",C27*18%)</f>
        <v/>
      </c>
      <c r="G27" s="1510" t="n"/>
      <c r="H27" s="1510" t="n"/>
      <c r="I27" s="1510" t="n">
        <v>0</v>
      </c>
    </row>
    <row r="28" ht="15.75" customHeight="1">
      <c r="A28" s="158" t="n">
        <v>3291</v>
      </c>
      <c r="B28" s="1220" t="inlineStr">
        <is>
          <t>CIBIL CHARGES</t>
        </is>
      </c>
      <c r="C28" s="1551" t="n"/>
      <c r="D28" s="1497">
        <f>+C28*9%</f>
        <v/>
      </c>
      <c r="E28" s="1497">
        <f>+D28</f>
        <v/>
      </c>
      <c r="F28" s="1497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497">
        <f>+C29*9%</f>
        <v/>
      </c>
      <c r="E29" s="1497">
        <f>+D29</f>
        <v/>
      </c>
      <c r="F29" s="1497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497">
        <f>+C30*9%</f>
        <v/>
      </c>
      <c r="E30" s="1497">
        <f>+D30</f>
        <v/>
      </c>
      <c r="F30" s="1497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497">
        <f>+C31*9%</f>
        <v/>
      </c>
      <c r="E31" s="1497">
        <f>+D31</f>
        <v/>
      </c>
      <c r="F31" s="1497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497">
        <f>+C32*9%</f>
        <v/>
      </c>
      <c r="E32" s="1497">
        <f>+D32</f>
        <v/>
      </c>
      <c r="F32" s="1497">
        <f>IF(D32&gt;0," ",C32*18%)</f>
        <v/>
      </c>
      <c r="G32" s="1510" t="n"/>
      <c r="H32" s="1510" t="n"/>
      <c r="I32" s="1510" t="n">
        <v>0</v>
      </c>
    </row>
    <row r="33" ht="15.75" customHeight="1">
      <c r="A33" s="1080" t="inlineStr">
        <is>
          <t>3300</t>
        </is>
      </c>
      <c r="B33" s="1220" t="inlineStr">
        <is>
          <t>INCIDENTAL CHARGES</t>
        </is>
      </c>
      <c r="C33" s="1551" t="n"/>
      <c r="D33" s="1497">
        <f>+C33*9%</f>
        <v/>
      </c>
      <c r="E33" s="1497">
        <f>+D33</f>
        <v/>
      </c>
      <c r="F33" s="1497">
        <f>IF(D33&gt;0," ",C33*18%)</f>
        <v/>
      </c>
      <c r="G33" s="1510" t="n"/>
      <c r="H33" s="1510" t="n"/>
      <c r="I33" s="1510" t="n">
        <v>0</v>
      </c>
    </row>
    <row r="34" ht="15.75" customHeight="1">
      <c r="A34" s="1080" t="n">
        <v>3301</v>
      </c>
      <c r="B34" s="1220" t="inlineStr">
        <is>
          <t>INOPERATIVE CHARGES</t>
        </is>
      </c>
      <c r="C34" s="1551" t="n"/>
      <c r="D34" s="1497">
        <f>+C34*9%</f>
        <v/>
      </c>
      <c r="E34" s="1497">
        <f>+D34</f>
        <v/>
      </c>
      <c r="F34" s="1497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497">
        <f>+C35*9%</f>
        <v/>
      </c>
      <c r="E35" s="1497">
        <f>+D35</f>
        <v/>
      </c>
      <c r="F35" s="1497">
        <f>IF(D35&gt;0," ",C35*18%)</f>
        <v/>
      </c>
      <c r="G35" s="1510" t="n"/>
      <c r="H35" s="1510" t="n"/>
      <c r="I35" s="1510" t="n">
        <v>0</v>
      </c>
    </row>
    <row r="36" ht="15.75" customHeight="1">
      <c r="A36" s="161" t="inlineStr">
        <is>
          <t>3305</t>
        </is>
      </c>
      <c r="B36" s="1220" t="inlineStr">
        <is>
          <t>A/C SHARE TRANSFER FEES</t>
        </is>
      </c>
      <c r="C36" s="1551" t="n"/>
      <c r="D36" s="1497">
        <f>+C36*9%</f>
        <v/>
      </c>
      <c r="E36" s="1497">
        <f>+D36</f>
        <v/>
      </c>
      <c r="F36" s="1497">
        <f>IF(D36&gt;0," ",C36*18%)</f>
        <v/>
      </c>
      <c r="G36" s="1510" t="n"/>
      <c r="H36" s="1510" t="n"/>
      <c r="I36" s="1510" t="n">
        <v>0</v>
      </c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551" t="n"/>
      <c r="D37" s="1497">
        <f>+C37*9%</f>
        <v/>
      </c>
      <c r="E37" s="1497">
        <f>+D37</f>
        <v/>
      </c>
      <c r="F37" s="1497">
        <f>IF(D37&gt;0," ",C37*18%)</f>
        <v/>
      </c>
      <c r="G37" s="1510" t="n"/>
      <c r="H37" s="1510" t="n"/>
      <c r="I37" s="1510" t="n">
        <v>0</v>
      </c>
    </row>
    <row r="38" ht="15.75" customHeight="1">
      <c r="A38" s="1080" t="inlineStr">
        <is>
          <t>3310</t>
        </is>
      </c>
      <c r="B38" s="177" t="inlineStr">
        <is>
          <t xml:space="preserve">MIS. INCOME </t>
        </is>
      </c>
      <c r="C38" s="1551" t="n"/>
      <c r="D38" s="1497">
        <f>+C38*9%</f>
        <v/>
      </c>
      <c r="E38" s="1497">
        <f>+D38</f>
        <v/>
      </c>
      <c r="F38" s="1497" t="n">
        <v>0</v>
      </c>
      <c r="G38" s="1510" t="n"/>
      <c r="H38" s="1510" t="n"/>
      <c r="I38" s="1510" t="n">
        <v>0</v>
      </c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551" t="n"/>
      <c r="D39" s="1497">
        <f>+C39*9%</f>
        <v/>
      </c>
      <c r="E39" s="1497">
        <f>+D39</f>
        <v/>
      </c>
      <c r="F39" s="1497">
        <f>IF(D39&gt;0," ",C39*18%)</f>
        <v/>
      </c>
      <c r="G39" s="1510" t="n"/>
      <c r="H39" s="1510" t="n"/>
      <c r="I39" s="1510" t="n">
        <v>0</v>
      </c>
    </row>
    <row r="40" ht="15.75" customHeight="1">
      <c r="A40" s="1080" t="inlineStr">
        <is>
          <t>3312</t>
        </is>
      </c>
      <c r="B40" s="1220" t="inlineStr">
        <is>
          <t>O/W CHQ. RET. CHARGES</t>
        </is>
      </c>
      <c r="C40" s="1551" t="n"/>
      <c r="D40" s="1497">
        <f>+C40*9%</f>
        <v/>
      </c>
      <c r="E40" s="1497">
        <f>+D40</f>
        <v/>
      </c>
      <c r="F40" s="1497">
        <f>IF(D40&gt;0," ",C40*18%)</f>
        <v/>
      </c>
      <c r="G40" s="1510" t="n"/>
      <c r="H40" s="1510" t="n"/>
      <c r="I40" s="1510" t="n">
        <v>0</v>
      </c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551" t="n"/>
      <c r="D41" s="1497">
        <f>+C41*9%</f>
        <v/>
      </c>
      <c r="E41" s="1497">
        <f>+D41</f>
        <v/>
      </c>
      <c r="F41" s="1497">
        <f>IF(D41&gt;0," ",C41*18%)</f>
        <v/>
      </c>
      <c r="G41" s="1510" t="n"/>
      <c r="H41" s="1510" t="n"/>
      <c r="I41" s="1510" t="n">
        <v>0</v>
      </c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551" t="n"/>
      <c r="D42" s="1497">
        <f>+C42*9%</f>
        <v/>
      </c>
      <c r="E42" s="1497">
        <f>+D42</f>
        <v/>
      </c>
      <c r="F42" s="1497">
        <f>IF(D42&gt;0," ",C42*18%)</f>
        <v/>
      </c>
      <c r="G42" s="1510" t="n"/>
      <c r="H42" s="1510" t="n"/>
      <c r="I42" s="1510" t="n">
        <v>0</v>
      </c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551" t="n"/>
      <c r="D43" s="1497">
        <f>+C43*9%</f>
        <v/>
      </c>
      <c r="E43" s="1497">
        <f>+D43</f>
        <v/>
      </c>
      <c r="F43" s="1497">
        <f>IF(D43&gt;0," ",C43*18%)</f>
        <v/>
      </c>
      <c r="G43" s="1510" t="n"/>
      <c r="H43" s="1510" t="n"/>
      <c r="I43" s="1510" t="n">
        <v>0</v>
      </c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551" t="n"/>
      <c r="D44" s="1497">
        <f>+C44*9%</f>
        <v/>
      </c>
      <c r="E44" s="1497">
        <f>+D44</f>
        <v/>
      </c>
      <c r="F44" s="1497">
        <f>IF(D44&gt;0," ",C44*18%)</f>
        <v/>
      </c>
      <c r="G44" s="1510" t="n"/>
      <c r="H44" s="1510" t="n"/>
      <c r="I44" s="1510" t="n">
        <v>0</v>
      </c>
    </row>
    <row r="45" ht="15.75" customHeight="1">
      <c r="A45" s="161" t="n">
        <v>3317</v>
      </c>
      <c r="B45" s="1220" t="inlineStr">
        <is>
          <t>THE P&amp;T CHARGES FOR LC/BG</t>
        </is>
      </c>
      <c r="C45" s="1551" t="n"/>
      <c r="D45" s="1497">
        <f>+C45*9%</f>
        <v/>
      </c>
      <c r="E45" s="1497">
        <f>+D45</f>
        <v/>
      </c>
      <c r="F45" s="1497">
        <f>IF(D45&gt;0," ",C45*18%)</f>
        <v/>
      </c>
      <c r="G45" s="1510" t="n"/>
      <c r="H45" s="1510" t="n"/>
      <c r="I45" s="1510" t="n">
        <v>0</v>
      </c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551" t="n"/>
      <c r="D46" s="1497">
        <f>+C46*9%</f>
        <v/>
      </c>
      <c r="E46" s="1497">
        <f>+D46</f>
        <v/>
      </c>
      <c r="F46" s="1497">
        <f>IF(D46&gt;0," ",C46*18%)</f>
        <v/>
      </c>
      <c r="G46" s="1510" t="n"/>
      <c r="H46" s="1510" t="n"/>
      <c r="I46" s="1510" t="n">
        <v>0</v>
      </c>
    </row>
    <row r="47" ht="15.75" customHeight="1">
      <c r="A47" s="161" t="n">
        <v>3320</v>
      </c>
      <c r="B47" s="1220" t="inlineStr">
        <is>
          <t>RENT ON LOCKER</t>
        </is>
      </c>
      <c r="C47" s="1551" t="n"/>
      <c r="D47" s="1497">
        <f>+C47*9%</f>
        <v/>
      </c>
      <c r="E47" s="1497">
        <f>+D47</f>
        <v/>
      </c>
      <c r="F47" s="1497">
        <f>IF(D47&gt;0," ",C47*18%)</f>
        <v/>
      </c>
      <c r="G47" s="1510" t="n"/>
      <c r="H47" s="1510" t="n"/>
      <c r="I47" s="1510" t="n">
        <v>0</v>
      </c>
    </row>
    <row r="48" ht="15.75" customHeight="1">
      <c r="A48" s="161" t="n">
        <v>3321</v>
      </c>
      <c r="B48" s="1220" t="inlineStr">
        <is>
          <t>ADHOC LIMIT CHARGES</t>
        </is>
      </c>
      <c r="C48" s="1551" t="n"/>
      <c r="D48" s="1497">
        <f>+C48*9%</f>
        <v/>
      </c>
      <c r="E48" s="1497">
        <f>+D48</f>
        <v/>
      </c>
      <c r="F48" s="1497">
        <f>IF(D48&gt;0," ",C48*18%)</f>
        <v/>
      </c>
      <c r="G48" s="1510" t="n"/>
      <c r="H48" s="1510" t="n"/>
      <c r="I48" s="1510" t="n">
        <v>0</v>
      </c>
    </row>
    <row r="49" ht="15.75" customHeight="1">
      <c r="A49" s="161" t="n">
        <v>3322</v>
      </c>
      <c r="B49" s="1220" t="inlineStr">
        <is>
          <t>INCOME FROM SALE OF OLD NEWS PAPERS</t>
        </is>
      </c>
      <c r="C49" s="1551" t="n"/>
      <c r="D49" s="1497">
        <f>+C49*5%</f>
        <v/>
      </c>
      <c r="E49" s="1497">
        <f>+D49</f>
        <v/>
      </c>
      <c r="F49" s="1497" t="n"/>
      <c r="G49" s="1510" t="n"/>
      <c r="H49" s="1510" t="n"/>
      <c r="I49" s="1510" t="n">
        <v>0</v>
      </c>
    </row>
    <row r="50" ht="15.75" customHeight="1">
      <c r="A50" s="161" t="n">
        <v>3324</v>
      </c>
      <c r="B50" s="1220" t="inlineStr">
        <is>
          <t>PENALTY ON OVERDUE LOCKER RENT</t>
        </is>
      </c>
      <c r="C50" s="1551" t="n"/>
      <c r="D50" s="1497">
        <f>+C50*9%</f>
        <v/>
      </c>
      <c r="E50" s="1497">
        <f>+D50</f>
        <v/>
      </c>
      <c r="F50" s="1497" t="n"/>
      <c r="G50" s="1510" t="n"/>
      <c r="H50" s="1510" t="n"/>
      <c r="I50" s="1510" t="n">
        <v>0</v>
      </c>
    </row>
    <row r="51" ht="15.75" customHeight="1">
      <c r="A51" s="1187" t="n">
        <v>3325</v>
      </c>
      <c r="B51" s="1220" t="inlineStr">
        <is>
          <t>MICR CLEARING CHARGES</t>
        </is>
      </c>
      <c r="C51" s="1551" t="n"/>
      <c r="D51" s="1497">
        <f>+C51*9%</f>
        <v/>
      </c>
      <c r="E51" s="1497">
        <f>+D51</f>
        <v/>
      </c>
      <c r="F51" s="1497" t="n"/>
      <c r="G51" s="1510" t="n"/>
      <c r="H51" s="1510" t="n"/>
      <c r="I51" s="1510" t="n">
        <v>0</v>
      </c>
    </row>
    <row r="52" ht="15.75" customHeight="1">
      <c r="A52" s="161" t="n">
        <v>3380</v>
      </c>
      <c r="B52" s="1220" t="inlineStr">
        <is>
          <t>STATEMENT CHARGES</t>
        </is>
      </c>
      <c r="C52" s="1551" t="n"/>
      <c r="D52" s="1497">
        <f>+C52*9%</f>
        <v/>
      </c>
      <c r="E52" s="1497">
        <f>+D52</f>
        <v/>
      </c>
      <c r="F52" s="1497" t="n"/>
      <c r="G52" s="1510" t="n"/>
      <c r="H52" s="1510" t="n"/>
      <c r="I52" s="1510" t="n">
        <v>0</v>
      </c>
    </row>
    <row r="53" ht="15.75" customHeight="1">
      <c r="A53" s="161" t="n">
        <v>3391</v>
      </c>
      <c r="B53" s="1220" t="inlineStr">
        <is>
          <t>SMS CHARGES INCOME RECEIVED</t>
        </is>
      </c>
      <c r="C53" s="1551" t="n"/>
      <c r="D53" s="1497">
        <f>+C53*9%</f>
        <v/>
      </c>
      <c r="E53" s="1497">
        <f>+D53</f>
        <v/>
      </c>
      <c r="F53" s="1497">
        <f>IF(D53&gt;0," ",C53*18%)</f>
        <v/>
      </c>
      <c r="G53" s="1510" t="n"/>
      <c r="H53" s="1510" t="n"/>
      <c r="I53" s="1510" t="n">
        <v>0</v>
      </c>
    </row>
    <row r="54" ht="15.75" customHeight="1">
      <c r="A54" s="1187" t="n">
        <v>3359</v>
      </c>
      <c r="B54" s="1220" t="inlineStr">
        <is>
          <t>COMMITMENT CHARGES</t>
        </is>
      </c>
      <c r="C54" s="1551" t="n"/>
      <c r="D54" s="1497">
        <f>+C54*9%</f>
        <v/>
      </c>
      <c r="E54" s="1497">
        <f>+D54</f>
        <v/>
      </c>
      <c r="F54" s="1497" t="n">
        <v>0</v>
      </c>
      <c r="G54" s="1510" t="n"/>
      <c r="H54" s="1510" t="n"/>
      <c r="I54" s="1510" t="n">
        <v>0</v>
      </c>
    </row>
    <row r="55" ht="15.75" customHeight="1">
      <c r="A55" s="161" t="n">
        <v>3825</v>
      </c>
      <c r="B55" s="1220" t="inlineStr">
        <is>
          <t>EXTERNAL AUDIT FEES</t>
        </is>
      </c>
      <c r="C55" s="1551" t="n"/>
      <c r="D55" s="1497">
        <f>+C55*9%</f>
        <v/>
      </c>
      <c r="E55" s="1497">
        <f>+D55</f>
        <v/>
      </c>
      <c r="F55" s="1497" t="n"/>
      <c r="G55" s="1510" t="n"/>
      <c r="H55" s="1510" t="n"/>
      <c r="I55" s="1510" t="n">
        <v>0</v>
      </c>
    </row>
    <row r="56" ht="15.75" customHeight="1">
      <c r="A56" s="161" t="n">
        <v>3362</v>
      </c>
      <c r="B56" s="1220" t="inlineStr">
        <is>
          <t>FORECLOSURE CHARGES</t>
        </is>
      </c>
      <c r="C56" s="1551" t="n"/>
      <c r="D56" s="1497">
        <f>+C56*9%</f>
        <v/>
      </c>
      <c r="E56" s="1497">
        <f>+D56</f>
        <v/>
      </c>
      <c r="F56" s="1497" t="n"/>
      <c r="G56" s="1510" t="n"/>
      <c r="H56" s="1510" t="n"/>
      <c r="I56" s="1510" t="n">
        <v>0</v>
      </c>
    </row>
    <row r="57" ht="15.75" customHeight="1">
      <c r="A57" s="1187" t="n">
        <v>3340</v>
      </c>
      <c r="B57" s="1220" t="inlineStr">
        <is>
          <t>LOAN PROCESSING FEES</t>
        </is>
      </c>
      <c r="C57" s="1551" t="n"/>
      <c r="D57" s="1497">
        <f>+C57*9%</f>
        <v/>
      </c>
      <c r="E57" s="1497">
        <f>+D57</f>
        <v/>
      </c>
      <c r="F57" s="1497">
        <f>IF(D57&gt;0," ",C57*18%)</f>
        <v/>
      </c>
      <c r="G57" s="1510" t="n"/>
      <c r="H57" s="1510" t="n"/>
      <c r="I57" s="1510" t="n">
        <v>0</v>
      </c>
    </row>
    <row r="58" ht="15.75" customHeight="1">
      <c r="A58" s="162" t="inlineStr">
        <is>
          <t>GL</t>
        </is>
      </c>
      <c r="B58" s="1220" t="n"/>
      <c r="C58" s="1551" t="n"/>
      <c r="D58" s="1497">
        <f>+C58*9%</f>
        <v/>
      </c>
      <c r="E58" s="1497">
        <f>+D58</f>
        <v/>
      </c>
      <c r="F58" s="1497" t="n"/>
      <c r="G58" s="1510" t="n"/>
      <c r="H58" s="1510" t="n"/>
      <c r="I58" s="1510" t="n">
        <v>0</v>
      </c>
    </row>
    <row r="59" ht="15.75" customHeight="1">
      <c r="A59" s="161" t="inlineStr">
        <is>
          <t>1720</t>
        </is>
      </c>
      <c r="B59" s="1220" t="inlineStr">
        <is>
          <t>COMM. RECD. BUT NOT ACCRUED</t>
        </is>
      </c>
      <c r="C59" s="1551" t="n"/>
      <c r="D59" s="1497">
        <f>+C59*9%</f>
        <v/>
      </c>
      <c r="E59" s="1497">
        <f>+D59</f>
        <v/>
      </c>
      <c r="F59" s="1497" t="n"/>
      <c r="G59" s="1510" t="n"/>
      <c r="H59" s="1510" t="n"/>
      <c r="I59" s="1510" t="n">
        <v>0</v>
      </c>
    </row>
    <row r="60" ht="15.75" customHeight="1">
      <c r="A60" s="1080" t="inlineStr">
        <is>
          <t>1836</t>
        </is>
      </c>
      <c r="B60" s="1220" t="inlineStr">
        <is>
          <t>RENT ON LOCKER RECEIVED BUT</t>
        </is>
      </c>
      <c r="C60" s="1551" t="n"/>
      <c r="D60" s="1497">
        <f>+C60*9%</f>
        <v/>
      </c>
      <c r="E60" s="1497">
        <f>+D60</f>
        <v/>
      </c>
      <c r="F60" s="1497">
        <f>IF(D60&gt;0," ",C60*18%)</f>
        <v/>
      </c>
      <c r="G60" s="1551" t="n"/>
      <c r="H60" s="1510" t="n"/>
      <c r="I60" s="1510" t="n">
        <v>0</v>
      </c>
    </row>
    <row r="61" ht="15.75" customHeight="1">
      <c r="A61" s="163" t="inlineStr">
        <is>
          <t xml:space="preserve"> </t>
        </is>
      </c>
      <c r="B61" s="1220" t="inlineStr">
        <is>
          <t>NOT ACCRUED</t>
        </is>
      </c>
      <c r="C61" s="1551" t="n"/>
      <c r="D61" s="1497">
        <f>+C61*9%</f>
        <v/>
      </c>
      <c r="E61" s="1497">
        <f>+D61</f>
        <v/>
      </c>
      <c r="F61" s="1497" t="n"/>
      <c r="G61" s="1510" t="n"/>
      <c r="H61" s="1510" t="n"/>
      <c r="I61" s="1510" t="n">
        <v>0</v>
      </c>
    </row>
    <row r="62" ht="15.75" customHeight="1">
      <c r="A62" s="432" t="n"/>
      <c r="B62" s="433" t="inlineStr">
        <is>
          <t>SALE OF ASSET ( CASH COUNTING MACHINE)</t>
        </is>
      </c>
      <c r="C62" s="1551" t="n"/>
      <c r="D62" s="1497">
        <f>+C62*9%</f>
        <v/>
      </c>
      <c r="E62" s="1500">
        <f>+D62</f>
        <v/>
      </c>
      <c r="F62" s="1500" t="n"/>
      <c r="G62" s="1510" t="n"/>
      <c r="H62" s="1510" t="n"/>
      <c r="I62" s="1510" t="n">
        <v>0</v>
      </c>
    </row>
    <row r="63" ht="16.5" customHeight="1" thickBot="1">
      <c r="A63" s="12" t="n"/>
      <c r="B63" s="11" t="inlineStr">
        <is>
          <t>TOTAL :</t>
        </is>
      </c>
      <c r="C63" s="1501">
        <f>SUM(C9:C62)</f>
        <v/>
      </c>
      <c r="D63" s="1501">
        <f>SUM(D9:D62)</f>
        <v/>
      </c>
      <c r="E63" s="1501">
        <f>SUM(E9:E62)</f>
        <v/>
      </c>
      <c r="F63" s="1501">
        <f>SUM(F9:F62)</f>
        <v/>
      </c>
      <c r="G63" s="200">
        <f>+SUM(G9:G61)</f>
        <v/>
      </c>
      <c r="H63" s="200">
        <f>+SUM(H9:H61)</f>
        <v/>
      </c>
      <c r="I63" s="200">
        <f>+SUM(I9:I61)</f>
        <v/>
      </c>
    </row>
    <row r="64" ht="16.5" customHeight="1" thickTop="1">
      <c r="A64" s="9" t="inlineStr">
        <is>
          <t>RCM</t>
        </is>
      </c>
      <c r="B64" s="8" t="n"/>
      <c r="C64" s="1502" t="n"/>
      <c r="D64" s="1502" t="inlineStr">
        <is>
          <t xml:space="preserve">   </t>
        </is>
      </c>
      <c r="E64" s="1502" t="n"/>
      <c r="F64" s="6" t="n"/>
    </row>
    <row r="65" ht="15.75" customHeight="1">
      <c r="A65" s="1448" t="inlineStr">
        <is>
          <t>PL 3750</t>
        </is>
      </c>
      <c r="B65" s="1243" t="inlineStr">
        <is>
          <t>LAW CHARGES (EXCLUSIVE)</t>
        </is>
      </c>
      <c r="C65" s="1497" t="n">
        <v>0</v>
      </c>
      <c r="D65" s="1503">
        <f>+C65*9%</f>
        <v/>
      </c>
      <c r="E65" s="1503">
        <f>+D65</f>
        <v/>
      </c>
      <c r="F65" s="1503">
        <f>IF(D65&gt;0," ",C65*18%)</f>
        <v/>
      </c>
      <c r="H65" s="469" t="n"/>
    </row>
    <row r="66" ht="15.75" customHeight="1">
      <c r="A66" s="1448" t="inlineStr">
        <is>
          <t>PL 3751</t>
        </is>
      </c>
      <c r="B66" s="1243" t="inlineStr">
        <is>
          <t>INCIDENTAL LAW CHARGES (EXCLUSIVE)</t>
        </is>
      </c>
      <c r="C66" s="1497" t="n">
        <v>0</v>
      </c>
      <c r="D66" s="1503">
        <f>+C66*9%</f>
        <v/>
      </c>
      <c r="E66" s="1503">
        <f>+D66</f>
        <v/>
      </c>
      <c r="F66" s="1503">
        <f>IF(D66&gt;0," ",C66*18%)</f>
        <v/>
      </c>
      <c r="G66" s="1084">
        <f>+C63*0.09</f>
        <v/>
      </c>
      <c r="H66" s="32">
        <f>+C63*0.09</f>
        <v/>
      </c>
    </row>
    <row r="67" ht="15.75" customHeight="1">
      <c r="A67" s="1210" t="inlineStr">
        <is>
          <t xml:space="preserve">SUMMARY </t>
        </is>
      </c>
    </row>
    <row r="68" ht="15.75" customHeight="1">
      <c r="A68" s="1214" t="n"/>
      <c r="B68" s="1214" t="n"/>
      <c r="C68" s="1214" t="n"/>
      <c r="D68" s="1214" t="n"/>
      <c r="E68" s="1214" t="n"/>
      <c r="F68" s="1214" t="n"/>
      <c r="G68" s="1084">
        <f>C59*9%</f>
        <v/>
      </c>
    </row>
    <row r="69" ht="15.75" customHeight="1">
      <c r="A69" s="29" t="inlineStr">
        <is>
          <t>(1) INCOME</t>
        </is>
      </c>
      <c r="B69" s="29" t="n"/>
      <c r="C69" s="3" t="n"/>
      <c r="D69" s="3" t="n"/>
      <c r="E69" s="3" t="n"/>
      <c r="F69" s="3" t="n"/>
    </row>
    <row r="70">
      <c r="A70" s="1213" t="inlineStr">
        <is>
          <t>PARTICULARS</t>
        </is>
      </c>
      <c r="B70" s="1504" t="n"/>
      <c r="C70" s="1505" t="n"/>
      <c r="D70" s="1213" t="inlineStr">
        <is>
          <t>GGST</t>
        </is>
      </c>
      <c r="E70" s="1213" t="inlineStr">
        <is>
          <t>CGST</t>
        </is>
      </c>
      <c r="F70" s="1213" t="inlineStr">
        <is>
          <t>IGST</t>
        </is>
      </c>
    </row>
    <row r="71">
      <c r="A71" s="1506" t="n"/>
      <c r="B71" s="1041" t="n"/>
      <c r="C71" s="1507" t="n"/>
      <c r="D71" s="1494" t="n"/>
      <c r="E71" s="1494" t="n"/>
      <c r="F71" s="1494" t="n"/>
    </row>
    <row r="72" ht="15.75" customHeight="1">
      <c r="A72" s="1220" t="inlineStr">
        <is>
          <t>(1) INCOME AS PER LEDGERWISE CALCULATION</t>
        </is>
      </c>
      <c r="B72" s="1042" t="n"/>
      <c r="C72" s="1508" t="n"/>
      <c r="D72" s="105">
        <f>+D63</f>
        <v/>
      </c>
      <c r="E72" s="105">
        <f>+E63</f>
        <v/>
      </c>
      <c r="F72" s="30" t="n">
        <v>0</v>
      </c>
    </row>
    <row r="73" ht="15.75" customHeight="1">
      <c r="A73" s="1243" t="inlineStr">
        <is>
          <t>(2) REFUND GIVEN BUT GST REFUND NOT GIVEN</t>
        </is>
      </c>
      <c r="B73" s="1243" t="n"/>
      <c r="C73" s="1243">
        <f>G63</f>
        <v/>
      </c>
      <c r="D73" s="106">
        <f>+C73*9%</f>
        <v/>
      </c>
      <c r="E73" s="106">
        <f>+D73</f>
        <v/>
      </c>
      <c r="F73" s="30" t="n">
        <v>0</v>
      </c>
    </row>
    <row r="74" ht="15.75" customHeight="1">
      <c r="A74" s="1243" t="n"/>
      <c r="B74" s="1243" t="n"/>
      <c r="C74" s="1243" t="n"/>
      <c r="D74" s="105">
        <f>+D72+D73</f>
        <v/>
      </c>
      <c r="E74" s="105">
        <f>+E72+E73</f>
        <v/>
      </c>
      <c r="F74" s="30" t="n">
        <v>0</v>
      </c>
    </row>
    <row r="75" ht="15.75" customHeight="1">
      <c r="A75" s="1220" t="inlineStr">
        <is>
          <t>(3) PAYABLE AS PER LEDGER</t>
        </is>
      </c>
      <c r="B75" s="1042" t="n"/>
      <c r="C75" s="1508" t="n"/>
      <c r="D75" s="108" t="n"/>
      <c r="E75" s="108">
        <f>+D75</f>
        <v/>
      </c>
      <c r="F75" s="26" t="n">
        <v>0</v>
      </c>
      <c r="H75" s="627" t="n"/>
      <c r="J75" s="1547" t="n"/>
    </row>
    <row r="76" ht="15.75" customHeight="1">
      <c r="A76" s="1221" t="inlineStr">
        <is>
          <t>DIFFERENCE</t>
        </is>
      </c>
      <c r="B76" s="1042" t="n"/>
      <c r="C76" s="1508" t="n"/>
      <c r="D76" s="800">
        <f>D74-D75</f>
        <v/>
      </c>
      <c r="E76" s="800">
        <f>+E74-E75</f>
        <v/>
      </c>
      <c r="F76" s="26">
        <f>IF(F72&gt;F75,F72,F75)</f>
        <v/>
      </c>
      <c r="G76" s="1084">
        <f>+D76/9%</f>
        <v/>
      </c>
    </row>
    <row r="77" ht="15.75" customHeight="1">
      <c r="A77" s="3" t="n"/>
      <c r="B77" s="2" t="n"/>
      <c r="C77" s="3" t="n"/>
      <c r="D77" s="3" t="n"/>
      <c r="E77" s="3" t="n"/>
      <c r="F77" s="3" t="n"/>
    </row>
    <row r="78" ht="15.75" customHeight="1">
      <c r="A78" s="27" t="inlineStr">
        <is>
          <t>(2) INPUT TAX CREDIT</t>
        </is>
      </c>
      <c r="B78" s="2" t="n"/>
      <c r="C78" s="3" t="n"/>
      <c r="D78" s="3" t="n"/>
      <c r="E78" s="3" t="n"/>
      <c r="F78" s="3" t="n"/>
    </row>
    <row r="79">
      <c r="A79" s="1421" t="inlineStr">
        <is>
          <t>PARTICULARS</t>
        </is>
      </c>
      <c r="B79" s="1504" t="n"/>
      <c r="C79" s="1505" t="n"/>
      <c r="D79" s="1421" t="inlineStr">
        <is>
          <t>GL 8546 GGST</t>
        </is>
      </c>
      <c r="E79" s="1343" t="inlineStr">
        <is>
          <t>GL 8547 CGST</t>
        </is>
      </c>
      <c r="F79" s="1343" t="inlineStr">
        <is>
          <t>GL 8548 IGST</t>
        </is>
      </c>
    </row>
    <row r="80">
      <c r="A80" s="1506" t="n"/>
      <c r="B80" s="1041" t="n"/>
      <c r="C80" s="1507" t="n"/>
      <c r="D80" s="1494" t="n"/>
      <c r="E80" s="1494" t="n"/>
      <c r="F80" s="1494" t="n"/>
      <c r="G80" s="32" t="n"/>
    </row>
    <row r="81">
      <c r="A81" s="1228" t="n"/>
      <c r="B81" s="1042" t="n"/>
      <c r="C81" s="1508" t="n"/>
      <c r="D81" s="1228" t="n"/>
      <c r="E81" s="1228" t="n"/>
      <c r="F81" s="1228" t="n"/>
      <c r="G81" s="32" t="n"/>
    </row>
    <row r="82" ht="15.75" customHeight="1">
      <c r="A82" s="1220" t="inlineStr">
        <is>
          <t>CURRENT MONTH INPUT TAX CREDIT AVAILABLE</t>
        </is>
      </c>
      <c r="B82" s="1042" t="n"/>
      <c r="C82" s="1508" t="n"/>
      <c r="D82" s="108" t="n"/>
      <c r="E82" s="108">
        <f>+D82</f>
        <v/>
      </c>
      <c r="F82" s="108" t="n">
        <v>0</v>
      </c>
      <c r="G82" s="32">
        <f>+E82/2</f>
        <v/>
      </c>
      <c r="H82" s="32">
        <f>+G82</f>
        <v/>
      </c>
      <c r="I82" s="32">
        <f>+F82/2</f>
        <v/>
      </c>
    </row>
    <row r="83" ht="15.75" customHeight="1">
      <c r="A83" s="1228" t="inlineStr">
        <is>
          <t>LESS : CREDIT CANNOT BE UTILISED (BCUZ GST NO NOT AVAILABLE IN BILL)</t>
        </is>
      </c>
      <c r="B83" s="1042" t="n"/>
      <c r="C83" s="1508" t="n"/>
      <c r="D83" s="579">
        <f>+C93</f>
        <v/>
      </c>
      <c r="E83" s="105">
        <f>D83</f>
        <v/>
      </c>
      <c r="F83" s="105">
        <f>+E93</f>
        <v/>
      </c>
      <c r="G83" s="32">
        <f>+E83/2</f>
        <v/>
      </c>
      <c r="H83" s="32">
        <f>+G83</f>
        <v/>
      </c>
      <c r="I83" s="32">
        <f>+F83/2</f>
        <v/>
      </c>
    </row>
    <row r="84" ht="16.5" customHeight="1" thickBot="1">
      <c r="A84" s="1219" t="inlineStr">
        <is>
          <t>ELIGIBLE CREDIT</t>
        </is>
      </c>
      <c r="B84" s="1042" t="n"/>
      <c r="C84" s="1508" t="n"/>
      <c r="D84" s="108">
        <f>+D82-D83</f>
        <v/>
      </c>
      <c r="E84" s="108">
        <f>+E82-E83</f>
        <v/>
      </c>
      <c r="F84" s="1528">
        <f>+F82-F83</f>
        <v/>
      </c>
      <c r="G84" s="32">
        <f>+E84/2</f>
        <v/>
      </c>
      <c r="H84" s="32">
        <f>+G84</f>
        <v/>
      </c>
      <c r="I84" s="32">
        <f>+F84/2</f>
        <v/>
      </c>
    </row>
    <row r="85">
      <c r="A85" s="977" t="n"/>
      <c r="B85" s="978" t="n"/>
      <c r="C85" s="978" t="n"/>
      <c r="D85" s="978" t="n"/>
      <c r="E85" s="978" t="n"/>
      <c r="F85" s="979" t="n"/>
    </row>
    <row r="86" ht="15.75" customHeight="1" thickBot="1">
      <c r="A86" s="980" t="n"/>
      <c r="B86" s="981" t="n"/>
      <c r="C86" s="981" t="n"/>
      <c r="D86" s="981" t="n"/>
      <c r="E86" s="981" t="n"/>
      <c r="F86" s="982" t="n"/>
    </row>
    <row r="87">
      <c r="B87" s="1087" t="n"/>
    </row>
    <row r="88">
      <c r="B88" s="145" t="inlineStr">
        <is>
          <t>OUR GST NO. NOT REFLECTED ON CENVAT BILLS</t>
        </is>
      </c>
      <c r="C88" s="112" t="n"/>
      <c r="D88" s="112" t="n"/>
      <c r="E88" s="112" t="inlineStr">
        <is>
          <t xml:space="preserve"> </t>
        </is>
      </c>
    </row>
    <row r="89">
      <c r="B89" s="252" t="inlineStr">
        <is>
          <t>PARTY NAME</t>
        </is>
      </c>
      <c r="C89" s="141" t="inlineStr">
        <is>
          <t>CGST</t>
        </is>
      </c>
      <c r="D89" s="141" t="inlineStr">
        <is>
          <t>SGST</t>
        </is>
      </c>
      <c r="E89" s="171" t="inlineStr">
        <is>
          <t>IGST</t>
        </is>
      </c>
    </row>
    <row r="90">
      <c r="B90" s="1228" t="inlineStr">
        <is>
          <t>BSNL</t>
        </is>
      </c>
      <c r="C90" s="1228" t="n"/>
      <c r="D90" s="1228">
        <f>+C90</f>
        <v/>
      </c>
      <c r="E90" s="169" t="n">
        <v>0</v>
      </c>
    </row>
    <row r="91">
      <c r="B91" s="517" t="inlineStr">
        <is>
          <t>ROHAN AGENCY</t>
        </is>
      </c>
      <c r="C91" s="1228" t="n">
        <v>0</v>
      </c>
      <c r="D91" s="1228">
        <f>+C91</f>
        <v/>
      </c>
      <c r="E91" s="169" t="n"/>
    </row>
    <row r="92">
      <c r="B92" s="1228" t="inlineStr">
        <is>
          <t>ORCHID CENTER COMM CO-OP SER SOC LTO</t>
        </is>
      </c>
      <c r="C92" s="1228" t="n">
        <v>0</v>
      </c>
      <c r="D92" s="1228">
        <f>+C92</f>
        <v/>
      </c>
      <c r="E92" s="169" t="n">
        <v>0</v>
      </c>
    </row>
    <row r="93" ht="15.75" customHeight="1">
      <c r="A93" s="126" t="n"/>
      <c r="B93" s="1228" t="n"/>
      <c r="C93" s="1228">
        <f>+SUM(C90:C92)</f>
        <v/>
      </c>
      <c r="D93" s="1228">
        <f>+SUM(D90:D92)</f>
        <v/>
      </c>
      <c r="E93" s="1228">
        <f>+SUM(E90:E92)</f>
        <v/>
      </c>
      <c r="G93" s="1084">
        <f>+C93/2</f>
        <v/>
      </c>
      <c r="H93" s="32">
        <f>+E93/2</f>
        <v/>
      </c>
    </row>
    <row r="94" ht="15.75" customHeight="1">
      <c r="A94" s="126" t="n"/>
    </row>
    <row r="96">
      <c r="A96" s="204" t="n"/>
      <c r="B96" s="204" t="n"/>
      <c r="C96" s="204" t="n"/>
      <c r="D96" s="204" t="n"/>
      <c r="E96" s="204" t="n"/>
      <c r="F96" s="204" t="n"/>
    </row>
    <row r="97">
      <c r="A97" s="204" t="n"/>
      <c r="B97" s="204" t="n"/>
      <c r="C97" s="204" t="n"/>
      <c r="D97" s="204" t="n"/>
      <c r="E97" s="204" t="n"/>
      <c r="F97" s="204" t="n"/>
    </row>
    <row r="98">
      <c r="A98" s="204" t="n"/>
      <c r="B98" s="204" t="n"/>
      <c r="C98" s="204" t="n"/>
      <c r="D98" s="204" t="n"/>
      <c r="E98" s="204" t="n"/>
      <c r="F98" s="204" t="n"/>
    </row>
  </sheetData>
  <mergeCells count="28">
    <mergeCell ref="E79:E80"/>
    <mergeCell ref="A75:C75"/>
    <mergeCell ref="A84:C84"/>
    <mergeCell ref="D70:D71"/>
    <mergeCell ref="G7:G8"/>
    <mergeCell ref="F70:F71"/>
    <mergeCell ref="I7:I8"/>
    <mergeCell ref="A3:F3"/>
    <mergeCell ref="D6:E6"/>
    <mergeCell ref="A76:C76"/>
    <mergeCell ref="F79:F80"/>
    <mergeCell ref="A5:F5"/>
    <mergeCell ref="A79:C80"/>
    <mergeCell ref="D7:D8"/>
    <mergeCell ref="A70:C71"/>
    <mergeCell ref="H7:H8"/>
    <mergeCell ref="A4:F4"/>
    <mergeCell ref="A81:C81"/>
    <mergeCell ref="A72:C72"/>
    <mergeCell ref="E70:E71"/>
    <mergeCell ref="A67:F67"/>
    <mergeCell ref="E7:E8"/>
    <mergeCell ref="A83:C83"/>
    <mergeCell ref="A82:C82"/>
    <mergeCell ref="D79:D80"/>
    <mergeCell ref="A1:F1"/>
    <mergeCell ref="B7:B8"/>
    <mergeCell ref="F7:F8"/>
  </mergeCells>
  <conditionalFormatting sqref="A29:A30 A31:B34 A36:B53 D55:F56 F53 G82:XFD1048576">
    <cfRule type="containsText" priority="54" operator="containsText" dxfId="0" text="LESS COLLECTED">
      <formula>NOT(ISERROR(SEARCH("LESS COLLECTED",A29)))</formula>
    </cfRule>
  </conditionalFormatting>
  <conditionalFormatting sqref="A9:B21">
    <cfRule type="containsText" priority="45" operator="containsText" dxfId="0" text="LESS COLLECTED">
      <formula>NOT(ISERROR(SEARCH("LESS COLLECTED",A9)))</formula>
    </cfRule>
  </conditionalFormatting>
  <conditionalFormatting sqref="A35:B35">
    <cfRule type="containsText" priority="31" operator="containsText" dxfId="0" text="LESS COLLECTED">
      <formula>NOT(ISERROR(SEARCH("LESS COLLECTED",A35)))</formula>
    </cfRule>
  </conditionalFormatting>
  <conditionalFormatting sqref="A51:B51">
    <cfRule type="containsText" priority="36" operator="containsText" dxfId="0" text="LESS COLLECTED">
      <formula>NOT(ISERROR(SEARCH("LESS COLLECTED",A51)))</formula>
    </cfRule>
  </conditionalFormatting>
  <conditionalFormatting sqref="A55:B57">
    <cfRule type="containsText" priority="8" operator="containsText" dxfId="1" text="EXCESS COLLECTED">
      <formula>NOT(ISERROR(SEARCH("EXCESS COLLECTED",A55)))</formula>
    </cfRule>
    <cfRule type="containsText" priority="9" operator="containsText" dxfId="0" text="LESS COLLECTED">
      <formula>NOT(ISERROR(SEARCH("LESS COLLECTED",A55)))</formula>
    </cfRule>
  </conditionalFormatting>
  <conditionalFormatting sqref="A58:B62">
    <cfRule type="containsText" priority="56" operator="containsText" dxfId="0" text="LESS COLLECTED">
      <formula>NOT(ISERROR(SEARCH("LESS COLLECTED",A58)))</formula>
    </cfRule>
  </conditionalFormatting>
  <conditionalFormatting sqref="A1:XFD3 A4 A5:XFD7 A8:F8 A93 A94:E94 A95:F95 A99:F1048576 C93:E93 D9:XFD9 F87:F88 F93:F94 G4:XFD4 G76:XFD80 H75:XFD75 H81:XFD81 J8:XFD8">
    <cfRule type="containsText" priority="91" operator="containsText" dxfId="0" text="LESS COLLECTED">
      <formula>NOT(ISERROR(SEARCH("LESS COLLECTED",A1)))</formula>
    </cfRule>
  </conditionalFormatting>
  <conditionalFormatting sqref="B29:B30">
    <cfRule type="containsText" priority="51" operator="containsText" dxfId="1" text="EXCESS COLLECTED">
      <formula>NOT(ISERROR(SEARCH("EXCESS COLLECTED",B29)))</formula>
    </cfRule>
    <cfRule type="containsText" priority="52" operator="containsText" dxfId="0" text="LESS COLLECTED">
      <formula>NOT(ISERROR(SEARCH("LESS COLLECTED",B29)))</formula>
    </cfRule>
  </conditionalFormatting>
  <conditionalFormatting sqref="B62">
    <cfRule type="containsText" priority="55" operator="containsText" dxfId="1" text="EXCESS COLLECTED">
      <formula>NOT(ISERROR(SEARCH("EXCESS COLLECTED",B62)))</formula>
    </cfRule>
  </conditionalFormatting>
  <conditionalFormatting sqref="C9:C53 C55:C62">
    <cfRule type="containsText" priority="21" operator="containsText" dxfId="1" text="EXCESS COLLECTED">
      <formula>NOT(ISERROR(SEARCH("EXCESS COLLECTED",C9)))</formula>
    </cfRule>
    <cfRule type="containsText" priority="22" operator="containsText" dxfId="0" text="LESS COLLECTED">
      <formula>NOT(ISERROR(SEARCH("LESS COLLECTED",C9)))</formula>
    </cfRule>
  </conditionalFormatting>
  <conditionalFormatting sqref="A73:F74 B87:C92 C91:D91 D48 D70:E71 D87:D88 D90:D92 F48">
    <cfRule type="containsText" priority="83" operator="containsText" dxfId="1" text="EXCESS COLLECTED">
      <formula>NOT(ISERROR(SEARCH("EXCESS COLLECTED",A48)))</formula>
    </cfRule>
  </conditionalFormatting>
  <conditionalFormatting sqref="A22:B28 A63:F74 A87:E92 D36:F53">
    <cfRule type="containsText" priority="84" operator="containsText" dxfId="0" text="LESS COLLECTED">
      <formula>NOT(ISERROR(SEARCH("LESS COLLECTED",A22)))</formula>
    </cfRule>
  </conditionalFormatting>
  <conditionalFormatting sqref="A28:A30 A31:B32 A47:B53 D49:F53">
    <cfRule type="containsText" priority="53" operator="containsText" dxfId="1" text="EXCESS COLLECTED">
      <formula>NOT(ISERROR(SEARCH("EXCESS COLLECTED",A28)))</formula>
    </cfRule>
  </conditionalFormatting>
  <conditionalFormatting sqref="D51:F51">
    <cfRule type="containsText" priority="41" operator="containsText" dxfId="1" text="EXCESS COLLECTED">
      <formula>NOT(ISERROR(SEARCH("EXCESS COLLECTED",D51)))</formula>
    </cfRule>
    <cfRule type="containsText" priority="42" operator="containsText" dxfId="0" text="LESS COLLECTED">
      <formula>NOT(ISERROR(SEARCH("LESS COLLECTED",D51)))</formula>
    </cfRule>
  </conditionalFormatting>
  <conditionalFormatting sqref="D55:F57">
    <cfRule type="containsText" priority="10" operator="containsText" dxfId="1" text="EXCESS COLLECTED">
      <formula>NOT(ISERROR(SEARCH("EXCESS COLLECTED",D55)))</formula>
    </cfRule>
  </conditionalFormatting>
  <conditionalFormatting sqref="G60">
    <cfRule type="containsText" priority="6" operator="containsText" dxfId="1" text="EXCESS COLLECTED">
      <formula>NOT(ISERROR(SEARCH("EXCESS COLLECTED",G60)))</formula>
    </cfRule>
    <cfRule type="containsText" priority="7" operator="containsText" dxfId="0" text="LESS COLLECTED">
      <formula>NOT(ISERROR(SEARCH("LESS COLLECTED",G60)))</formula>
    </cfRule>
  </conditionalFormatting>
  <pageMargins left="0.7" right="0.7" top="0.75" bottom="0.75" header="0.3" footer="0.3"/>
  <pageSetup orientation="portrait" paperSize="9" scale="47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O101"/>
  <sheetViews>
    <sheetView topLeftCell="A67" workbookViewId="0">
      <selection activeCell="I68" sqref="I68"/>
    </sheetView>
  </sheetViews>
  <sheetFormatPr baseColWidth="8" defaultColWidth="9.140625" defaultRowHeight="15"/>
  <cols>
    <col width="17.28515625" customWidth="1" style="1084" min="1" max="1"/>
    <col width="43.7109375" customWidth="1" style="1084" min="2" max="2"/>
    <col width="14.85546875" bestFit="1" customWidth="1" style="1084" min="3" max="3"/>
    <col width="13.140625" bestFit="1" customWidth="1" style="1084" min="4" max="5"/>
    <col width="11.42578125" customWidth="1" style="1084" min="6" max="6"/>
    <col width="19.85546875" customWidth="1" style="1084" min="7" max="7"/>
    <col width="10.85546875" bestFit="1" customWidth="1" style="32" min="8" max="8"/>
    <col width="9.85546875" bestFit="1" customWidth="1" style="1084" min="9" max="9"/>
    <col width="9.710937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THALTEJ  BRANCH</t>
        </is>
      </c>
    </row>
    <row r="4" ht="15.75" customHeight="1">
      <c r="A4" s="1214" t="inlineStr">
        <is>
          <t>BRANCH CODE: 18</t>
        </is>
      </c>
    </row>
    <row r="5" ht="15.75" customHeight="1">
      <c r="A5" s="1210">
        <f>+BOPAL!A5</f>
        <v/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161" t="n">
        <v>3303</v>
      </c>
      <c r="B9" s="1220" t="inlineStr">
        <is>
          <t>DD CANCEL CHARGES</t>
        </is>
      </c>
      <c r="C9" s="1551" t="n"/>
      <c r="D9" s="1531">
        <f>+C9*9%</f>
        <v/>
      </c>
      <c r="E9" s="1531">
        <f>+D9</f>
        <v/>
      </c>
      <c r="F9" s="1531">
        <f>IF(D9&gt;0," ",C9*18%)</f>
        <v/>
      </c>
      <c r="G9" s="1510" t="n"/>
      <c r="H9" s="1510" t="n"/>
      <c r="I9" s="1510" t="n">
        <v>0</v>
      </c>
    </row>
    <row r="10" ht="15.75" customHeight="1">
      <c r="A10" s="161" t="inlineStr">
        <is>
          <t>3200</t>
        </is>
      </c>
      <c r="B10" s="1220" t="inlineStr">
        <is>
          <t>COMMISION ON BILLS</t>
        </is>
      </c>
      <c r="C10" s="1551" t="n"/>
      <c r="D10" s="1531">
        <f>+C10*9%</f>
        <v/>
      </c>
      <c r="E10" s="1531">
        <f>+D10</f>
        <v/>
      </c>
      <c r="F10" s="1531">
        <f>IF(D10&gt;0," ",C10*18%)</f>
        <v/>
      </c>
      <c r="G10" s="1510" t="n"/>
      <c r="H10" s="1510" t="n"/>
      <c r="I10" s="1510" t="n">
        <v>0</v>
      </c>
    </row>
    <row r="11" ht="15.75" customHeight="1">
      <c r="A11" s="1080" t="n">
        <v>3215</v>
      </c>
      <c r="B11" s="1220" t="inlineStr">
        <is>
          <t>COMMISION ON PAYORDER</t>
        </is>
      </c>
      <c r="C11" s="1551" t="n"/>
      <c r="D11" s="1531">
        <f>+C11*9%</f>
        <v/>
      </c>
      <c r="E11" s="1531">
        <f>+D11</f>
        <v/>
      </c>
      <c r="F11" s="1531" t="n">
        <v>0</v>
      </c>
      <c r="G11" s="1510" t="n"/>
      <c r="H11" s="1510" t="n"/>
      <c r="I11" s="1510" t="n">
        <v>0</v>
      </c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551" t="n"/>
      <c r="D12" s="1531">
        <f>+C12*9%</f>
        <v/>
      </c>
      <c r="E12" s="1531">
        <f>+D12</f>
        <v/>
      </c>
      <c r="F12" s="1531">
        <f>IF(D12&gt;0," ",C12*18%)</f>
        <v/>
      </c>
      <c r="G12" s="1510" t="n"/>
      <c r="H12" s="1510" t="n"/>
      <c r="I12" s="1510" t="n">
        <v>0</v>
      </c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551" t="n"/>
      <c r="D13" s="1531">
        <f>+C13*9%</f>
        <v/>
      </c>
      <c r="E13" s="1531">
        <f>+D13</f>
        <v/>
      </c>
      <c r="F13" s="1531">
        <f>IF(D13&gt;0," ",C13*18%)</f>
        <v/>
      </c>
      <c r="G13" s="1510" t="n"/>
      <c r="H13" s="1510" t="n"/>
      <c r="I13" s="1510" t="n">
        <v>0</v>
      </c>
      <c r="K13" s="1590" t="n"/>
    </row>
    <row r="14" ht="15.75" customHeight="1">
      <c r="A14" s="1080" t="inlineStr">
        <is>
          <t>3230</t>
        </is>
      </c>
      <c r="B14" s="1220" t="inlineStr">
        <is>
          <t>COMMISION ON GUARANTEE</t>
        </is>
      </c>
      <c r="C14" s="1551" t="n"/>
      <c r="D14" s="1531">
        <f>+C14*9%</f>
        <v/>
      </c>
      <c r="E14" s="1531">
        <f>+D14</f>
        <v/>
      </c>
      <c r="F14" s="1531">
        <f>IF(D14&gt;0," ",C14*18%)</f>
        <v/>
      </c>
      <c r="G14" s="1510" t="n"/>
      <c r="H14" s="1510" t="n"/>
      <c r="I14" s="1510" t="n">
        <v>0</v>
      </c>
    </row>
    <row r="15" ht="15.75" customHeight="1">
      <c r="A15" s="1080" t="n">
        <v>3235</v>
      </c>
      <c r="B15" s="1220" t="inlineStr">
        <is>
          <t>COMMISION ON DEMAND DRAFT</t>
        </is>
      </c>
      <c r="C15" s="1551" t="n"/>
      <c r="D15" s="1531">
        <f>+C15*9%</f>
        <v/>
      </c>
      <c r="E15" s="1531">
        <f>+D15</f>
        <v/>
      </c>
      <c r="F15" s="1531">
        <f>IF(D15&gt;0," ",C15*18%)</f>
        <v/>
      </c>
      <c r="G15" s="1510" t="n"/>
      <c r="H15" s="1510" t="n"/>
      <c r="I15" s="1510" t="n">
        <v>0</v>
      </c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551" t="n"/>
      <c r="D16" s="1531">
        <f>+C16*9%</f>
        <v/>
      </c>
      <c r="E16" s="1531">
        <f>+D16</f>
        <v/>
      </c>
      <c r="F16" s="1531">
        <f>IF(D16&gt;0," ",C16*18%)</f>
        <v/>
      </c>
      <c r="G16" s="1510" t="n"/>
      <c r="H16" s="1510" t="n"/>
      <c r="I16" s="1510" t="n">
        <v>0</v>
      </c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551" t="n"/>
      <c r="D17" s="1531">
        <f>+C17*9%</f>
        <v/>
      </c>
      <c r="E17" s="1531">
        <f>+D17</f>
        <v/>
      </c>
      <c r="F17" s="1531">
        <f>IF(D17&gt;0," ",C17*18%)</f>
        <v/>
      </c>
      <c r="G17" s="1510" t="n"/>
      <c r="H17" s="1510" t="n"/>
      <c r="I17" s="1510" t="n">
        <v>0</v>
      </c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551" t="n"/>
      <c r="D18" s="1531">
        <f>+C18*9%</f>
        <v/>
      </c>
      <c r="E18" s="1531">
        <f>+D18</f>
        <v/>
      </c>
      <c r="F18" s="1531">
        <f>IF(D18&gt;0," ",C18*18%)</f>
        <v/>
      </c>
      <c r="G18" s="1510" t="n"/>
      <c r="H18" s="1510" t="n"/>
      <c r="I18" s="1510" t="n">
        <v>0</v>
      </c>
    </row>
    <row r="19" ht="15.75" customHeight="1">
      <c r="A19" s="161" t="n">
        <v>3270</v>
      </c>
      <c r="B19" s="1220" t="inlineStr">
        <is>
          <t>PROCESSING CHARGE</t>
        </is>
      </c>
      <c r="C19" s="1551" t="n"/>
      <c r="D19" s="1531">
        <f>+C19*9%</f>
        <v/>
      </c>
      <c r="E19" s="1531">
        <f>+D19</f>
        <v/>
      </c>
      <c r="F19" s="1531" t="n">
        <v>0</v>
      </c>
      <c r="G19" s="1510" t="n"/>
      <c r="H19" s="1510" t="n"/>
      <c r="I19" s="1510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531">
        <f>+C20*9%</f>
        <v/>
      </c>
      <c r="E20" s="1531">
        <f>+D20</f>
        <v/>
      </c>
      <c r="F20" s="1531" t="n"/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531" t="n"/>
      <c r="E21" s="1531" t="n"/>
      <c r="F21" s="1531" t="n"/>
      <c r="G21" s="1510" t="n"/>
      <c r="H21" s="1510" t="n"/>
      <c r="I21" s="1510" t="n">
        <v>0</v>
      </c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551" t="n"/>
      <c r="D22" s="1531">
        <f>+C22*9%</f>
        <v/>
      </c>
      <c r="E22" s="1531">
        <f>+D22</f>
        <v/>
      </c>
      <c r="F22" s="1531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61" t="inlineStr">
        <is>
          <t>3280</t>
        </is>
      </c>
      <c r="B23" s="1220" t="inlineStr">
        <is>
          <t>INSURANCE PREMIUM</t>
        </is>
      </c>
      <c r="C23" s="1551" t="n"/>
      <c r="D23" s="1531">
        <f>+C23*9%</f>
        <v/>
      </c>
      <c r="E23" s="1531">
        <f>+D23</f>
        <v/>
      </c>
      <c r="F23" s="1531">
        <f>IF(D23&gt;0," ",C23*18%)</f>
        <v/>
      </c>
      <c r="G23" s="1510" t="n"/>
      <c r="H23" s="1510" t="n"/>
      <c r="I23" s="1510" t="n">
        <v>0</v>
      </c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551" t="n"/>
      <c r="D24" s="1531">
        <f>+C24*9%</f>
        <v/>
      </c>
      <c r="E24" s="1531">
        <f>+D24</f>
        <v/>
      </c>
      <c r="F24" s="1531">
        <f>IF(D24&gt;0," ",C24*18%)</f>
        <v/>
      </c>
      <c r="G24" s="1510" t="n"/>
      <c r="H24" s="1510" t="n"/>
      <c r="I24" s="1510" t="n">
        <v>0</v>
      </c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551" t="n"/>
      <c r="D25" s="1531">
        <f>+C25*9%</f>
        <v/>
      </c>
      <c r="E25" s="1531">
        <f>+D25</f>
        <v/>
      </c>
      <c r="F25" s="1531">
        <f>IF(D25&gt;0," ",C25*18%)</f>
        <v/>
      </c>
      <c r="G25" s="1510" t="n"/>
      <c r="H25" s="1510" t="n"/>
      <c r="I25" s="1510" t="n">
        <v>0</v>
      </c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551" t="n"/>
      <c r="D26" s="1531">
        <f>+C26*9%</f>
        <v/>
      </c>
      <c r="E26" s="1531">
        <f>+D26</f>
        <v/>
      </c>
      <c r="F26" s="1531">
        <f>IF(D26&gt;0," ",C26*18%)</f>
        <v/>
      </c>
      <c r="G26" s="1510" t="n"/>
      <c r="H26" s="1510" t="n"/>
      <c r="I26" s="1510" t="n">
        <v>0</v>
      </c>
    </row>
    <row r="27" ht="15.75" customHeight="1">
      <c r="A27" s="158" t="inlineStr">
        <is>
          <t>3287</t>
        </is>
      </c>
      <c r="B27" s="1220" t="inlineStr">
        <is>
          <t>COMM. ON PMSBY NEW INDIA ASSURANCE</t>
        </is>
      </c>
      <c r="C27" s="1551" t="n"/>
      <c r="D27" s="1531">
        <f>+C27*9%</f>
        <v/>
      </c>
      <c r="E27" s="1531">
        <f>+D27</f>
        <v/>
      </c>
      <c r="F27" s="1531">
        <f>IF(D27&gt;0," ",C27*18%)</f>
        <v/>
      </c>
      <c r="G27" s="1510" t="n"/>
      <c r="H27" s="1510" t="n"/>
      <c r="I27" s="1510" t="n">
        <v>0</v>
      </c>
    </row>
    <row r="28" ht="15.75" customHeight="1">
      <c r="A28" s="158" t="n">
        <v>3291</v>
      </c>
      <c r="B28" s="33" t="inlineStr">
        <is>
          <t>CIBIL CHARGES</t>
        </is>
      </c>
      <c r="C28" s="1551" t="n"/>
      <c r="D28" s="1531">
        <f>+C28*9%</f>
        <v/>
      </c>
      <c r="E28" s="1531">
        <f>+D28</f>
        <v/>
      </c>
      <c r="F28" s="1531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531">
        <f>+C29*9%</f>
        <v/>
      </c>
      <c r="E29" s="1531">
        <f>+D29</f>
        <v/>
      </c>
      <c r="F29" s="1531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531">
        <f>+C30*9%</f>
        <v/>
      </c>
      <c r="E30" s="1531">
        <f>+D30</f>
        <v/>
      </c>
      <c r="F30" s="1531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531">
        <f>+C31*9%</f>
        <v/>
      </c>
      <c r="E31" s="1531">
        <f>+D31</f>
        <v/>
      </c>
      <c r="F31" s="1531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531">
        <f>+C32*9%</f>
        <v/>
      </c>
      <c r="E32" s="1531">
        <f>+D32</f>
        <v/>
      </c>
      <c r="F32" s="1531">
        <f>IF(D32&gt;0," ",C32*18%)</f>
        <v/>
      </c>
      <c r="G32" s="1510" t="n"/>
      <c r="H32" s="1510" t="n"/>
      <c r="I32" s="1510" t="n">
        <v>0</v>
      </c>
    </row>
    <row r="33" ht="15.75" customHeight="1">
      <c r="A33" s="1080" t="n">
        <v>3300</v>
      </c>
      <c r="B33" s="1220" t="inlineStr">
        <is>
          <t>INCIDENTAL CHARGES</t>
        </is>
      </c>
      <c r="C33" s="1551" t="n"/>
      <c r="D33" s="1531">
        <f>+C33*9%</f>
        <v/>
      </c>
      <c r="E33" s="1531">
        <f>+D33</f>
        <v/>
      </c>
      <c r="F33" s="1595" t="n">
        <v>0</v>
      </c>
      <c r="G33" s="1510" t="n"/>
      <c r="H33" s="1510" t="n"/>
      <c r="I33" s="1510" t="n">
        <v>0</v>
      </c>
    </row>
    <row r="34" ht="15.75" customHeight="1">
      <c r="A34" s="1080" t="n">
        <v>3301</v>
      </c>
      <c r="B34" s="1220" t="inlineStr">
        <is>
          <t>INOPERATIVE CHARGES</t>
        </is>
      </c>
      <c r="C34" s="1551" t="n"/>
      <c r="D34" s="1531">
        <f>+C34*9%</f>
        <v/>
      </c>
      <c r="E34" s="1531">
        <f>+D34</f>
        <v/>
      </c>
      <c r="F34" s="1531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531">
        <f>+C35*9%</f>
        <v/>
      </c>
      <c r="E35" s="1531">
        <f>+D35</f>
        <v/>
      </c>
      <c r="F35" s="1531">
        <f>IF(D35&gt;0," ",C35*18%)</f>
        <v/>
      </c>
      <c r="G35" s="1510" t="n"/>
      <c r="H35" s="1510" t="n"/>
      <c r="I35" s="1510" t="n">
        <v>0</v>
      </c>
    </row>
    <row r="36" ht="15.75" customHeight="1">
      <c r="A36" s="1080" t="n">
        <v>3305</v>
      </c>
      <c r="B36" s="1220" t="inlineStr">
        <is>
          <t>A/C SHARE TRANSFER FEES</t>
        </is>
      </c>
      <c r="C36" s="1551" t="n"/>
      <c r="D36" s="1531">
        <f>+C36*9%</f>
        <v/>
      </c>
      <c r="E36" s="1531">
        <f>+D36</f>
        <v/>
      </c>
      <c r="F36" s="1531">
        <f>IF(D36&gt;0," ",C36*18%)</f>
        <v/>
      </c>
      <c r="G36" s="1510" t="n"/>
      <c r="H36" s="1510" t="n"/>
      <c r="I36" s="1510" t="n">
        <v>0</v>
      </c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551" t="n"/>
      <c r="D37" s="1531">
        <f>+C37*9%</f>
        <v/>
      </c>
      <c r="E37" s="1531">
        <f>+D37</f>
        <v/>
      </c>
      <c r="F37" s="1531">
        <f>IF(D37&gt;0," ",C37*18%)</f>
        <v/>
      </c>
      <c r="G37" s="1510" t="n"/>
      <c r="H37" s="1510" t="n"/>
      <c r="I37" s="1510" t="n">
        <v>0</v>
      </c>
    </row>
    <row r="38" ht="15.75" customHeight="1">
      <c r="A38" s="1080" t="inlineStr">
        <is>
          <t>3310</t>
        </is>
      </c>
      <c r="B38" s="1220" t="inlineStr">
        <is>
          <t>MIS. INCOME</t>
        </is>
      </c>
      <c r="C38" s="1551" t="n"/>
      <c r="D38" s="1531">
        <f>+C38*9%</f>
        <v/>
      </c>
      <c r="E38" s="1531">
        <f>+D38</f>
        <v/>
      </c>
      <c r="F38" s="1531">
        <f>IF(D38&gt;0," ",C38*18%)</f>
        <v/>
      </c>
      <c r="G38" s="1510" t="n"/>
      <c r="H38" s="1510" t="n"/>
      <c r="I38" s="1510" t="n">
        <v>0</v>
      </c>
      <c r="J38" s="32" t="n"/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551" t="n"/>
      <c r="D39" s="1531">
        <f>+C39*9%</f>
        <v/>
      </c>
      <c r="E39" s="1531">
        <f>+D39</f>
        <v/>
      </c>
      <c r="F39" s="1531">
        <f>IF(D39&gt;0," ",C39*18%)</f>
        <v/>
      </c>
      <c r="G39" s="1510" t="n"/>
      <c r="H39" s="1510" t="n"/>
      <c r="I39" s="1510" t="n">
        <v>0</v>
      </c>
    </row>
    <row r="40" ht="15.75" customHeight="1">
      <c r="A40" s="1080" t="n">
        <v>3312</v>
      </c>
      <c r="B40" s="1220" t="inlineStr">
        <is>
          <t>O/W CHQ. RET. CHARGES</t>
        </is>
      </c>
      <c r="C40" s="1551" t="n"/>
      <c r="D40" s="1531">
        <f>+C40*9%</f>
        <v/>
      </c>
      <c r="E40" s="1531">
        <f>+D40</f>
        <v/>
      </c>
      <c r="F40" s="1531">
        <f>IF(D40&gt;0," ",C40*18%)</f>
        <v/>
      </c>
      <c r="G40" s="1510" t="n"/>
      <c r="H40" s="1510" t="n"/>
      <c r="I40" s="1510" t="n">
        <v>0</v>
      </c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551" t="n"/>
      <c r="D41" s="1531">
        <f>+C41*9%</f>
        <v/>
      </c>
      <c r="E41" s="1531">
        <f>+D41</f>
        <v/>
      </c>
      <c r="F41" s="1531">
        <f>IF(D41&gt;0," ",C41*18%)</f>
        <v/>
      </c>
      <c r="G41" s="1510" t="n"/>
      <c r="H41" s="1510" t="n"/>
      <c r="I41" s="1510" t="n">
        <v>0</v>
      </c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551" t="n"/>
      <c r="D42" s="1531">
        <f>+C42*9%</f>
        <v/>
      </c>
      <c r="E42" s="1531">
        <f>+D42</f>
        <v/>
      </c>
      <c r="F42" s="1531">
        <f>IF(D42&gt;0," ",C42*18%)</f>
        <v/>
      </c>
      <c r="G42" s="1510" t="n"/>
      <c r="H42" s="1510" t="n"/>
      <c r="I42" s="1510" t="n">
        <v>0</v>
      </c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551" t="n"/>
      <c r="D43" s="1531">
        <f>+C43*9%</f>
        <v/>
      </c>
      <c r="E43" s="1531">
        <f>+D43</f>
        <v/>
      </c>
      <c r="F43" s="1531">
        <f>IF(D43&gt;0," ",C43*18%)</f>
        <v/>
      </c>
      <c r="G43" s="1510" t="n"/>
      <c r="H43" s="1510" t="n"/>
      <c r="I43" s="1510" t="n">
        <v>0</v>
      </c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551" t="n"/>
      <c r="D44" s="1531">
        <f>+C44*9%</f>
        <v/>
      </c>
      <c r="E44" s="1531">
        <f>+D44</f>
        <v/>
      </c>
      <c r="F44" s="1531" t="n">
        <v>0</v>
      </c>
      <c r="G44" s="1510" t="n"/>
      <c r="H44" s="1510" t="n"/>
      <c r="I44" s="1510" t="n">
        <v>0</v>
      </c>
    </row>
    <row r="45" ht="15.75" customHeight="1">
      <c r="A45" s="161" t="n">
        <v>3317</v>
      </c>
      <c r="B45" s="1220" t="inlineStr">
        <is>
          <t>THE P&amp;T CHARGES FOR LC/BG</t>
        </is>
      </c>
      <c r="C45" s="1551" t="n"/>
      <c r="D45" s="1531">
        <f>+C45*9%</f>
        <v/>
      </c>
      <c r="E45" s="1531">
        <f>+D45</f>
        <v/>
      </c>
      <c r="F45" s="1531">
        <f>IF(D45&gt;0," ",C45*18%)</f>
        <v/>
      </c>
      <c r="G45" s="1510" t="n"/>
      <c r="H45" s="1510" t="n"/>
      <c r="I45" s="1510" t="n">
        <v>0</v>
      </c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551" t="n"/>
      <c r="D46" s="1531">
        <f>+C46*9%</f>
        <v/>
      </c>
      <c r="E46" s="1531">
        <f>+D46</f>
        <v/>
      </c>
      <c r="F46" s="1531">
        <f>IF(D46&gt;0," ",C46*18%)</f>
        <v/>
      </c>
      <c r="G46" s="1510" t="n"/>
      <c r="H46" s="1510" t="n"/>
      <c r="I46" s="1510" t="n">
        <v>0</v>
      </c>
    </row>
    <row r="47" ht="15.75" customHeight="1">
      <c r="A47" s="161" t="n">
        <v>3320</v>
      </c>
      <c r="B47" s="1220" t="inlineStr">
        <is>
          <t>RENT ON LOCKER</t>
        </is>
      </c>
      <c r="C47" s="1551" t="n"/>
      <c r="D47" s="1531">
        <f>+C47*9%</f>
        <v/>
      </c>
      <c r="E47" s="1531">
        <f>+D47</f>
        <v/>
      </c>
      <c r="F47" s="1531">
        <f>IF(D47&gt;0," ",C47*18%)</f>
        <v/>
      </c>
      <c r="G47" s="1510" t="n"/>
      <c r="H47" s="1510" t="n"/>
      <c r="I47" s="1510" t="n">
        <v>0</v>
      </c>
    </row>
    <row r="48" ht="15.75" customHeight="1">
      <c r="A48" s="161" t="n">
        <v>3321</v>
      </c>
      <c r="B48" s="1220" t="inlineStr">
        <is>
          <t>ADHOC LIMIT CHARGES</t>
        </is>
      </c>
      <c r="C48" s="1551" t="n"/>
      <c r="D48" s="1531">
        <f>+C48*9%</f>
        <v/>
      </c>
      <c r="E48" s="1531">
        <f>+D48</f>
        <v/>
      </c>
      <c r="F48" s="1531">
        <f>IF(D48&gt;0," ",C48*18%)</f>
        <v/>
      </c>
      <c r="G48" s="1510" t="n"/>
      <c r="H48" s="1510" t="n"/>
      <c r="I48" s="1510" t="n">
        <v>0</v>
      </c>
    </row>
    <row r="49" ht="15.75" customHeight="1">
      <c r="A49" s="161" t="n">
        <v>3322</v>
      </c>
      <c r="B49" s="1220" t="inlineStr">
        <is>
          <t>INCOME FROM SALE OF OLD NEWS PAPERS</t>
        </is>
      </c>
      <c r="C49" s="1551" t="n"/>
      <c r="D49" s="1531">
        <f>+C49*9%</f>
        <v/>
      </c>
      <c r="E49" s="1531">
        <f>+D49</f>
        <v/>
      </c>
      <c r="F49" s="1531" t="n"/>
      <c r="G49" s="1510" t="n"/>
      <c r="H49" s="1510" t="n"/>
      <c r="I49" s="1510" t="n">
        <v>0</v>
      </c>
    </row>
    <row r="50" ht="15.75" customHeight="1">
      <c r="A50" s="161" t="n">
        <v>3324</v>
      </c>
      <c r="B50" s="1220" t="inlineStr">
        <is>
          <t>PENALTY ON OVERDUE LOCKER RENT</t>
        </is>
      </c>
      <c r="C50" s="1551" t="n"/>
      <c r="D50" s="1531">
        <f>+C50*9%</f>
        <v/>
      </c>
      <c r="E50" s="1531">
        <f>+D50</f>
        <v/>
      </c>
      <c r="F50" s="1531" t="n"/>
      <c r="G50" s="1510" t="n"/>
      <c r="H50" s="1510" t="n"/>
      <c r="I50" s="1510" t="n">
        <v>0</v>
      </c>
      <c r="L50" s="1084" t="n">
        <v>0</v>
      </c>
    </row>
    <row r="51" ht="15.75" customHeight="1">
      <c r="A51" s="1187" t="n">
        <v>3325</v>
      </c>
      <c r="B51" s="1220" t="inlineStr">
        <is>
          <t>MICR CLEARING CHARGES</t>
        </is>
      </c>
      <c r="C51" s="1551" t="n"/>
      <c r="D51" s="1531">
        <f>+C51*9%</f>
        <v/>
      </c>
      <c r="E51" s="1531">
        <f>+D51</f>
        <v/>
      </c>
      <c r="F51" s="1531" t="n"/>
      <c r="G51" s="1510" t="n"/>
      <c r="H51" s="1510" t="n"/>
      <c r="I51" s="1510" t="n">
        <v>0</v>
      </c>
    </row>
    <row r="52" ht="15.75" customHeight="1">
      <c r="A52" s="161" t="n">
        <v>3391</v>
      </c>
      <c r="B52" s="1220" t="inlineStr">
        <is>
          <t>SMS CHARGES INCOME RECEIVED</t>
        </is>
      </c>
      <c r="C52" s="1551" t="n"/>
      <c r="D52" s="1531">
        <f>+C52*9%</f>
        <v/>
      </c>
      <c r="E52" s="1531">
        <f>+D52</f>
        <v/>
      </c>
      <c r="F52" s="1531" t="n">
        <v>0</v>
      </c>
      <c r="G52" s="1510" t="n"/>
      <c r="H52" s="1510" t="n"/>
      <c r="I52" s="1510" t="n">
        <v>0</v>
      </c>
      <c r="L52" s="1084" t="n">
        <v>0</v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531">
        <f>+C53*9%</f>
        <v/>
      </c>
      <c r="E53" s="1531">
        <f>+D53</f>
        <v/>
      </c>
      <c r="F53" s="1531" t="n">
        <v>0</v>
      </c>
      <c r="G53" s="1510" t="n"/>
      <c r="H53" s="1510" t="n"/>
      <c r="I53" s="1510" t="n">
        <v>0</v>
      </c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531">
        <f>+C54*9%</f>
        <v/>
      </c>
      <c r="E54" s="1531">
        <f>+D54</f>
        <v/>
      </c>
      <c r="F54" s="1531" t="n">
        <v>0</v>
      </c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531" t="n"/>
      <c r="E55" s="1531" t="n"/>
      <c r="F55" s="1531" t="n"/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62" t="inlineStr">
        <is>
          <t>GL</t>
        </is>
      </c>
      <c r="B57" s="1220" t="n"/>
      <c r="C57" s="1551" t="n"/>
      <c r="D57" s="1531" t="n"/>
      <c r="E57" s="1531" t="n"/>
      <c r="F57" s="1531" t="n"/>
      <c r="G57" s="1510" t="n"/>
      <c r="H57" s="1510" t="n"/>
      <c r="I57" s="1510" t="n">
        <v>0</v>
      </c>
    </row>
    <row r="58" ht="15.75" customHeight="1">
      <c r="A58" s="161" t="inlineStr">
        <is>
          <t>1720</t>
        </is>
      </c>
      <c r="B58" s="1220" t="inlineStr">
        <is>
          <t>COMM. RECD. BUT NOT ACCRUED</t>
        </is>
      </c>
      <c r="C58" s="1551" t="n"/>
      <c r="D58" s="1531">
        <f>+C58*9%</f>
        <v/>
      </c>
      <c r="E58" s="1531">
        <f>+D58</f>
        <v/>
      </c>
      <c r="F58" s="1531">
        <f>IF(D58&gt;0," ",C58*18%)</f>
        <v/>
      </c>
      <c r="G58" s="1510" t="n"/>
      <c r="H58" s="1510" t="n"/>
      <c r="I58" s="1510" t="n">
        <v>0</v>
      </c>
    </row>
    <row r="59" ht="15.75" customHeight="1">
      <c r="A59" s="1080" t="inlineStr">
        <is>
          <t>1836</t>
        </is>
      </c>
      <c r="B59" s="1220" t="inlineStr">
        <is>
          <t>RENT ON LOCKER RECEIVED BUT</t>
        </is>
      </c>
      <c r="C59" s="1551" t="n"/>
      <c r="D59" s="1531">
        <f>+C59*9%</f>
        <v/>
      </c>
      <c r="E59" s="1531">
        <f>+D59</f>
        <v/>
      </c>
      <c r="F59" s="1531" t="n">
        <v>0</v>
      </c>
      <c r="G59" s="1510" t="n"/>
      <c r="H59" s="1510" t="n"/>
      <c r="I59" s="1510" t="n">
        <v>0</v>
      </c>
    </row>
    <row r="60" ht="15.75" customHeight="1">
      <c r="A60" s="163" t="inlineStr">
        <is>
          <t xml:space="preserve"> </t>
        </is>
      </c>
      <c r="B60" s="1220" t="inlineStr">
        <is>
          <t>NOT ACCRUED</t>
        </is>
      </c>
      <c r="C60" s="1551" t="n"/>
      <c r="D60" s="1531" t="n"/>
      <c r="E60" s="1531" t="n"/>
      <c r="F60" s="1531" t="n"/>
      <c r="G60" s="1510" t="n"/>
      <c r="H60" s="1510" t="n"/>
      <c r="I60" s="1510" t="n">
        <v>0</v>
      </c>
    </row>
    <row r="61" ht="15.75" customHeight="1">
      <c r="A61" s="432" t="n"/>
      <c r="B61" s="433" t="inlineStr">
        <is>
          <t>SALE OF ASSET ( CASH COUNTING MACHINE)</t>
        </is>
      </c>
      <c r="C61" s="1551" t="n"/>
      <c r="D61" s="1531">
        <f>+C61*9%</f>
        <v/>
      </c>
      <c r="E61" s="1593">
        <f>+D61</f>
        <v/>
      </c>
      <c r="F61" s="1593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96">
        <f>SUM(C9:C61)</f>
        <v/>
      </c>
      <c r="D62" s="1596">
        <f>SUM(D9:D61)</f>
        <v/>
      </c>
      <c r="E62" s="1596">
        <f>SUM(E9:E61)</f>
        <v/>
      </c>
      <c r="F62" s="1596">
        <f>SUM(F9:F61)</f>
        <v/>
      </c>
      <c r="G62" s="1501">
        <f>SUM(G9:G59)</f>
        <v/>
      </c>
      <c r="H62" s="1501">
        <f>SUM(H9:H59)</f>
        <v/>
      </c>
      <c r="I62" s="1501">
        <f>SUM(I9:I59)</f>
        <v/>
      </c>
    </row>
    <row r="63" ht="16.5" customHeight="1" thickTop="1">
      <c r="A63" s="9" t="inlineStr">
        <is>
          <t>RCM</t>
        </is>
      </c>
      <c r="B63" s="8" t="n"/>
      <c r="C63" s="1496" t="n">
        <v>0</v>
      </c>
      <c r="D63" s="1502" t="n"/>
      <c r="E63" s="1502" t="n"/>
      <c r="F63" s="6" t="n"/>
    </row>
    <row r="64" ht="15.75" customHeight="1">
      <c r="A64" s="1044" t="inlineStr">
        <is>
          <t>PL 4112</t>
        </is>
      </c>
      <c r="B64" s="1243" t="inlineStr">
        <is>
          <t xml:space="preserve">DSA MARKETING EXPENSES        </t>
        </is>
      </c>
      <c r="C64" s="1511" t="n">
        <v>0</v>
      </c>
      <c r="D64" s="1531">
        <f>+C64*0.09</f>
        <v/>
      </c>
      <c r="E64" s="1531">
        <f>+D64</f>
        <v/>
      </c>
      <c r="F64" s="6" t="n"/>
    </row>
    <row r="65" ht="15.75" customHeight="1">
      <c r="A65" s="1448" t="inlineStr">
        <is>
          <t>PL 3750</t>
        </is>
      </c>
      <c r="B65" s="1243" t="inlineStr">
        <is>
          <t>LAW CHARGES (EXCLUSIVE)</t>
        </is>
      </c>
      <c r="C65" s="1496" t="n"/>
      <c r="D65" s="1503">
        <f>+C65*9%</f>
        <v/>
      </c>
      <c r="E65" s="1503">
        <f>+D65</f>
        <v/>
      </c>
      <c r="F65" s="1503">
        <f>IF(D65&gt;0," ",C65*18%)</f>
        <v/>
      </c>
    </row>
    <row r="66" ht="15.75" customHeight="1">
      <c r="A66" s="1448" t="inlineStr">
        <is>
          <t>PL 3751</t>
        </is>
      </c>
      <c r="B66" s="1243" t="inlineStr">
        <is>
          <t>INCIDENTAL LAW CHARGES (EXCLUSIVE)</t>
        </is>
      </c>
      <c r="C66" s="1496" t="n">
        <v>0</v>
      </c>
      <c r="D66" s="1503">
        <f>+C66*9%</f>
        <v/>
      </c>
      <c r="E66" s="1503">
        <f>+D66</f>
        <v/>
      </c>
      <c r="F66" s="1503">
        <f>IF(D66&gt;0," ",C66*18%)</f>
        <v/>
      </c>
    </row>
    <row r="67" ht="15.75" customHeight="1">
      <c r="A67" s="1210" t="inlineStr">
        <is>
          <t xml:space="preserve">SUMMARY </t>
        </is>
      </c>
      <c r="G67" s="1084">
        <f>+C62*0.09</f>
        <v/>
      </c>
      <c r="I67" s="1084" t="inlineStr">
        <is>
          <t xml:space="preserve"> </t>
        </is>
      </c>
    </row>
    <row r="68" ht="15.75" customHeight="1">
      <c r="A68" s="1214" t="n"/>
      <c r="B68" s="1214" t="n"/>
      <c r="C68" s="1214" t="n"/>
      <c r="D68" s="1214" t="n"/>
      <c r="E68" s="1214" t="n"/>
      <c r="F68" s="1214" t="n"/>
    </row>
    <row r="69" ht="15.75" customHeight="1">
      <c r="A69" s="29" t="inlineStr">
        <is>
          <t>(1) INCOME</t>
        </is>
      </c>
      <c r="B69" s="29" t="n"/>
      <c r="C69" s="3" t="n"/>
      <c r="D69" s="3" t="n"/>
      <c r="E69" s="3" t="n"/>
      <c r="F69" s="3" t="n"/>
      <c r="H69" s="32" t="inlineStr">
        <is>
          <t xml:space="preserve"> </t>
        </is>
      </c>
      <c r="J69" s="1084" t="inlineStr">
        <is>
          <t xml:space="preserve"> </t>
        </is>
      </c>
      <c r="K69" s="1084" t="inlineStr">
        <is>
          <t xml:space="preserve"> </t>
        </is>
      </c>
      <c r="L69" s="1084" t="inlineStr">
        <is>
          <t xml:space="preserve"> </t>
        </is>
      </c>
    </row>
    <row r="70">
      <c r="A70" s="1213" t="inlineStr">
        <is>
          <t>PARTICULARS</t>
        </is>
      </c>
      <c r="B70" s="1504" t="n"/>
      <c r="C70" s="1505" t="n"/>
      <c r="D70" s="1213" t="inlineStr">
        <is>
          <t>GGST</t>
        </is>
      </c>
      <c r="E70" s="1213" t="inlineStr">
        <is>
          <t>CGST</t>
        </is>
      </c>
      <c r="F70" s="1213" t="inlineStr">
        <is>
          <t>IGST</t>
        </is>
      </c>
      <c r="H70" s="32" t="inlineStr">
        <is>
          <t xml:space="preserve"> </t>
        </is>
      </c>
      <c r="L70" s="1084" t="inlineStr">
        <is>
          <t xml:space="preserve"> </t>
        </is>
      </c>
    </row>
    <row r="71">
      <c r="A71" s="1506" t="n"/>
      <c r="B71" s="1041" t="n"/>
      <c r="C71" s="1507" t="n"/>
      <c r="D71" s="1494" t="n"/>
      <c r="E71" s="1494" t="n"/>
      <c r="F71" s="1494" t="n"/>
    </row>
    <row r="72" ht="15.75" customHeight="1">
      <c r="A72" s="1220" t="inlineStr">
        <is>
          <t>(1) INCOME AS PER LEDGERWISE CALCULATION</t>
        </is>
      </c>
      <c r="B72" s="1042" t="n"/>
      <c r="C72" s="1508" t="n"/>
      <c r="D72" s="105">
        <f>+D62+D64</f>
        <v/>
      </c>
      <c r="E72" s="105">
        <f>+D72</f>
        <v/>
      </c>
      <c r="F72" s="105">
        <f>+F62</f>
        <v/>
      </c>
    </row>
    <row r="73" ht="15.75" customHeight="1">
      <c r="A73" s="1243" t="inlineStr">
        <is>
          <t>(2) REFUND GIVEN BUT GST REFUND NOT GIVEN</t>
        </is>
      </c>
      <c r="B73" s="1243" t="n"/>
      <c r="C73" s="1243">
        <f>G62</f>
        <v/>
      </c>
      <c r="D73" s="106">
        <f>+C73*0.09</f>
        <v/>
      </c>
      <c r="E73" s="106">
        <f>+D73</f>
        <v/>
      </c>
      <c r="F73" s="105" t="n">
        <v>0</v>
      </c>
    </row>
    <row r="74" ht="15.75" customHeight="1">
      <c r="A74" s="1243" t="n"/>
      <c r="B74" s="1243" t="n"/>
      <c r="C74" s="1243" t="n"/>
      <c r="D74" s="105">
        <f>+D72+D73</f>
        <v/>
      </c>
      <c r="E74" s="105">
        <f>+E72+E73</f>
        <v/>
      </c>
      <c r="F74" s="105" t="n">
        <v>0</v>
      </c>
    </row>
    <row r="75" ht="15.75" customHeight="1">
      <c r="A75" s="1220" t="inlineStr">
        <is>
          <t>(3) PAYABLE AS PER LEDGER</t>
        </is>
      </c>
      <c r="B75" s="1042" t="n"/>
      <c r="C75" s="1508" t="n"/>
      <c r="D75" s="108" t="n"/>
      <c r="E75" s="108">
        <f>+D75</f>
        <v/>
      </c>
      <c r="F75" s="108" t="n">
        <v>0</v>
      </c>
      <c r="J75" s="1547" t="n"/>
    </row>
    <row r="76" ht="15.75" customHeight="1">
      <c r="A76" s="1221" t="inlineStr">
        <is>
          <t>DIFFERENCE</t>
        </is>
      </c>
      <c r="B76" s="1042" t="n"/>
      <c r="C76" s="1508" t="n"/>
      <c r="D76" s="643">
        <f>+D74-D75</f>
        <v/>
      </c>
      <c r="E76" s="643">
        <f>+E74-E75</f>
        <v/>
      </c>
      <c r="F76" s="108">
        <f>IF(F72&gt;F75,F72,F75)</f>
        <v/>
      </c>
      <c r="G76" s="1084">
        <f>D76/9%</f>
        <v/>
      </c>
    </row>
    <row r="77" ht="15.75" customHeight="1">
      <c r="A77" s="3" t="n"/>
      <c r="B77" s="2" t="n"/>
      <c r="C77" s="3" t="n"/>
      <c r="D77" s="3" t="n"/>
      <c r="E77" s="3" t="n"/>
      <c r="F77" s="3" t="n"/>
    </row>
    <row r="78" ht="15.75" customHeight="1">
      <c r="A78" s="27" t="inlineStr">
        <is>
          <t>(2) INPUT TAX CREDIT</t>
        </is>
      </c>
      <c r="B78" s="2" t="n"/>
      <c r="C78" s="3" t="n"/>
      <c r="D78" s="3" t="n"/>
      <c r="E78" s="3" t="n"/>
      <c r="F78" s="3" t="n"/>
    </row>
    <row r="79">
      <c r="A79" s="1421" t="inlineStr">
        <is>
          <t>PARTICULARS</t>
        </is>
      </c>
      <c r="B79" s="1504" t="n"/>
      <c r="C79" s="1505" t="n"/>
      <c r="D79" s="1421" t="inlineStr">
        <is>
          <t>GL 8546 GGST</t>
        </is>
      </c>
      <c r="E79" s="1343" t="inlineStr">
        <is>
          <t>GL 8547 CGST</t>
        </is>
      </c>
      <c r="F79" s="1343" t="inlineStr">
        <is>
          <t>GL 8548 IGST</t>
        </is>
      </c>
    </row>
    <row r="80">
      <c r="A80" s="1506" t="n"/>
      <c r="B80" s="1041" t="n"/>
      <c r="C80" s="1507" t="n"/>
      <c r="D80" s="1494" t="n"/>
      <c r="E80" s="1494" t="n"/>
      <c r="F80" s="1494" t="n"/>
    </row>
    <row r="81">
      <c r="A81" s="1228" t="n"/>
      <c r="B81" s="1042" t="n"/>
      <c r="C81" s="1508" t="n"/>
      <c r="D81" s="1228" t="n"/>
      <c r="E81" s="1228" t="n"/>
      <c r="F81" s="1228" t="n"/>
      <c r="G81" s="32" t="n"/>
    </row>
    <row r="82" ht="15.75" customHeight="1">
      <c r="A82" s="1220" t="inlineStr">
        <is>
          <t>CURRENT MONTH INPUT TAX CREDIT AVAILABLE</t>
        </is>
      </c>
      <c r="B82" s="1042" t="n"/>
      <c r="C82" s="1508" t="n"/>
      <c r="D82" s="108" t="n"/>
      <c r="E82" s="108">
        <f>+D82</f>
        <v/>
      </c>
      <c r="F82" s="108" t="n">
        <v>0</v>
      </c>
      <c r="G82" s="32">
        <f>++D82/2</f>
        <v/>
      </c>
      <c r="H82" s="32">
        <f>++E82/2</f>
        <v/>
      </c>
      <c r="I82" s="32">
        <f>++F82/2</f>
        <v/>
      </c>
    </row>
    <row r="83" ht="15.75" customHeight="1">
      <c r="A83" s="1220" t="inlineStr">
        <is>
          <t>LESS : CREDIT CANNOT BE UTILISED (BCUZ GST NO NOT AVAILABLE IN BILL)</t>
        </is>
      </c>
      <c r="B83" s="1042" t="n"/>
      <c r="C83" s="1508" t="n"/>
      <c r="D83" s="1529">
        <f>+C94</f>
        <v/>
      </c>
      <c r="E83" s="1529">
        <f>+D83</f>
        <v/>
      </c>
      <c r="F83" s="1529" t="n">
        <v>0</v>
      </c>
      <c r="G83" s="32">
        <f>++D83/2</f>
        <v/>
      </c>
      <c r="H83" s="32">
        <f>++E83/2</f>
        <v/>
      </c>
      <c r="I83" s="32">
        <f>++F83/2</f>
        <v/>
      </c>
    </row>
    <row r="84" ht="15.75" customHeight="1">
      <c r="A84" s="1219" t="inlineStr">
        <is>
          <t>ELIGIBLE CREDIT</t>
        </is>
      </c>
      <c r="B84" s="1042" t="n"/>
      <c r="C84" s="1508" t="n"/>
      <c r="D84" s="105">
        <f>+D82-D83</f>
        <v/>
      </c>
      <c r="E84" s="105">
        <f>+E82-E810</f>
        <v/>
      </c>
      <c r="F84" s="105">
        <f>+F82-F83</f>
        <v/>
      </c>
      <c r="G84" s="32">
        <f>++D84/2</f>
        <v/>
      </c>
      <c r="H84" s="32">
        <f>++E84/2</f>
        <v/>
      </c>
      <c r="I84" s="32">
        <f>++F84/2</f>
        <v/>
      </c>
    </row>
    <row r="85" ht="15.75" customHeight="1" thickBot="1">
      <c r="A85" s="1331" t="n"/>
      <c r="B85" s="1504" t="n"/>
      <c r="C85" s="1504" t="n"/>
      <c r="D85" s="1504" t="n"/>
      <c r="E85" s="1504" t="n"/>
      <c r="F85" s="1504" t="n"/>
      <c r="G85" s="32" t="n"/>
      <c r="I85" s="32" t="n"/>
    </row>
    <row r="86">
      <c r="A86" s="1542" t="n"/>
      <c r="B86" s="1522" t="n"/>
      <c r="C86" s="1522" t="n"/>
      <c r="D86" s="1522" t="n"/>
      <c r="E86" s="1522" t="n"/>
      <c r="F86" s="1523" t="n"/>
      <c r="G86" s="32" t="n"/>
      <c r="I86" s="32" t="n"/>
    </row>
    <row r="87" ht="15.75" customHeight="1" thickBot="1">
      <c r="A87" s="1524" t="n"/>
      <c r="B87" s="1525" t="n"/>
      <c r="C87" s="1525" t="n"/>
      <c r="D87" s="1525" t="n"/>
      <c r="E87" s="1525" t="n"/>
      <c r="F87" s="1526" t="n"/>
      <c r="G87" s="32" t="n"/>
      <c r="I87" s="32" t="n"/>
    </row>
    <row r="90">
      <c r="B90" s="145" t="inlineStr">
        <is>
          <t>INELLIGBLE  CREDIT</t>
        </is>
      </c>
      <c r="C90" s="145" t="n"/>
      <c r="D90" s="145" t="n"/>
      <c r="E90" s="145" t="n"/>
    </row>
    <row r="91">
      <c r="B91" s="1356" t="inlineStr">
        <is>
          <t>PARTY NAME</t>
        </is>
      </c>
      <c r="C91" s="1356" t="inlineStr">
        <is>
          <t>GGST</t>
        </is>
      </c>
      <c r="D91" s="1356" t="inlineStr">
        <is>
          <t>CGST</t>
        </is>
      </c>
      <c r="E91" s="1356" t="inlineStr">
        <is>
          <t>IGST</t>
        </is>
      </c>
      <c r="F91" s="1087" t="n"/>
    </row>
    <row r="92">
      <c r="A92" s="68" t="n"/>
      <c r="B92" s="1084" t="inlineStr">
        <is>
          <t>ROHAN AGENCY</t>
        </is>
      </c>
      <c r="C92" s="1084" t="n">
        <v>0</v>
      </c>
      <c r="D92" s="1084">
        <f>+C92</f>
        <v/>
      </c>
      <c r="E92" s="1084" t="n">
        <v>0</v>
      </c>
      <c r="F92" s="71" t="n"/>
    </row>
    <row r="93">
      <c r="A93" s="68" t="n"/>
      <c r="B93" s="487" t="inlineStr">
        <is>
          <t>SATELIITE ELECTRONICS AND CONTROLS</t>
        </is>
      </c>
      <c r="C93" s="1084" t="n">
        <v>0</v>
      </c>
      <c r="D93" s="1084" t="n">
        <v>0</v>
      </c>
      <c r="F93" s="71" t="n"/>
    </row>
    <row r="94" ht="15.75" customHeight="1" thickBot="1">
      <c r="A94" s="214" t="n"/>
      <c r="B94" s="141" t="inlineStr">
        <is>
          <t>TOTAL</t>
        </is>
      </c>
      <c r="C94" s="1597">
        <f>+SUM(C92:C93)</f>
        <v/>
      </c>
      <c r="D94" s="1597">
        <f>+SUM(D92:D93)</f>
        <v/>
      </c>
      <c r="E94" s="1597">
        <f>+SUM(E92:E93)</f>
        <v/>
      </c>
      <c r="F94" s="71" t="n"/>
    </row>
    <row r="95" ht="15.75" customHeight="1" thickTop="1"/>
    <row r="96">
      <c r="G96" s="1084">
        <f>+C94/2</f>
        <v/>
      </c>
    </row>
    <row r="97" ht="15" customHeight="1"/>
    <row r="98" ht="15.75" customHeight="1"/>
    <row r="101">
      <c r="D101" s="1084" t="inlineStr">
        <is>
          <t xml:space="preserve"> </t>
        </is>
      </c>
    </row>
  </sheetData>
  <mergeCells count="30">
    <mergeCell ref="E79:E80"/>
    <mergeCell ref="A75:C75"/>
    <mergeCell ref="A84:C84"/>
    <mergeCell ref="D70:D71"/>
    <mergeCell ref="F70:F71"/>
    <mergeCell ref="G7:G8"/>
    <mergeCell ref="I7:I8"/>
    <mergeCell ref="A3:F3"/>
    <mergeCell ref="D6:E6"/>
    <mergeCell ref="A76:C76"/>
    <mergeCell ref="A85:F85"/>
    <mergeCell ref="F79:F80"/>
    <mergeCell ref="A5:F5"/>
    <mergeCell ref="A79:C80"/>
    <mergeCell ref="D7:D8"/>
    <mergeCell ref="A70:C71"/>
    <mergeCell ref="H7:H8"/>
    <mergeCell ref="A4:F4"/>
    <mergeCell ref="A81:C81"/>
    <mergeCell ref="A72:C72"/>
    <mergeCell ref="E70:E71"/>
    <mergeCell ref="A67:F67"/>
    <mergeCell ref="E7:E8"/>
    <mergeCell ref="A83:C83"/>
    <mergeCell ref="A86:F87"/>
    <mergeCell ref="A82:C82"/>
    <mergeCell ref="D79:D80"/>
    <mergeCell ref="A1:F1"/>
    <mergeCell ref="B7:B8"/>
    <mergeCell ref="F7:F8"/>
  </mergeCells>
  <conditionalFormatting sqref="A86">
    <cfRule type="containsText" priority="11" operator="containsText" dxfId="12" text="LESS COLLECTED">
      <formula>NOT(ISERROR(SEARCH("LESS COLLECTED",A86)))</formula>
    </cfRule>
    <cfRule type="containsText" priority="12" operator="containsText" dxfId="0" text="LESS COLLECTED">
      <formula>NOT(ISERROR(SEARCH("LESS COLLECTED",A86)))</formula>
    </cfRule>
  </conditionalFormatting>
  <conditionalFormatting sqref="A73:F74 A92:A94 D70:E71">
    <cfRule type="containsText" priority="113" operator="containsText" dxfId="1" text="EXCESS COLLECTED">
      <formula>NOT(ISERROR(SEARCH("EXCESS COLLECTED",A70)))</formula>
    </cfRule>
  </conditionalFormatting>
  <conditionalFormatting sqref="A9:B21 A92:A95 A100:A1048576 B90:E94 B100:XFD101 F90:F95 G90:XFD99">
    <cfRule type="containsText" priority="51" operator="containsText" dxfId="0" text="LESS COLLECTED">
      <formula>NOT(ISERROR(SEARCH("LESS COLLECTED",A9)))</formula>
    </cfRule>
  </conditionalFormatting>
  <conditionalFormatting sqref="A22:B34">
    <cfRule type="containsText" priority="58" operator="containsText" dxfId="0" text="LESS COLLECTED">
      <formula>NOT(ISERROR(SEARCH("LESS COLLECTED",A22)))</formula>
    </cfRule>
  </conditionalFormatting>
  <conditionalFormatting sqref="A35:B56">
    <cfRule type="containsText" priority="5" operator="containsText" dxfId="0" text="LESS COLLECTED">
      <formula>NOT(ISERROR(SEARCH("LESS COLLECTED",A35)))</formula>
    </cfRule>
  </conditionalFormatting>
  <conditionalFormatting sqref="A47:B56">
    <cfRule type="containsText" priority="4" operator="containsText" dxfId="1" text="EXCESS COLLECTED">
      <formula>NOT(ISERROR(SEARCH("EXCESS COLLECTED",A47)))</formula>
    </cfRule>
  </conditionalFormatting>
  <conditionalFormatting sqref="A57:B66">
    <cfRule type="containsText" priority="62" operator="containsText" dxfId="0" text="LESS COLLECTED">
      <formula>NOT(ISERROR(SEARCH("LESS COLLECTED",A57)))</formula>
    </cfRule>
  </conditionalFormatting>
  <conditionalFormatting sqref="B61">
    <cfRule type="containsText" priority="61" operator="containsText" dxfId="1" text="EXCESS COLLECTED">
      <formula>NOT(ISERROR(SEARCH("EXCESS COLLECTED",B61)))</formula>
    </cfRule>
  </conditionalFormatting>
  <conditionalFormatting sqref="A28:B32 B90:E90 B91:D94 D94:E94 F91">
    <cfRule type="containsText" priority="57" operator="containsText" dxfId="1" text="EXCESS COLLECTED">
      <formula>NOT(ISERROR(SEARCH("EXCESS COLLECTED",A28)))</formula>
    </cfRule>
  </conditionalFormatting>
  <conditionalFormatting sqref="A1:XFD3 A4 A5:XFD6 A7:F8 A67:A82 A84:A85 A88:A90 B67:XFD74 B75:F75 B76:XFD80 B81:F81 B82:XFD82 B84:XFD84 B88:XFD89 B103:XFD1048576 D83:XFD83 G4:XFD4 G85:XFD87 G102:XFD102 H75:XFD75 H81:XFD81 J7:XFD62">
    <cfRule type="containsText" priority="121" operator="containsText" dxfId="0" text="LESS COLLECTED">
      <formula>NOT(ISERROR(SEARCH("LESS COLLECTED",A1)))</formula>
    </cfRule>
  </conditionalFormatting>
  <conditionalFormatting sqref="C9:C37 C45 C63:C66">
    <cfRule type="containsText" priority="69" operator="containsText" dxfId="1" text="EXCESS COLLECTED">
      <formula>NOT(ISERROR(SEARCH("EXCESS COLLECTED",C9)))</formula>
    </cfRule>
  </conditionalFormatting>
  <conditionalFormatting sqref="C9:C37 C45 C63:XFD65 C66:F66">
    <cfRule type="containsText" priority="70" operator="containsText" dxfId="0" text="LESS COLLECTED">
      <formula>NOT(ISERROR(SEARCH("LESS COLLECTED",C9)))</formula>
    </cfRule>
  </conditionalFormatting>
  <conditionalFormatting sqref="A73:F74 D70:E71">
    <cfRule type="containsText" priority="114" operator="containsText" dxfId="0" text="LESS COLLECTED">
      <formula>NOT(ISERROR(SEARCH("LESS COLLECTED",A70)))</formula>
    </cfRule>
  </conditionalFormatting>
  <conditionalFormatting sqref="D48:F55">
    <cfRule type="containsText" priority="34" operator="containsText" dxfId="1" text="EXCESS COLLECTED">
      <formula>NOT(ISERROR(SEARCH("EXCESS COLLECTED",D48)))</formula>
    </cfRule>
  </conditionalFormatting>
  <conditionalFormatting sqref="D51:F51">
    <cfRule type="containsText" priority="26" operator="containsText" dxfId="1" text="EXCESS COLLECTED">
      <formula>NOT(ISERROR(SEARCH("EXCESS COLLECTED",D51)))</formula>
    </cfRule>
    <cfRule type="containsText" priority="27" operator="containsText" dxfId="0" text="LESS COLLECTED">
      <formula>NOT(ISERROR(SEARCH("LESS COLLECTED",D51)))</formula>
    </cfRule>
  </conditionalFormatting>
  <conditionalFormatting sqref="D56:F56">
    <cfRule type="containsText" priority="6" operator="containsText" dxfId="1" text="EXCESS COLLECTED">
      <formula>NOT(ISERROR(SEARCH("EXCESS COLLECTED",D56)))</formula>
    </cfRule>
  </conditionalFormatting>
  <conditionalFormatting sqref="D9:I35">
    <cfRule type="containsText" priority="21" operator="containsText" dxfId="0" text="LESS COLLECTED">
      <formula>NOT(ISERROR(SEARCH("LESS COLLECTED",D9)))</formula>
    </cfRule>
  </conditionalFormatting>
  <conditionalFormatting sqref="D36:I55">
    <cfRule type="containsText" priority="35" operator="containsText" dxfId="0" text="LESS COLLECTED">
      <formula>NOT(ISERROR(SEARCH("LESS COLLECTED",D36)))</formula>
    </cfRule>
  </conditionalFormatting>
  <conditionalFormatting sqref="D56:I62">
    <cfRule type="containsText" priority="9" operator="containsText" dxfId="0" text="LESS COLLECTED">
      <formula>NOT(ISERROR(SEARCH("LESS COLLECTED",D56)))</formula>
    </cfRule>
  </conditionalFormatting>
  <conditionalFormatting sqref="E94">
    <cfRule type="containsText" priority="80" operator="containsText" dxfId="0" text="LESS COLLECTED">
      <formula>NOT(ISERROR(SEARCH("LESS COLLECTED",E94)))</formula>
    </cfRule>
  </conditionalFormatting>
  <conditionalFormatting sqref="G66:XFD66">
    <cfRule type="containsText" priority="18" operator="containsText" dxfId="0" text="LESS COLLECTED">
      <formula>NOT(ISERROR(SEARCH("LESS COLLECTED",G66)))</formula>
    </cfRule>
  </conditionalFormatting>
  <conditionalFormatting sqref="C46:C61">
    <cfRule type="containsText" priority="2" operator="containsText" dxfId="0" text="LESS COLLECTED">
      <formula>NOT(ISERROR(SEARCH("LESS COLLECTED",C46)))</formula>
    </cfRule>
  </conditionalFormatting>
  <conditionalFormatting sqref="C38:C44">
    <cfRule type="containsText" priority="3" operator="containsText" dxfId="0" text="LESS COLLECTED">
      <formula>NOT(ISERROR(SEARCH("LESS COLLECTED",C38)))</formula>
    </cfRule>
  </conditionalFormatting>
  <conditionalFormatting sqref="A83:C83">
    <cfRule type="containsText" priority="1" operator="containsText" dxfId="0" text="LESS COLLECTED">
      <formula>NOT(ISERROR(SEARCH("LESS COLLECTED",A83)))</formula>
    </cfRule>
  </conditionalFormatting>
  <pageMargins left="0.958661417" right="0.868110236" top="0.657480315" bottom="0.5" header="0.31496062992126" footer="0.31496062992126"/>
  <pageSetup orientation="portrait" paperSize="9" scale="50"/>
  <rowBreaks count="1" manualBreakCount="1">
    <brk id="99" min="0" max="5" man="1"/>
  </rowBreaks>
</worksheet>
</file>

<file path=xl/worksheets/sheet23.xml><?xml version="1.0" encoding="utf-8"?>
<worksheet xmlns="http://schemas.openxmlformats.org/spreadsheetml/2006/main">
  <sheetPr codeName="Sheet53">
    <outlinePr summaryBelow="1" summaryRight="1"/>
    <pageSetUpPr/>
  </sheetPr>
  <dimension ref="A1:O100"/>
  <sheetViews>
    <sheetView topLeftCell="A67" workbookViewId="0">
      <selection activeCell="G77" sqref="G77"/>
    </sheetView>
  </sheetViews>
  <sheetFormatPr baseColWidth="8" defaultColWidth="9.140625" defaultRowHeight="15"/>
  <cols>
    <col width="17.28515625" customWidth="1" style="1084" min="1" max="1"/>
    <col width="43.7109375" customWidth="1" style="1084" min="2" max="2"/>
    <col width="14.85546875" bestFit="1" customWidth="1" style="1084" min="3" max="3"/>
    <col width="14.140625" bestFit="1" customWidth="1" style="1084" min="4" max="5"/>
    <col width="11.42578125" customWidth="1" style="1084" min="6" max="6"/>
    <col width="19.85546875" customWidth="1" style="1084" min="7" max="7"/>
    <col width="10.85546875" bestFit="1" customWidth="1" style="32" min="8" max="8"/>
    <col width="9.85546875" bestFit="1" customWidth="1" style="1084" min="9" max="9"/>
    <col width="9.710937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CHANDKHEDA BRANCH</t>
        </is>
      </c>
    </row>
    <row r="4" ht="15.75" customHeight="1">
      <c r="A4" s="1214" t="inlineStr">
        <is>
          <t>BRANCH CODE: 23</t>
        </is>
      </c>
    </row>
    <row r="5" ht="15.75" customHeight="1">
      <c r="A5" s="1210">
        <f>+BOPAL!A5</f>
        <v/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161" t="n">
        <v>3303</v>
      </c>
      <c r="B9" s="1220" t="inlineStr">
        <is>
          <t>DD CANCEL CHARGES</t>
        </is>
      </c>
      <c r="C9" s="1551" t="n"/>
      <c r="D9" s="1531">
        <f>+C9*9%</f>
        <v/>
      </c>
      <c r="E9" s="1531">
        <f>+D9</f>
        <v/>
      </c>
      <c r="F9" s="1531">
        <f>IF(D9&gt;0," ",C9*18%)</f>
        <v/>
      </c>
      <c r="G9" s="1510" t="n"/>
      <c r="H9" s="1510" t="n"/>
      <c r="I9" s="1510" t="n">
        <v>0</v>
      </c>
    </row>
    <row r="10" ht="15.75" customHeight="1">
      <c r="A10" s="161" t="inlineStr">
        <is>
          <t>3200</t>
        </is>
      </c>
      <c r="B10" s="1220" t="inlineStr">
        <is>
          <t>COMMISION ON BILLS</t>
        </is>
      </c>
      <c r="C10" s="1551" t="n"/>
      <c r="D10" s="1531">
        <f>+C10*9%</f>
        <v/>
      </c>
      <c r="E10" s="1531">
        <f>+D10</f>
        <v/>
      </c>
      <c r="F10" s="1531">
        <f>IF(D10&gt;0," ",C10*18%)</f>
        <v/>
      </c>
      <c r="G10" s="1510" t="n"/>
      <c r="H10" s="1510" t="n"/>
      <c r="I10" s="1510" t="n">
        <v>0</v>
      </c>
    </row>
    <row r="11" ht="15.75" customHeight="1">
      <c r="A11" s="1080" t="n">
        <v>3215</v>
      </c>
      <c r="B11" s="1220" t="inlineStr">
        <is>
          <t>COMMISION ON PAYORDER</t>
        </is>
      </c>
      <c r="C11" s="1551" t="n"/>
      <c r="D11" s="1531">
        <f>+C11*9%</f>
        <v/>
      </c>
      <c r="E11" s="1531">
        <f>+D11</f>
        <v/>
      </c>
      <c r="F11" s="1531" t="n">
        <v>0</v>
      </c>
      <c r="G11" s="1510" t="n"/>
      <c r="H11" s="1510" t="n"/>
      <c r="I11" s="1510" t="n">
        <v>0</v>
      </c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551" t="n"/>
      <c r="D12" s="1531">
        <f>+C12*9%</f>
        <v/>
      </c>
      <c r="E12" s="1531">
        <f>+D12</f>
        <v/>
      </c>
      <c r="F12" s="1531">
        <f>IF(D12&gt;0," ",C12*18%)</f>
        <v/>
      </c>
      <c r="G12" s="1510" t="n"/>
      <c r="H12" s="1510" t="n"/>
      <c r="I12" s="1510" t="n">
        <v>0</v>
      </c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551" t="n"/>
      <c r="D13" s="1531">
        <f>+C13*9%</f>
        <v/>
      </c>
      <c r="E13" s="1531">
        <f>+D13</f>
        <v/>
      </c>
      <c r="F13" s="1531">
        <f>IF(D13&gt;0," ",C13*18%)</f>
        <v/>
      </c>
      <c r="G13" s="1510" t="n"/>
      <c r="H13" s="1510" t="n"/>
      <c r="I13" s="1510" t="n">
        <v>0</v>
      </c>
      <c r="K13" s="1590" t="n"/>
    </row>
    <row r="14" ht="15.75" customHeight="1">
      <c r="A14" s="1080" t="inlineStr">
        <is>
          <t>3230</t>
        </is>
      </c>
      <c r="B14" s="1220" t="inlineStr">
        <is>
          <t>COMMISION ON GUARANTEE</t>
        </is>
      </c>
      <c r="C14" s="1551" t="n"/>
      <c r="D14" s="1531">
        <f>+C14*9%</f>
        <v/>
      </c>
      <c r="E14" s="1531">
        <f>+D14</f>
        <v/>
      </c>
      <c r="F14" s="1531">
        <f>IF(D14&gt;0," ",C14*18%)</f>
        <v/>
      </c>
      <c r="G14" s="1510" t="n"/>
      <c r="H14" s="1510" t="n"/>
      <c r="I14" s="1510" t="n">
        <v>0</v>
      </c>
    </row>
    <row r="15" ht="15.75" customHeight="1">
      <c r="A15" s="1080" t="n">
        <v>3235</v>
      </c>
      <c r="B15" s="1220" t="inlineStr">
        <is>
          <t>COMMISION ON DEMAND DRAFT</t>
        </is>
      </c>
      <c r="C15" s="1551" t="n"/>
      <c r="D15" s="1531">
        <f>+C15*9%</f>
        <v/>
      </c>
      <c r="E15" s="1531">
        <f>+D15</f>
        <v/>
      </c>
      <c r="F15" s="1531">
        <f>IF(D15&gt;0," ",C15*18%)</f>
        <v/>
      </c>
      <c r="G15" s="1510" t="n"/>
      <c r="H15" s="1510" t="n"/>
      <c r="I15" s="1510" t="n">
        <v>0</v>
      </c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551" t="n"/>
      <c r="D16" s="1531">
        <f>+C16*9%</f>
        <v/>
      </c>
      <c r="E16" s="1531">
        <f>+D16</f>
        <v/>
      </c>
      <c r="F16" s="1531">
        <f>IF(D16&gt;0," ",C16*18%)</f>
        <v/>
      </c>
      <c r="G16" s="1510" t="n"/>
      <c r="H16" s="1510" t="n"/>
      <c r="I16" s="1510" t="n">
        <v>0</v>
      </c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551" t="n"/>
      <c r="D17" s="1531">
        <f>+C17*9%</f>
        <v/>
      </c>
      <c r="E17" s="1531">
        <f>+D17</f>
        <v/>
      </c>
      <c r="F17" s="1531">
        <f>IF(D17&gt;0," ",C17*18%)</f>
        <v/>
      </c>
      <c r="G17" s="1510" t="n"/>
      <c r="H17" s="1510" t="n"/>
      <c r="I17" s="1510" t="n">
        <v>0</v>
      </c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551" t="n"/>
      <c r="D18" s="1531">
        <f>+C18*9%</f>
        <v/>
      </c>
      <c r="E18" s="1531">
        <f>+D18</f>
        <v/>
      </c>
      <c r="F18" s="1531">
        <f>IF(D18&gt;0," ",C18*18%)</f>
        <v/>
      </c>
      <c r="G18" s="1510" t="n"/>
      <c r="H18" s="1510" t="n"/>
      <c r="I18" s="1510" t="n">
        <v>0</v>
      </c>
    </row>
    <row r="19" ht="15.75" customHeight="1">
      <c r="A19" s="161" t="n">
        <v>3270</v>
      </c>
      <c r="B19" s="1220" t="inlineStr">
        <is>
          <t>PROCESSING CHARGE</t>
        </is>
      </c>
      <c r="C19" s="1551" t="n"/>
      <c r="D19" s="1531">
        <f>+C19*9%</f>
        <v/>
      </c>
      <c r="E19" s="1531">
        <f>+D19</f>
        <v/>
      </c>
      <c r="F19" s="1531" t="n">
        <v>0</v>
      </c>
      <c r="G19" s="1510" t="n"/>
      <c r="H19" s="1510" t="n"/>
      <c r="I19" s="1510" t="n">
        <v>0</v>
      </c>
      <c r="J19" s="1084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531">
        <f>+C20*9%</f>
        <v/>
      </c>
      <c r="E20" s="1531">
        <f>+D20</f>
        <v/>
      </c>
      <c r="F20" s="1531" t="n"/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531" t="n"/>
      <c r="E21" s="1531" t="n"/>
      <c r="F21" s="1531" t="n"/>
      <c r="G21" s="1510" t="n"/>
      <c r="H21" s="1510" t="n"/>
      <c r="I21" s="1510" t="n">
        <v>0</v>
      </c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551" t="n"/>
      <c r="D22" s="1531">
        <f>+C22*9%</f>
        <v/>
      </c>
      <c r="E22" s="1531">
        <f>+D22</f>
        <v/>
      </c>
      <c r="F22" s="1531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61" t="inlineStr">
        <is>
          <t>3280</t>
        </is>
      </c>
      <c r="B23" s="1220" t="inlineStr">
        <is>
          <t>INSURANCE PREMIUM</t>
        </is>
      </c>
      <c r="C23" s="1551" t="n"/>
      <c r="D23" s="1531">
        <f>+C23*9%</f>
        <v/>
      </c>
      <c r="E23" s="1531">
        <f>+D23</f>
        <v/>
      </c>
      <c r="F23" s="1531">
        <f>IF(D23&gt;0," ",C23*18%)</f>
        <v/>
      </c>
      <c r="G23" s="1510" t="n"/>
      <c r="H23" s="1510" t="n"/>
      <c r="I23" s="1510" t="n">
        <v>0</v>
      </c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551" t="n"/>
      <c r="D24" s="1531">
        <f>+C24*9%</f>
        <v/>
      </c>
      <c r="E24" s="1531">
        <f>+D24</f>
        <v/>
      </c>
      <c r="F24" s="1531">
        <f>IF(D24&gt;0," ",C24*18%)</f>
        <v/>
      </c>
      <c r="G24" s="1510" t="n"/>
      <c r="H24" s="1510" t="n"/>
      <c r="I24" s="1510" t="n">
        <v>0</v>
      </c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551" t="n"/>
      <c r="D25" s="1531">
        <f>+C25*9%</f>
        <v/>
      </c>
      <c r="E25" s="1531">
        <f>+D25</f>
        <v/>
      </c>
      <c r="F25" s="1531">
        <f>IF(D25&gt;0," ",C25*18%)</f>
        <v/>
      </c>
      <c r="G25" s="1510" t="n"/>
      <c r="H25" s="1510" t="n"/>
      <c r="I25" s="1510" t="n">
        <v>0</v>
      </c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551" t="n"/>
      <c r="D26" s="1531">
        <f>+C26*9%</f>
        <v/>
      </c>
      <c r="E26" s="1531">
        <f>+D26</f>
        <v/>
      </c>
      <c r="F26" s="1531">
        <f>IF(D26&gt;0," ",C26*18%)</f>
        <v/>
      </c>
      <c r="G26" s="1510" t="n"/>
      <c r="H26" s="1510" t="n"/>
      <c r="I26" s="1510" t="n">
        <v>0</v>
      </c>
    </row>
    <row r="27" ht="15.75" customHeight="1">
      <c r="A27" s="158" t="inlineStr">
        <is>
          <t>3287</t>
        </is>
      </c>
      <c r="B27" s="1220" t="inlineStr">
        <is>
          <t>COMM. ON PMSBY NEW INDIA ASSURANCE</t>
        </is>
      </c>
      <c r="C27" s="1551" t="n"/>
      <c r="D27" s="1531">
        <f>+C27*9%</f>
        <v/>
      </c>
      <c r="E27" s="1531">
        <f>+D27</f>
        <v/>
      </c>
      <c r="F27" s="1531">
        <f>IF(D27&gt;0," ",C27*18%)</f>
        <v/>
      </c>
      <c r="G27" s="1510" t="n"/>
      <c r="H27" s="1510" t="n"/>
      <c r="I27" s="1510" t="n">
        <v>0</v>
      </c>
    </row>
    <row r="28" ht="15.75" customHeight="1">
      <c r="A28" s="158" t="n">
        <v>3291</v>
      </c>
      <c r="B28" s="33" t="inlineStr">
        <is>
          <t>CIBIL CHARGES</t>
        </is>
      </c>
      <c r="C28" s="1551" t="n"/>
      <c r="D28" s="1531">
        <f>+C28*9%</f>
        <v/>
      </c>
      <c r="E28" s="1531">
        <f>+D28</f>
        <v/>
      </c>
      <c r="F28" s="1531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531">
        <f>+C29*9%</f>
        <v/>
      </c>
      <c r="E29" s="1531">
        <f>+D29</f>
        <v/>
      </c>
      <c r="F29" s="1531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531">
        <f>+C30*9%</f>
        <v/>
      </c>
      <c r="E30" s="1531">
        <f>+D30</f>
        <v/>
      </c>
      <c r="F30" s="1531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531">
        <f>+C31*9%</f>
        <v/>
      </c>
      <c r="E31" s="1531">
        <f>+D31</f>
        <v/>
      </c>
      <c r="F31" s="1531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531">
        <f>+C32*9%</f>
        <v/>
      </c>
      <c r="E32" s="1531">
        <f>+D32</f>
        <v/>
      </c>
      <c r="F32" s="1531">
        <f>IF(D32&gt;0," ",C32*18%)</f>
        <v/>
      </c>
      <c r="G32" s="1510" t="n"/>
      <c r="H32" s="1510" t="n"/>
      <c r="I32" s="1510" t="n">
        <v>0</v>
      </c>
    </row>
    <row r="33" ht="15.75" customHeight="1">
      <c r="A33" s="1080" t="n">
        <v>3300</v>
      </c>
      <c r="B33" s="1220" t="inlineStr">
        <is>
          <t>INCIDENTAL CHARGES</t>
        </is>
      </c>
      <c r="C33" s="1551" t="n"/>
      <c r="D33" s="1531">
        <f>+C33*9%</f>
        <v/>
      </c>
      <c r="E33" s="1531">
        <f>+D33</f>
        <v/>
      </c>
      <c r="F33" s="1595" t="n">
        <v>0</v>
      </c>
      <c r="G33" s="1510" t="n"/>
      <c r="H33" s="1510" t="n"/>
      <c r="I33" s="1510" t="n">
        <v>0</v>
      </c>
    </row>
    <row r="34" ht="15.75" customHeight="1">
      <c r="A34" s="1080" t="n">
        <v>3301</v>
      </c>
      <c r="B34" s="1220" t="inlineStr">
        <is>
          <t>INOPERATIVE CHARGES</t>
        </is>
      </c>
      <c r="C34" s="1551" t="n"/>
      <c r="D34" s="1531">
        <f>+C34*9%</f>
        <v/>
      </c>
      <c r="E34" s="1531">
        <f>+D34</f>
        <v/>
      </c>
      <c r="F34" s="1531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531">
        <f>+C35*9%</f>
        <v/>
      </c>
      <c r="E35" s="1531">
        <f>+D35</f>
        <v/>
      </c>
      <c r="F35" s="1531">
        <f>IF(D35&gt;0," ",C35*18%)</f>
        <v/>
      </c>
      <c r="G35" s="1510" t="n"/>
      <c r="H35" s="1510" t="n"/>
      <c r="I35" s="1510" t="n">
        <v>0</v>
      </c>
    </row>
    <row r="36" ht="15.75" customHeight="1">
      <c r="A36" s="1080" t="n">
        <v>3305</v>
      </c>
      <c r="B36" s="1220" t="inlineStr">
        <is>
          <t>A/C SHARE TRANSFER FEES</t>
        </is>
      </c>
      <c r="C36" s="1551" t="n"/>
      <c r="D36" s="1531">
        <f>+C36*9%</f>
        <v/>
      </c>
      <c r="E36" s="1531">
        <f>+D36</f>
        <v/>
      </c>
      <c r="F36" s="1531">
        <f>IF(D36&gt;0," ",C36*18%)</f>
        <v/>
      </c>
      <c r="G36" s="1510" t="n"/>
      <c r="H36" s="1510" t="n"/>
      <c r="I36" s="1510" t="n">
        <v>0</v>
      </c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551" t="n"/>
      <c r="D37" s="1531">
        <f>+C37*9%</f>
        <v/>
      </c>
      <c r="E37" s="1531">
        <f>+D37</f>
        <v/>
      </c>
      <c r="F37" s="1531">
        <f>IF(D37&gt;0," ",C37*18%)</f>
        <v/>
      </c>
      <c r="G37" s="1510" t="n"/>
      <c r="H37" s="1510" t="n"/>
      <c r="I37" s="1510" t="n">
        <v>0</v>
      </c>
    </row>
    <row r="38" ht="15.75" customHeight="1">
      <c r="A38" s="1080" t="inlineStr">
        <is>
          <t>3310</t>
        </is>
      </c>
      <c r="B38" s="1220" t="inlineStr">
        <is>
          <t>MIS. INCOME</t>
        </is>
      </c>
      <c r="C38" s="1551" t="n"/>
      <c r="D38" s="1531">
        <f>+C38*9%</f>
        <v/>
      </c>
      <c r="E38" s="1531">
        <f>+D38</f>
        <v/>
      </c>
      <c r="F38" s="1531">
        <f>IF(D38&gt;0," ",C38*18%)</f>
        <v/>
      </c>
      <c r="G38" s="1510" t="n"/>
      <c r="H38" s="1510" t="n"/>
      <c r="I38" s="1510" t="n">
        <v>0</v>
      </c>
      <c r="J38" s="32" t="n"/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551" t="n"/>
      <c r="D39" s="1531">
        <f>+C39*9%</f>
        <v/>
      </c>
      <c r="E39" s="1531">
        <f>+D39</f>
        <v/>
      </c>
      <c r="F39" s="1531">
        <f>IF(D39&gt;0," ",C39*18%)</f>
        <v/>
      </c>
      <c r="G39" s="1510" t="n"/>
      <c r="H39" s="1510" t="n"/>
      <c r="I39" s="1510" t="n">
        <v>0</v>
      </c>
    </row>
    <row r="40" ht="15.75" customHeight="1">
      <c r="A40" s="1080" t="n">
        <v>3312</v>
      </c>
      <c r="B40" s="1220" t="inlineStr">
        <is>
          <t>O/W CHQ. RET. CHARGES</t>
        </is>
      </c>
      <c r="C40" s="1551" t="n"/>
      <c r="D40" s="1531">
        <f>+C40*9%</f>
        <v/>
      </c>
      <c r="E40" s="1531">
        <f>+D40</f>
        <v/>
      </c>
      <c r="F40" s="1531">
        <f>IF(D40&gt;0," ",C40*18%)</f>
        <v/>
      </c>
      <c r="G40" s="1510" t="n"/>
      <c r="H40" s="1510" t="n"/>
      <c r="I40" s="1510" t="n">
        <v>0</v>
      </c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551" t="n"/>
      <c r="D41" s="1531">
        <f>+C41*9%</f>
        <v/>
      </c>
      <c r="E41" s="1531">
        <f>+D41</f>
        <v/>
      </c>
      <c r="F41" s="1531">
        <f>IF(D41&gt;0," ",C41*18%)</f>
        <v/>
      </c>
      <c r="G41" s="1510" t="n"/>
      <c r="H41" s="1510" t="n"/>
      <c r="I41" s="1510" t="n">
        <v>0</v>
      </c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551" t="n"/>
      <c r="D42" s="1531">
        <f>+C42*9%</f>
        <v/>
      </c>
      <c r="E42" s="1531">
        <f>+D42</f>
        <v/>
      </c>
      <c r="F42" s="1531">
        <f>IF(D42&gt;0," ",C42*18%)</f>
        <v/>
      </c>
      <c r="G42" s="1510" t="n"/>
      <c r="H42" s="1510" t="n"/>
      <c r="I42" s="1510" t="n">
        <v>0</v>
      </c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551" t="n"/>
      <c r="D43" s="1531">
        <f>+C43*9%</f>
        <v/>
      </c>
      <c r="E43" s="1531">
        <f>+D43</f>
        <v/>
      </c>
      <c r="F43" s="1531">
        <f>IF(D43&gt;0," ",C43*18%)</f>
        <v/>
      </c>
      <c r="G43" s="1510" t="n"/>
      <c r="H43" s="1510" t="n"/>
      <c r="I43" s="1510" t="n">
        <v>0</v>
      </c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551" t="n"/>
      <c r="D44" s="1531">
        <f>+C44*9%</f>
        <v/>
      </c>
      <c r="E44" s="1531">
        <f>+D44</f>
        <v/>
      </c>
      <c r="F44" s="1531" t="n">
        <v>0</v>
      </c>
      <c r="G44" s="1510" t="n"/>
      <c r="H44" s="1510" t="n"/>
      <c r="I44" s="1510" t="n">
        <v>0</v>
      </c>
    </row>
    <row r="45" ht="15.75" customHeight="1">
      <c r="A45" s="161" t="n">
        <v>3317</v>
      </c>
      <c r="B45" s="1220" t="inlineStr">
        <is>
          <t>THE P&amp;T CHARGES FOR LC/BG</t>
        </is>
      </c>
      <c r="C45" s="1551" t="n"/>
      <c r="D45" s="1531">
        <f>+C45*9%</f>
        <v/>
      </c>
      <c r="E45" s="1531">
        <f>+D45</f>
        <v/>
      </c>
      <c r="F45" s="1531">
        <f>IF(D45&gt;0," ",C45*18%)</f>
        <v/>
      </c>
      <c r="G45" s="1510" t="n"/>
      <c r="H45" s="1510" t="n"/>
      <c r="I45" s="1510" t="n">
        <v>0</v>
      </c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551" t="n"/>
      <c r="D46" s="1531">
        <f>+C46*9%</f>
        <v/>
      </c>
      <c r="E46" s="1531">
        <f>+D46</f>
        <v/>
      </c>
      <c r="F46" s="1531">
        <f>IF(D46&gt;0," ",C46*18%)</f>
        <v/>
      </c>
      <c r="G46" s="1510" t="n"/>
      <c r="H46" s="1510" t="n"/>
      <c r="I46" s="1510" t="n">
        <v>0</v>
      </c>
    </row>
    <row r="47" ht="15.75" customHeight="1">
      <c r="A47" s="161" t="n">
        <v>3320</v>
      </c>
      <c r="B47" s="1220" t="inlineStr">
        <is>
          <t>RENT ON LOCKER</t>
        </is>
      </c>
      <c r="C47" s="1551" t="n"/>
      <c r="D47" s="1531">
        <f>+C47*9%</f>
        <v/>
      </c>
      <c r="E47" s="1531">
        <f>+D47</f>
        <v/>
      </c>
      <c r="F47" s="1531">
        <f>IF(D47&gt;0," ",C47*18%)</f>
        <v/>
      </c>
      <c r="G47" s="1510" t="n"/>
      <c r="H47" s="1510" t="n"/>
      <c r="I47" s="1510" t="n">
        <v>0</v>
      </c>
    </row>
    <row r="48" ht="15.75" customHeight="1">
      <c r="A48" s="161" t="n">
        <v>3321</v>
      </c>
      <c r="B48" s="1220" t="inlineStr">
        <is>
          <t>ADHOC LIMIT CHARGES</t>
        </is>
      </c>
      <c r="C48" s="1551" t="n"/>
      <c r="D48" s="1531">
        <f>+C48*9%</f>
        <v/>
      </c>
      <c r="E48" s="1531">
        <f>+D48</f>
        <v/>
      </c>
      <c r="F48" s="1531">
        <f>IF(D48&gt;0," ",C48*18%)</f>
        <v/>
      </c>
      <c r="G48" s="1510" t="n"/>
      <c r="H48" s="1510" t="n"/>
      <c r="I48" s="1510" t="n">
        <v>0</v>
      </c>
    </row>
    <row r="49" ht="15.75" customHeight="1">
      <c r="A49" s="161" t="n">
        <v>3322</v>
      </c>
      <c r="B49" s="1220" t="inlineStr">
        <is>
          <t>INCOME FROM SALE OF OLD NEWS PAPERS</t>
        </is>
      </c>
      <c r="C49" s="1551" t="n"/>
      <c r="D49" s="1531">
        <f>+C49*9%</f>
        <v/>
      </c>
      <c r="E49" s="1531">
        <f>+D49</f>
        <v/>
      </c>
      <c r="F49" s="1531" t="n"/>
      <c r="G49" s="1510" t="n"/>
      <c r="H49" s="1510" t="n"/>
      <c r="I49" s="1510" t="n">
        <v>0</v>
      </c>
    </row>
    <row r="50" ht="15.75" customHeight="1">
      <c r="A50" s="161" t="n">
        <v>3324</v>
      </c>
      <c r="B50" s="1220" t="inlineStr">
        <is>
          <t>PENALTY ON OVERDUE LOCKER RENT</t>
        </is>
      </c>
      <c r="C50" s="1551" t="n"/>
      <c r="D50" s="1531">
        <f>+C50*9%</f>
        <v/>
      </c>
      <c r="E50" s="1531">
        <f>+D50</f>
        <v/>
      </c>
      <c r="F50" s="1531" t="n"/>
      <c r="G50" s="1510" t="n"/>
      <c r="H50" s="1510" t="n"/>
      <c r="I50" s="1510" t="n">
        <v>0</v>
      </c>
      <c r="L50" s="1084" t="n">
        <v>0</v>
      </c>
    </row>
    <row r="51" ht="15.75" customHeight="1">
      <c r="A51" s="1187" t="n">
        <v>3325</v>
      </c>
      <c r="B51" s="1220" t="inlineStr">
        <is>
          <t>MICR CLEARING CHARGES</t>
        </is>
      </c>
      <c r="C51" s="1551" t="n"/>
      <c r="D51" s="1531">
        <f>+C51*9%</f>
        <v/>
      </c>
      <c r="E51" s="1531">
        <f>+D51</f>
        <v/>
      </c>
      <c r="F51" s="1531" t="n"/>
      <c r="G51" s="1510" t="n"/>
      <c r="H51" s="1510" t="n"/>
      <c r="I51" s="1510" t="n">
        <v>0</v>
      </c>
    </row>
    <row r="52" ht="15.75" customHeight="1">
      <c r="A52" s="161" t="n">
        <v>3391</v>
      </c>
      <c r="B52" s="1220" t="inlineStr">
        <is>
          <t>SMS CHARGES INCOME RECEIVED</t>
        </is>
      </c>
      <c r="C52" s="1551" t="n"/>
      <c r="D52" s="1531">
        <f>+C52*9%</f>
        <v/>
      </c>
      <c r="E52" s="1531">
        <f>+D52</f>
        <v/>
      </c>
      <c r="F52" s="1531" t="n">
        <v>0</v>
      </c>
      <c r="G52" s="1510" t="n"/>
      <c r="H52" s="1510" t="n"/>
      <c r="I52" s="1510" t="n">
        <v>0</v>
      </c>
      <c r="L52" s="1084" t="n">
        <v>0</v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531">
        <f>+C53*9%</f>
        <v/>
      </c>
      <c r="E53" s="1531">
        <f>+D53</f>
        <v/>
      </c>
      <c r="F53" s="1531" t="n">
        <v>0</v>
      </c>
      <c r="G53" s="1510" t="n"/>
      <c r="H53" s="1510" t="n"/>
      <c r="I53" s="1510" t="n">
        <v>0</v>
      </c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531">
        <f>+C54*9%</f>
        <v/>
      </c>
      <c r="E54" s="1531">
        <f>+D54</f>
        <v/>
      </c>
      <c r="F54" s="1531" t="n">
        <v>0</v>
      </c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531" t="n"/>
      <c r="E55" s="1531" t="n"/>
      <c r="F55" s="1531" t="n"/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62" t="inlineStr">
        <is>
          <t>GL</t>
        </is>
      </c>
      <c r="B57" s="1220" t="n"/>
      <c r="C57" s="1551" t="n"/>
      <c r="D57" s="1531" t="n"/>
      <c r="E57" s="1531" t="n"/>
      <c r="F57" s="1531" t="n"/>
      <c r="G57" s="1510" t="n"/>
      <c r="H57" s="1510" t="n"/>
      <c r="I57" s="1510" t="n">
        <v>0</v>
      </c>
    </row>
    <row r="58" ht="15.75" customHeight="1">
      <c r="A58" s="161" t="inlineStr">
        <is>
          <t>1720</t>
        </is>
      </c>
      <c r="B58" s="1220" t="inlineStr">
        <is>
          <t>COMM. RECD. BUT NOT ACCRUED</t>
        </is>
      </c>
      <c r="C58" s="1551" t="n"/>
      <c r="D58" s="1531">
        <f>+C58*9%</f>
        <v/>
      </c>
      <c r="E58" s="1531">
        <f>+D58</f>
        <v/>
      </c>
      <c r="F58" s="1531">
        <f>IF(D58&gt;0," ",C58*18%)</f>
        <v/>
      </c>
      <c r="G58" s="1510" t="n"/>
      <c r="H58" s="1510" t="n"/>
      <c r="I58" s="1510" t="n">
        <v>0</v>
      </c>
    </row>
    <row r="59" ht="15.75" customHeight="1">
      <c r="A59" s="1080" t="inlineStr">
        <is>
          <t>1836</t>
        </is>
      </c>
      <c r="B59" s="1220" t="inlineStr">
        <is>
          <t>RENT ON LOCKER RECEIVED BUT</t>
        </is>
      </c>
      <c r="C59" s="1551" t="n"/>
      <c r="D59" s="1531">
        <f>+C59*9%</f>
        <v/>
      </c>
      <c r="E59" s="1531">
        <f>+D59</f>
        <v/>
      </c>
      <c r="F59" s="1531" t="n">
        <v>0</v>
      </c>
      <c r="G59" s="1510" t="n"/>
      <c r="H59" s="1510" t="n"/>
      <c r="I59" s="1510" t="n">
        <v>0</v>
      </c>
      <c r="K59" s="1084" t="n">
        <v>0</v>
      </c>
      <c r="L59" s="1084">
        <f>+K59*11.1111111111111</f>
        <v/>
      </c>
    </row>
    <row r="60" ht="15.75" customHeight="1">
      <c r="A60" s="163" t="inlineStr">
        <is>
          <t xml:space="preserve"> </t>
        </is>
      </c>
      <c r="B60" s="1220" t="inlineStr">
        <is>
          <t>NOT ACCRUED</t>
        </is>
      </c>
      <c r="C60" s="1551" t="n"/>
      <c r="D60" s="1531" t="n"/>
      <c r="E60" s="1531" t="n"/>
      <c r="F60" s="1531" t="n"/>
      <c r="G60" s="1510" t="n"/>
      <c r="H60" s="1510" t="n"/>
      <c r="I60" s="1510" t="n">
        <v>0</v>
      </c>
    </row>
    <row r="61" ht="15.75" customHeight="1">
      <c r="A61" s="432" t="n"/>
      <c r="B61" s="433" t="inlineStr">
        <is>
          <t>SALE OF ASSET ( CASH COUNTING MACHINE)</t>
        </is>
      </c>
      <c r="C61" s="1551" t="n"/>
      <c r="D61" s="1531">
        <f>+C61*9%</f>
        <v/>
      </c>
      <c r="E61" s="1593">
        <f>+D61</f>
        <v/>
      </c>
      <c r="F61" s="1593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96">
        <f>SUM(C9:C61)</f>
        <v/>
      </c>
      <c r="D62" s="1596">
        <f>SUM(D9:D61)</f>
        <v/>
      </c>
      <c r="E62" s="1596">
        <f>SUM(E9:E61)</f>
        <v/>
      </c>
      <c r="F62" s="1596">
        <f>SUM(F9:F61)</f>
        <v/>
      </c>
      <c r="G62" s="1501">
        <f>SUM(G9:G59)</f>
        <v/>
      </c>
      <c r="H62" s="1501">
        <f>SUM(H9:H59)</f>
        <v/>
      </c>
      <c r="I62" s="1501">
        <f>SUM(I9:I59)</f>
        <v/>
      </c>
    </row>
    <row r="63" ht="16.5" customHeight="1" thickTop="1">
      <c r="A63" s="9" t="inlineStr">
        <is>
          <t>RCM</t>
        </is>
      </c>
      <c r="B63" s="8" t="n"/>
      <c r="C63" s="1496" t="n">
        <v>0</v>
      </c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6" t="n">
        <v>0</v>
      </c>
      <c r="D64" s="1503">
        <f>+C64*9%</f>
        <v/>
      </c>
      <c r="E64" s="1503">
        <f>+D64</f>
        <v/>
      </c>
      <c r="F64" s="1503">
        <f>IF(D64&gt;0," ",C64*18%)</f>
        <v/>
      </c>
      <c r="G64" s="1084">
        <f>+C62*0.09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6" t="n">
        <v>0</v>
      </c>
      <c r="D65" s="1503">
        <f>+C65*9%</f>
        <v/>
      </c>
      <c r="E65" s="1503">
        <f>+D65</f>
        <v/>
      </c>
      <c r="F65" s="1503">
        <f>IF(D65&gt;0," ",C65*18%)</f>
        <v/>
      </c>
    </row>
    <row r="66" ht="15.75" customHeight="1">
      <c r="A66" s="1210" t="inlineStr">
        <is>
          <t xml:space="preserve">SUMMARY </t>
        </is>
      </c>
      <c r="G66" s="1084" t="inlineStr">
        <is>
          <t xml:space="preserve"> </t>
        </is>
      </c>
      <c r="I66" s="1084" t="inlineStr">
        <is>
          <t xml:space="preserve">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H68" s="32" t="inlineStr">
        <is>
          <t xml:space="preserve"> </t>
        </is>
      </c>
      <c r="J68" s="1084" t="inlineStr">
        <is>
          <t xml:space="preserve"> </t>
        </is>
      </c>
      <c r="K68" s="1084" t="inlineStr">
        <is>
          <t xml:space="preserve"> </t>
        </is>
      </c>
      <c r="L68" s="1084" t="inlineStr">
        <is>
          <t xml:space="preserve"> </t>
        </is>
      </c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  <c r="H69" s="32" t="inlineStr">
        <is>
          <t xml:space="preserve"> </t>
        </is>
      </c>
      <c r="L69" s="1084" t="inlineStr">
        <is>
          <t xml:space="preserve"> 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+D72</f>
        <v/>
      </c>
      <c r="F72" s="106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>
        <v>5832.3</v>
      </c>
      <c r="E74" s="108">
        <f>+D74</f>
        <v/>
      </c>
      <c r="F74" s="108" t="n">
        <v>0</v>
      </c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643">
        <f>+D73-D74</f>
        <v/>
      </c>
      <c r="E75" s="643">
        <f>+E73-E74</f>
        <v/>
      </c>
      <c r="F75" s="108">
        <f>IF(F71&gt;F74,F71,F74)</f>
        <v/>
      </c>
      <c r="G75" s="1084">
        <f>D75/9%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  <c r="G80" s="32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>
        <v>89446.5</v>
      </c>
      <c r="E81" s="108">
        <f>+D81</f>
        <v/>
      </c>
      <c r="F81" s="1528" t="n">
        <v>0</v>
      </c>
      <c r="G81" s="32">
        <f>++D81/2</f>
        <v/>
      </c>
      <c r="H81" s="32">
        <f>++E81/2</f>
        <v/>
      </c>
      <c r="I81" s="32">
        <f>++F81/2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529">
        <f>+C93</f>
        <v/>
      </c>
      <c r="E82" s="1529">
        <f>+D82</f>
        <v/>
      </c>
      <c r="F82" s="1529" t="n">
        <v>0</v>
      </c>
      <c r="G82" s="32">
        <f>++D82/2</f>
        <v/>
      </c>
      <c r="H82" s="32">
        <f>++E82/2</f>
        <v/>
      </c>
      <c r="I82" s="32">
        <f>++F82/2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+E81-E809</f>
        <v/>
      </c>
      <c r="F83" s="1529">
        <f>+F81-F82</f>
        <v/>
      </c>
      <c r="G83" s="32">
        <f>++D83/2</f>
        <v/>
      </c>
      <c r="H83" s="32">
        <f>++E83/2</f>
        <v/>
      </c>
      <c r="I83" s="32">
        <f>++F83/2</f>
        <v/>
      </c>
    </row>
    <row r="84" ht="15.75" customHeight="1" thickBot="1">
      <c r="A84" s="1331" t="n"/>
      <c r="B84" s="1504" t="n"/>
      <c r="C84" s="1504" t="n"/>
      <c r="D84" s="1504" t="n"/>
      <c r="E84" s="1504" t="n"/>
      <c r="F84" s="1504" t="n"/>
      <c r="G84" s="32" t="n"/>
      <c r="I84" s="32" t="n"/>
    </row>
    <row r="85">
      <c r="A85" s="1542" t="n"/>
      <c r="B85" s="1522" t="n"/>
      <c r="C85" s="1522" t="n"/>
      <c r="D85" s="1522" t="n"/>
      <c r="E85" s="1522" t="n"/>
      <c r="F85" s="1523" t="n"/>
      <c r="G85" s="32" t="n"/>
      <c r="I85" s="32" t="n"/>
    </row>
    <row r="86" ht="15.75" customHeight="1" thickBot="1">
      <c r="A86" s="1524" t="n"/>
      <c r="B86" s="1525" t="n"/>
      <c r="C86" s="1525" t="n"/>
      <c r="D86" s="1525" t="n"/>
      <c r="E86" s="1525" t="n"/>
      <c r="F86" s="1526" t="n"/>
      <c r="G86" s="32" t="n"/>
      <c r="I86" s="32" t="n"/>
    </row>
    <row r="89">
      <c r="B89" s="145" t="inlineStr">
        <is>
          <t>INELLIGBLE  CREDIT</t>
        </is>
      </c>
      <c r="C89" s="145" t="n"/>
      <c r="D89" s="145" t="n"/>
      <c r="E89" s="145" t="n"/>
    </row>
    <row r="90">
      <c r="B90" s="1356" t="inlineStr">
        <is>
          <t>PARTY NAME</t>
        </is>
      </c>
      <c r="C90" s="1356" t="inlineStr">
        <is>
          <t>GGST</t>
        </is>
      </c>
      <c r="D90" s="1356" t="inlineStr">
        <is>
          <t>CGST</t>
        </is>
      </c>
      <c r="E90" s="1356" t="inlineStr">
        <is>
          <t>IGST</t>
        </is>
      </c>
      <c r="F90" s="1087" t="n"/>
    </row>
    <row r="91">
      <c r="A91" s="68" t="n"/>
      <c r="B91" s="1084" t="inlineStr">
        <is>
          <t>JAYSINGHS ICECREAM AND COLDDRINKS</t>
        </is>
      </c>
      <c r="C91" s="1084" t="n">
        <v>0</v>
      </c>
      <c r="D91" s="1084">
        <f>+C91</f>
        <v/>
      </c>
      <c r="E91" s="1084" t="n">
        <v>0</v>
      </c>
      <c r="F91" s="71" t="n"/>
    </row>
    <row r="92">
      <c r="A92" s="68" t="n"/>
      <c r="B92" s="487" t="inlineStr">
        <is>
          <t>SATELIITE ELECTRONICS AND CONTROLS</t>
        </is>
      </c>
      <c r="C92" s="1084" t="n">
        <v>0</v>
      </c>
      <c r="D92" s="1084" t="n">
        <v>0</v>
      </c>
      <c r="F92" s="71" t="n"/>
    </row>
    <row r="93" ht="15.75" customHeight="1" thickBot="1">
      <c r="A93" s="214" t="n"/>
      <c r="B93" s="141" t="inlineStr">
        <is>
          <t>TOTAL</t>
        </is>
      </c>
      <c r="C93" s="1597">
        <f>+SUM(C91:C92)</f>
        <v/>
      </c>
      <c r="D93" s="1597">
        <f>+SUM(D91:D92)</f>
        <v/>
      </c>
      <c r="E93" s="1597">
        <f>+SUM(E91:E92)</f>
        <v/>
      </c>
      <c r="F93" s="71" t="n"/>
    </row>
    <row r="94" ht="15.75" customHeight="1" thickTop="1"/>
    <row r="95">
      <c r="G95" s="1084">
        <f>+C93/2</f>
        <v/>
      </c>
    </row>
    <row r="96" ht="15" customHeight="1">
      <c r="A96" s="725" t="n"/>
      <c r="B96" s="725" t="n"/>
      <c r="C96" s="725" t="n"/>
      <c r="D96" s="725" t="n"/>
      <c r="E96" s="725" t="n"/>
      <c r="F96" s="725" t="n"/>
    </row>
    <row r="97" ht="15.75" customHeight="1">
      <c r="A97" s="725" t="n"/>
      <c r="B97" s="725" t="n"/>
      <c r="C97" s="725" t="n"/>
      <c r="D97" s="725" t="n"/>
      <c r="E97" s="725" t="n"/>
      <c r="F97" s="725" t="n"/>
    </row>
    <row r="100">
      <c r="D100" s="1084" t="inlineStr">
        <is>
          <t xml:space="preserve"> </t>
        </is>
      </c>
    </row>
  </sheetData>
  <mergeCells count="30">
    <mergeCell ref="A84:F84"/>
    <mergeCell ref="A80:C80"/>
    <mergeCell ref="A75:C75"/>
    <mergeCell ref="A66:F66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85:F86"/>
    <mergeCell ref="A1:F1"/>
    <mergeCell ref="F78:F79"/>
    <mergeCell ref="D69:D70"/>
    <mergeCell ref="B7:B8"/>
    <mergeCell ref="F69:F70"/>
    <mergeCell ref="F7:F8"/>
  </mergeCells>
  <conditionalFormatting sqref="A85">
    <cfRule type="containsText" priority="6" operator="containsText" dxfId="12" text="LESS COLLECTED">
      <formula>NOT(ISERROR(SEARCH("LESS COLLECTED",A85)))</formula>
    </cfRule>
    <cfRule type="containsText" priority="7" operator="containsText" dxfId="0" text="LESS COLLECTED">
      <formula>NOT(ISERROR(SEARCH("LESS COLLECTED",A85)))</formula>
    </cfRule>
  </conditionalFormatting>
  <conditionalFormatting sqref="A72:F73 A91:A93 D69:E70">
    <cfRule type="containsText" priority="43" operator="containsText" dxfId="1" text="EXCESS COLLECTED">
      <formula>NOT(ISERROR(SEARCH("EXCESS COLLECTED",A69)))</formula>
    </cfRule>
  </conditionalFormatting>
  <conditionalFormatting sqref="A9:B21 A91:A94 A98:A1048576 B89:E93 B98:XFD100 F89:F94 G89:XFD97">
    <cfRule type="containsText" priority="29" operator="containsText" dxfId="0" text="LESS COLLECTED">
      <formula>NOT(ISERROR(SEARCH("LESS COLLECTED",A9)))</formula>
    </cfRule>
  </conditionalFormatting>
  <conditionalFormatting sqref="A22:B34">
    <cfRule type="containsText" priority="32" operator="containsText" dxfId="0" text="LESS COLLECTED">
      <formula>NOT(ISERROR(SEARCH("LESS COLLECTED",A22)))</formula>
    </cfRule>
  </conditionalFormatting>
  <conditionalFormatting sqref="A35:B56">
    <cfRule type="containsText" priority="2" operator="containsText" dxfId="0" text="LESS COLLECTED">
      <formula>NOT(ISERROR(SEARCH("LESS COLLECTED",A35)))</formula>
    </cfRule>
  </conditionalFormatting>
  <conditionalFormatting sqref="A47:B56">
    <cfRule type="containsText" priority="1" operator="containsText" dxfId="1" text="EXCESS COLLECTED">
      <formula>NOT(ISERROR(SEARCH("EXCESS COLLECTED",A47)))</formula>
    </cfRule>
  </conditionalFormatting>
  <conditionalFormatting sqref="A57:B65">
    <cfRule type="containsText" priority="34" operator="containsText" dxfId="0" text="LESS COLLECTED">
      <formula>NOT(ISERROR(SEARCH("LESS COLLECTED",A57)))</formula>
    </cfRule>
  </conditionalFormatting>
  <conditionalFormatting sqref="B61">
    <cfRule type="containsText" priority="33" operator="containsText" dxfId="1" text="EXCESS COLLECTED">
      <formula>NOT(ISERROR(SEARCH("EXCESS COLLECTED",B61)))</formula>
    </cfRule>
  </conditionalFormatting>
  <conditionalFormatting sqref="A28:B32 B89:E89 B90:D93 E93 F90">
    <cfRule type="containsText" priority="31" operator="containsText" dxfId="1" text="EXCESS COLLECTED">
      <formula>NOT(ISERROR(SEARCH("EXCESS COLLECTED",A28)))</formula>
    </cfRule>
  </conditionalFormatting>
  <conditionalFormatting sqref="A1:XFD3 A4 A5:XFD6 A7:F8 A66:A84 A87:A89 B66:XFD73 B74:F74 B75:XFD79 B80:F80 B81:XFD83 B87:XFD88 B102:XFD1048576 G4:XFD4 G84:XFD86 G101:XFD101 H74:XFD74 H80:XFD80 J7:XFD62">
    <cfRule type="containsText" priority="51" operator="containsText" dxfId="0" text="LESS COLLECTED">
      <formula>NOT(ISERROR(SEARCH("LESS COLLECTED",A1)))</formula>
    </cfRule>
  </conditionalFormatting>
  <conditionalFormatting sqref="C9:C61 C63:C65">
    <cfRule type="containsText" priority="37" operator="containsText" dxfId="1" text="EXCESS COLLECTED">
      <formula>NOT(ISERROR(SEARCH("EXCESS COLLECTED",C9)))</formula>
    </cfRule>
  </conditionalFormatting>
  <conditionalFormatting sqref="C9:C61 C63:XFD64 C65:F65">
    <cfRule type="containsText" priority="38" operator="containsText" dxfId="0" text="LESS COLLECTED">
      <formula>NOT(ISERROR(SEARCH("LESS COLLECTED",C9)))</formula>
    </cfRule>
  </conditionalFormatting>
  <conditionalFormatting sqref="A72:F73 D69:E70">
    <cfRule type="containsText" priority="44" operator="containsText" dxfId="0" text="LESS COLLECTED">
      <formula>NOT(ISERROR(SEARCH("LESS COLLECTED",A69)))</formula>
    </cfRule>
  </conditionalFormatting>
  <conditionalFormatting sqref="D48:F55">
    <cfRule type="containsText" priority="23" operator="containsText" dxfId="1" text="EXCESS COLLECTED">
      <formula>NOT(ISERROR(SEARCH("EXCESS COLLECTED",D48)))</formula>
    </cfRule>
  </conditionalFormatting>
  <conditionalFormatting sqref="D51:F51">
    <cfRule type="containsText" priority="17" operator="containsText" dxfId="1" text="EXCESS COLLECTED">
      <formula>NOT(ISERROR(SEARCH("EXCESS COLLECTED",D51)))</formula>
    </cfRule>
    <cfRule type="containsText" priority="18" operator="containsText" dxfId="0" text="LESS COLLECTED">
      <formula>NOT(ISERROR(SEARCH("LESS COLLECTED",D51)))</formula>
    </cfRule>
  </conditionalFormatting>
  <conditionalFormatting sqref="D56:F56">
    <cfRule type="containsText" priority="3" operator="containsText" dxfId="1" text="EXCESS COLLECTED">
      <formula>NOT(ISERROR(SEARCH("EXCESS COLLECTED",D56)))</formula>
    </cfRule>
  </conditionalFormatting>
  <conditionalFormatting sqref="D9:I35">
    <cfRule type="containsText" priority="12" operator="containsText" dxfId="0" text="LESS COLLECTED">
      <formula>NOT(ISERROR(SEARCH("LESS COLLECTED",D9)))</formula>
    </cfRule>
  </conditionalFormatting>
  <conditionalFormatting sqref="D36:I55">
    <cfRule type="containsText" priority="24" operator="containsText" dxfId="0" text="LESS COLLECTED">
      <formula>NOT(ISERROR(SEARCH("LESS COLLECTED",D36)))</formula>
    </cfRule>
  </conditionalFormatting>
  <conditionalFormatting sqref="D56:I62">
    <cfRule type="containsText" priority="4" operator="containsText" dxfId="0" text="LESS COLLECTED">
      <formula>NOT(ISERROR(SEARCH("LESS COLLECTED",D56)))</formula>
    </cfRule>
  </conditionalFormatting>
  <conditionalFormatting sqref="E93">
    <cfRule type="containsText" priority="42" operator="containsText" dxfId="0" text="LESS COLLECTED">
      <formula>NOT(ISERROR(SEARCH("LESS COLLECTED",E93)))</formula>
    </cfRule>
  </conditionalFormatting>
  <conditionalFormatting sqref="G65:XFD65">
    <cfRule type="containsText" priority="11" operator="containsText" dxfId="0" text="LESS COLLECTED">
      <formula>NOT(ISERROR(SEARCH("LESS COLLECTED",G65)))</formula>
    </cfRule>
  </conditionalFormatting>
  <pageMargins left="0.958661417" right="0.868110236" top="0.657480315" bottom="0.5" header="0.31496062992126" footer="0.31496062992126"/>
  <pageSetup orientation="portrait" paperSize="9" scale="51"/>
  <rowBreaks count="1" manualBreakCount="1">
    <brk id="97" min="0" max="5" man="1"/>
  </rowBreaks>
</worksheet>
</file>

<file path=xl/worksheets/sheet24.xml><?xml version="1.0" encoding="utf-8"?>
<worksheet xmlns="http://schemas.openxmlformats.org/spreadsheetml/2006/main">
  <sheetPr codeName="Sheet55">
    <outlinePr summaryBelow="1" summaryRight="1"/>
    <pageSetUpPr/>
  </sheetPr>
  <dimension ref="A1:O100"/>
  <sheetViews>
    <sheetView topLeftCell="A55" workbookViewId="0">
      <selection activeCell="H68" sqref="H68"/>
    </sheetView>
  </sheetViews>
  <sheetFormatPr baseColWidth="8" defaultColWidth="9.140625" defaultRowHeight="15"/>
  <cols>
    <col width="17.28515625" customWidth="1" style="1084" min="1" max="1"/>
    <col width="43.7109375" customWidth="1" style="1084" min="2" max="2"/>
    <col width="14.85546875" bestFit="1" customWidth="1" style="1084" min="3" max="3"/>
    <col width="15.5703125" customWidth="1" style="1084" min="4" max="4"/>
    <col width="14.140625" bestFit="1" customWidth="1" style="1084" min="5" max="5"/>
    <col width="11.42578125" customWidth="1" style="1084" min="6" max="6"/>
    <col width="19.85546875" customWidth="1" style="1084" min="7" max="7"/>
    <col width="10.85546875" bestFit="1" customWidth="1" style="32" min="8" max="8"/>
    <col width="9.85546875" bestFit="1" customWidth="1" style="1084" min="9" max="9"/>
    <col width="9.7109375" bestFit="1" customWidth="1" style="1084" min="10" max="10"/>
    <col width="9.140625" customWidth="1" style="1084" min="1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BRANCH NAME : VASTRAL BRANCH</t>
        </is>
      </c>
    </row>
    <row r="4" ht="15.75" customHeight="1">
      <c r="A4" s="1214" t="inlineStr">
        <is>
          <t>BRANCH CODE: 24</t>
        </is>
      </c>
    </row>
    <row r="5" ht="15.75" customHeight="1">
      <c r="A5" s="1210">
        <f>+BOPAL!A5</f>
        <v/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22" t="inlineStr">
        <is>
          <t>CODE NO.</t>
        </is>
      </c>
      <c r="B7" s="1213" t="inlineStr">
        <is>
          <t>PARTICULARS</t>
        </is>
      </c>
      <c r="C7" s="1493" t="n"/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09" t="n"/>
      <c r="H7" s="1260" t="n"/>
      <c r="I7" s="1209" t="inlineStr">
        <is>
          <t>LOCKER CLOSED CREDIT</t>
        </is>
      </c>
    </row>
    <row r="8" ht="15.75" customHeight="1">
      <c r="A8" s="20" t="inlineStr">
        <is>
          <t>PL</t>
        </is>
      </c>
      <c r="B8" s="1494" t="n"/>
      <c r="C8" s="1495" t="n"/>
      <c r="D8" s="1494" t="n"/>
      <c r="E8" s="1494" t="n"/>
      <c r="F8" s="1494" t="n"/>
      <c r="G8" s="1494" t="n"/>
      <c r="H8" s="1494" t="n"/>
      <c r="I8" s="1494" t="n"/>
    </row>
    <row r="9" ht="15.75" customHeight="1">
      <c r="A9" s="161" t="n">
        <v>3303</v>
      </c>
      <c r="B9" s="1220" t="inlineStr">
        <is>
          <t>DD CANCEL CHARGES</t>
        </is>
      </c>
      <c r="C9" s="1551" t="n"/>
      <c r="D9" s="1531">
        <f>+C9*9%</f>
        <v/>
      </c>
      <c r="E9" s="1531">
        <f>+D9</f>
        <v/>
      </c>
      <c r="F9" s="1531">
        <f>IF(D9&gt;0," ",C9*18%)</f>
        <v/>
      </c>
      <c r="G9" s="1510" t="n"/>
      <c r="H9" s="1510" t="n"/>
      <c r="I9" s="1510" t="n">
        <v>0</v>
      </c>
    </row>
    <row r="10" ht="15.75" customHeight="1">
      <c r="A10" s="161" t="inlineStr">
        <is>
          <t>3200</t>
        </is>
      </c>
      <c r="B10" s="1220" t="inlineStr">
        <is>
          <t>COMMISION ON BILLS</t>
        </is>
      </c>
      <c r="C10" s="1551" t="n"/>
      <c r="D10" s="1531">
        <f>+C10*9%</f>
        <v/>
      </c>
      <c r="E10" s="1531">
        <f>+D10</f>
        <v/>
      </c>
      <c r="F10" s="1531">
        <f>IF(D10&gt;0," ",C10*18%)</f>
        <v/>
      </c>
      <c r="G10" s="1510" t="n"/>
      <c r="H10" s="1510" t="n"/>
      <c r="I10" s="1510" t="n">
        <v>0</v>
      </c>
    </row>
    <row r="11" ht="15.75" customHeight="1">
      <c r="A11" s="1080" t="n">
        <v>3215</v>
      </c>
      <c r="B11" s="1220" t="inlineStr">
        <is>
          <t>COMMISION ON PAYORDER</t>
        </is>
      </c>
      <c r="C11" s="1551" t="n"/>
      <c r="D11" s="1531">
        <f>+C11*9%</f>
        <v/>
      </c>
      <c r="E11" s="1531">
        <f>+D11</f>
        <v/>
      </c>
      <c r="F11" s="1531" t="n">
        <v>0</v>
      </c>
      <c r="G11" s="1510" t="n"/>
      <c r="H11" s="1510" t="n"/>
      <c r="I11" s="1510" t="n">
        <v>0</v>
      </c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551" t="n"/>
      <c r="D12" s="1531">
        <f>+C12*9%</f>
        <v/>
      </c>
      <c r="E12" s="1531">
        <f>+D12</f>
        <v/>
      </c>
      <c r="F12" s="1531">
        <f>IF(D12&gt;0," ",C12*18%)</f>
        <v/>
      </c>
      <c r="G12" s="1510" t="n"/>
      <c r="H12" s="1510" t="n"/>
      <c r="I12" s="1510" t="n">
        <v>0</v>
      </c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551" t="n"/>
      <c r="D13" s="1531">
        <f>+C13*9%</f>
        <v/>
      </c>
      <c r="E13" s="1531">
        <f>+D13</f>
        <v/>
      </c>
      <c r="F13" s="1531">
        <f>IF(D13&gt;0," ",C13*18%)</f>
        <v/>
      </c>
      <c r="G13" s="1510" t="n"/>
      <c r="H13" s="1510" t="n"/>
      <c r="I13" s="1510" t="n">
        <v>0</v>
      </c>
      <c r="K13" s="1590" t="n"/>
    </row>
    <row r="14" ht="15.75" customHeight="1">
      <c r="A14" s="1080" t="inlineStr">
        <is>
          <t>3230</t>
        </is>
      </c>
      <c r="B14" s="1220" t="inlineStr">
        <is>
          <t>COMMISION ON GUARANTEE</t>
        </is>
      </c>
      <c r="C14" s="1551" t="n"/>
      <c r="D14" s="1531">
        <f>+C14*9%</f>
        <v/>
      </c>
      <c r="E14" s="1531">
        <f>+D14</f>
        <v/>
      </c>
      <c r="F14" s="1531">
        <f>IF(D14&gt;0," ",C14*18%)</f>
        <v/>
      </c>
      <c r="G14" s="1510" t="n"/>
      <c r="H14" s="1510" t="n"/>
      <c r="I14" s="1510" t="n">
        <v>0</v>
      </c>
    </row>
    <row r="15" ht="15.75" customHeight="1">
      <c r="A15" s="1080" t="n">
        <v>3235</v>
      </c>
      <c r="B15" s="1220" t="inlineStr">
        <is>
          <t>COMMISION ON DEMAND DRAFT</t>
        </is>
      </c>
      <c r="C15" s="1551" t="n"/>
      <c r="D15" s="1531">
        <f>+C15*9%</f>
        <v/>
      </c>
      <c r="E15" s="1531">
        <f>+D15</f>
        <v/>
      </c>
      <c r="F15" s="1531">
        <f>IF(D15&gt;0," ",C15*18%)</f>
        <v/>
      </c>
      <c r="G15" s="1510" t="n"/>
      <c r="H15" s="1510" t="n"/>
      <c r="I15" s="1510" t="n">
        <v>0</v>
      </c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551" t="n"/>
      <c r="D16" s="1531">
        <f>+C16*9%</f>
        <v/>
      </c>
      <c r="E16" s="1531">
        <f>+D16</f>
        <v/>
      </c>
      <c r="F16" s="1531">
        <f>IF(D16&gt;0," ",C16*18%)</f>
        <v/>
      </c>
      <c r="G16" s="1510" t="n"/>
      <c r="H16" s="1510" t="n"/>
      <c r="I16" s="1510" t="n">
        <v>0</v>
      </c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551" t="n"/>
      <c r="D17" s="1531">
        <f>+C17*9%</f>
        <v/>
      </c>
      <c r="E17" s="1531">
        <f>+D17</f>
        <v/>
      </c>
      <c r="F17" s="1531">
        <f>IF(D17&gt;0," ",C17*18%)</f>
        <v/>
      </c>
      <c r="G17" s="1510" t="n"/>
      <c r="H17" s="1510" t="n"/>
      <c r="I17" s="1510" t="n">
        <v>0</v>
      </c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551" t="n"/>
      <c r="D18" s="1531">
        <f>+C18*9%</f>
        <v/>
      </c>
      <c r="E18" s="1531">
        <f>+D18</f>
        <v/>
      </c>
      <c r="F18" s="1531">
        <f>IF(D18&gt;0," ",C18*18%)</f>
        <v/>
      </c>
      <c r="G18" s="1510" t="n"/>
      <c r="H18" s="1510" t="n"/>
      <c r="I18" s="1510" t="n">
        <v>0</v>
      </c>
    </row>
    <row r="19" ht="15.75" customHeight="1">
      <c r="A19" s="161" t="n">
        <v>3270</v>
      </c>
      <c r="B19" s="1220" t="inlineStr">
        <is>
          <t>PROCESSING CHARGE</t>
        </is>
      </c>
      <c r="C19" s="1551" t="n"/>
      <c r="D19" s="1531">
        <f>+C19*9%</f>
        <v/>
      </c>
      <c r="E19" s="1531">
        <f>+D19</f>
        <v/>
      </c>
      <c r="F19" s="1531" t="n">
        <v>0</v>
      </c>
      <c r="G19" s="1510" t="n"/>
      <c r="H19" s="1510" t="n"/>
      <c r="I19" s="1510" t="n">
        <v>0</v>
      </c>
      <c r="J19" s="1084" t="n">
        <v>0</v>
      </c>
    </row>
    <row r="20" ht="15.75" customHeight="1">
      <c r="A20" s="13" t="n">
        <v>3271</v>
      </c>
      <c r="B20" s="1220" t="inlineStr">
        <is>
          <t>RENEWAL FEES</t>
        </is>
      </c>
      <c r="C20" s="1551" t="n"/>
      <c r="D20" s="1531">
        <f>+C20*9%</f>
        <v/>
      </c>
      <c r="E20" s="1531">
        <f>+D20</f>
        <v/>
      </c>
      <c r="F20" s="1531" t="n"/>
      <c r="G20" s="1510" t="n"/>
      <c r="H20" s="1510" t="n"/>
      <c r="I20" s="1510" t="n">
        <v>0</v>
      </c>
    </row>
    <row r="21" ht="15.75" customHeight="1">
      <c r="A21" s="13" t="n">
        <v>3274</v>
      </c>
      <c r="B21" s="1220" t="inlineStr">
        <is>
          <t>INCOME FROM E-STAMPING</t>
        </is>
      </c>
      <c r="C21" s="1551" t="n"/>
      <c r="D21" s="1531" t="n"/>
      <c r="E21" s="1531" t="n"/>
      <c r="F21" s="1531" t="n"/>
      <c r="G21" s="1510" t="n"/>
      <c r="H21" s="1510" t="n"/>
      <c r="I21" s="1510" t="n">
        <v>0</v>
      </c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551" t="n"/>
      <c r="D22" s="1531">
        <f>+C22*9%</f>
        <v/>
      </c>
      <c r="E22" s="1531">
        <f>+D22</f>
        <v/>
      </c>
      <c r="F22" s="1531">
        <f>IF(D22&gt;0," ",C22*18%)</f>
        <v/>
      </c>
      <c r="G22" s="1510" t="n"/>
      <c r="H22" s="1510" t="n"/>
      <c r="I22" s="1510" t="n">
        <v>0</v>
      </c>
      <c r="O22" s="1084" t="inlineStr">
        <is>
          <t xml:space="preserve"> </t>
        </is>
      </c>
    </row>
    <row r="23" ht="15.75" customHeight="1">
      <c r="A23" s="161" t="inlineStr">
        <is>
          <t>3280</t>
        </is>
      </c>
      <c r="B23" s="1220" t="inlineStr">
        <is>
          <t>INSURANCE PREMIUM</t>
        </is>
      </c>
      <c r="C23" s="1551" t="n"/>
      <c r="D23" s="1531">
        <f>+C23*9%</f>
        <v/>
      </c>
      <c r="E23" s="1531">
        <f>+D23</f>
        <v/>
      </c>
      <c r="F23" s="1531">
        <f>IF(D23&gt;0," ",C23*18%)</f>
        <v/>
      </c>
      <c r="G23" s="1510" t="n"/>
      <c r="H23" s="1510" t="n"/>
      <c r="I23" s="1510" t="n">
        <v>0</v>
      </c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551" t="n"/>
      <c r="D24" s="1531">
        <f>+C24*9%</f>
        <v/>
      </c>
      <c r="E24" s="1531">
        <f>+D24</f>
        <v/>
      </c>
      <c r="F24" s="1531">
        <f>IF(D24&gt;0," ",C24*18%)</f>
        <v/>
      </c>
      <c r="G24" s="1510" t="n"/>
      <c r="H24" s="1510" t="n"/>
      <c r="I24" s="1510" t="n">
        <v>0</v>
      </c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551" t="n"/>
      <c r="D25" s="1531">
        <f>+C25*9%</f>
        <v/>
      </c>
      <c r="E25" s="1531">
        <f>+D25</f>
        <v/>
      </c>
      <c r="F25" s="1531">
        <f>IF(D25&gt;0," ",C25*18%)</f>
        <v/>
      </c>
      <c r="G25" s="1510" t="n"/>
      <c r="H25" s="1510" t="n"/>
      <c r="I25" s="1510" t="n">
        <v>0</v>
      </c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551" t="n"/>
      <c r="D26" s="1531">
        <f>+C26*9%</f>
        <v/>
      </c>
      <c r="E26" s="1531">
        <f>+D26</f>
        <v/>
      </c>
      <c r="F26" s="1531">
        <f>IF(D26&gt;0," ",C26*18%)</f>
        <v/>
      </c>
      <c r="G26" s="1510" t="n"/>
      <c r="H26" s="1510" t="n"/>
      <c r="I26" s="1510" t="n">
        <v>0</v>
      </c>
    </row>
    <row r="27" ht="15.75" customHeight="1">
      <c r="A27" s="158" t="inlineStr">
        <is>
          <t>3287</t>
        </is>
      </c>
      <c r="B27" s="1220" t="inlineStr">
        <is>
          <t>COMM. ON PMSBY NEW INDIA ASSURANCE</t>
        </is>
      </c>
      <c r="C27" s="1551" t="n"/>
      <c r="D27" s="1531">
        <f>+C27*9%</f>
        <v/>
      </c>
      <c r="E27" s="1531">
        <f>+D27</f>
        <v/>
      </c>
      <c r="F27" s="1531">
        <f>IF(D27&gt;0," ",C27*18%)</f>
        <v/>
      </c>
      <c r="G27" s="1510" t="n"/>
      <c r="H27" s="1510" t="n"/>
      <c r="I27" s="1510" t="n">
        <v>0</v>
      </c>
    </row>
    <row r="28" ht="15.75" customHeight="1">
      <c r="A28" s="158" t="n">
        <v>3291</v>
      </c>
      <c r="B28" s="33" t="inlineStr">
        <is>
          <t>CIBIL CHARGES</t>
        </is>
      </c>
      <c r="C28" s="1551" t="n"/>
      <c r="D28" s="1531">
        <f>+C28*9%</f>
        <v/>
      </c>
      <c r="E28" s="1531">
        <f>+D28</f>
        <v/>
      </c>
      <c r="F28" s="1531">
        <f>IF(D28&gt;0," ",C28*18%)</f>
        <v/>
      </c>
      <c r="G28" s="1510" t="n"/>
      <c r="H28" s="1510" t="n"/>
      <c r="I28" s="1510" t="n">
        <v>0</v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51" t="n"/>
      <c r="D29" s="1531">
        <f>+C29*9%</f>
        <v/>
      </c>
      <c r="E29" s="1531">
        <f>+D29</f>
        <v/>
      </c>
      <c r="F29" s="1531">
        <f>IF(D29&gt;0," ",C29*18%)</f>
        <v/>
      </c>
      <c r="G29" s="1510" t="n"/>
      <c r="H29" s="1510" t="n"/>
      <c r="I29" s="1510" t="n">
        <v>0</v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51" t="n"/>
      <c r="D30" s="1531">
        <f>+C30*9%</f>
        <v/>
      </c>
      <c r="E30" s="1531">
        <f>+D30</f>
        <v/>
      </c>
      <c r="F30" s="1531">
        <f>IF(D30&gt;0," ",C30*18%)</f>
        <v/>
      </c>
      <c r="G30" s="1510" t="n"/>
      <c r="H30" s="1510" t="n"/>
      <c r="I30" s="1510" t="n">
        <v>0</v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51" t="n"/>
      <c r="D31" s="1531">
        <f>+C31*9%</f>
        <v/>
      </c>
      <c r="E31" s="1531">
        <f>+D31</f>
        <v/>
      </c>
      <c r="F31" s="1531">
        <f>IF(D31&gt;0," ",C31*18%)</f>
        <v/>
      </c>
      <c r="G31" s="1510" t="n"/>
      <c r="H31" s="1510" t="n"/>
      <c r="I31" s="1510" t="n">
        <v>0</v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51" t="n"/>
      <c r="D32" s="1531">
        <f>+C32*9%</f>
        <v/>
      </c>
      <c r="E32" s="1531">
        <f>+D32</f>
        <v/>
      </c>
      <c r="F32" s="1531">
        <f>IF(D32&gt;0," ",C32*18%)</f>
        <v/>
      </c>
      <c r="G32" s="1510" t="n"/>
      <c r="H32" s="1510" t="n"/>
      <c r="I32" s="1510" t="n">
        <v>0</v>
      </c>
    </row>
    <row r="33" ht="15.75" customHeight="1">
      <c r="A33" s="1080" t="n">
        <v>3300</v>
      </c>
      <c r="B33" s="1220" t="inlineStr">
        <is>
          <t>INCIDENTAL CHARGES</t>
        </is>
      </c>
      <c r="C33" s="1551" t="n"/>
      <c r="D33" s="1531">
        <f>+C33*9%</f>
        <v/>
      </c>
      <c r="E33" s="1531">
        <f>+D33</f>
        <v/>
      </c>
      <c r="F33" s="1595" t="n">
        <v>0</v>
      </c>
      <c r="G33" s="1510" t="n"/>
      <c r="H33" s="1510" t="n"/>
      <c r="I33" s="1510" t="n">
        <v>0</v>
      </c>
    </row>
    <row r="34" ht="15.75" customHeight="1">
      <c r="A34" s="1080" t="n">
        <v>3301</v>
      </c>
      <c r="B34" s="1220" t="inlineStr">
        <is>
          <t>INOPERATIVE CHARGES</t>
        </is>
      </c>
      <c r="C34" s="1551" t="n"/>
      <c r="D34" s="1531">
        <f>+C34*9%</f>
        <v/>
      </c>
      <c r="E34" s="1531">
        <f>+D34</f>
        <v/>
      </c>
      <c r="F34" s="1531">
        <f>IF(D34&gt;0," ",C34*18%)</f>
        <v/>
      </c>
      <c r="G34" s="1510" t="n"/>
      <c r="H34" s="1510" t="n"/>
      <c r="I34" s="1510" t="n">
        <v>0</v>
      </c>
    </row>
    <row r="35" ht="15.75" customHeight="1">
      <c r="A35" s="13" t="n">
        <v>3302</v>
      </c>
      <c r="B35" s="1220" t="inlineStr">
        <is>
          <t>PO CANCEL CHARGES</t>
        </is>
      </c>
      <c r="C35" s="1551" t="n"/>
      <c r="D35" s="1531">
        <f>+C35*9%</f>
        <v/>
      </c>
      <c r="E35" s="1531">
        <f>+D35</f>
        <v/>
      </c>
      <c r="F35" s="1531">
        <f>IF(D35&gt;0," ",C35*18%)</f>
        <v/>
      </c>
      <c r="G35" s="1510" t="n"/>
      <c r="H35" s="1510" t="n"/>
      <c r="I35" s="1510" t="n">
        <v>0</v>
      </c>
    </row>
    <row r="36" ht="15.75" customHeight="1">
      <c r="A36" s="1080" t="n">
        <v>3305</v>
      </c>
      <c r="B36" s="1220" t="inlineStr">
        <is>
          <t>A/C SHARE TRANSFER FEES</t>
        </is>
      </c>
      <c r="C36" s="1551" t="n"/>
      <c r="D36" s="1531">
        <f>+C36*9%</f>
        <v/>
      </c>
      <c r="E36" s="1531">
        <f>+D36</f>
        <v/>
      </c>
      <c r="F36" s="1531">
        <f>IF(D36&gt;0," ",C36*18%)</f>
        <v/>
      </c>
      <c r="G36" s="1510" t="n"/>
      <c r="H36" s="1510" t="n"/>
      <c r="I36" s="1510" t="n">
        <v>0</v>
      </c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551" t="n"/>
      <c r="D37" s="1531">
        <f>+C37*9%</f>
        <v/>
      </c>
      <c r="E37" s="1531">
        <f>+D37</f>
        <v/>
      </c>
      <c r="F37" s="1531">
        <f>IF(D37&gt;0," ",C37*18%)</f>
        <v/>
      </c>
      <c r="G37" s="1510" t="n"/>
      <c r="H37" s="1510" t="n"/>
      <c r="I37" s="1510" t="n">
        <v>0</v>
      </c>
    </row>
    <row r="38" ht="15.75" customHeight="1">
      <c r="A38" s="1080" t="inlineStr">
        <is>
          <t>3310</t>
        </is>
      </c>
      <c r="B38" s="1220" t="inlineStr">
        <is>
          <t>MIS. INCOME</t>
        </is>
      </c>
      <c r="C38" s="1551" t="n"/>
      <c r="D38" s="1531">
        <f>+C38*9%</f>
        <v/>
      </c>
      <c r="E38" s="1531">
        <f>+D38</f>
        <v/>
      </c>
      <c r="F38" s="1531">
        <f>IF(D38&gt;0," ",C38*18%)</f>
        <v/>
      </c>
      <c r="G38" s="1510" t="n"/>
      <c r="H38" s="1510" t="n"/>
      <c r="I38" s="1510" t="n">
        <v>0</v>
      </c>
      <c r="J38" s="32" t="n"/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551" t="n"/>
      <c r="D39" s="1531">
        <f>+C39*9%</f>
        <v/>
      </c>
      <c r="E39" s="1531">
        <f>+D39</f>
        <v/>
      </c>
      <c r="F39" s="1531">
        <f>IF(D39&gt;0," ",C39*18%)</f>
        <v/>
      </c>
      <c r="G39" s="1510" t="n"/>
      <c r="H39" s="1510" t="n"/>
      <c r="I39" s="1510" t="n">
        <v>0</v>
      </c>
    </row>
    <row r="40" ht="15.75" customHeight="1">
      <c r="A40" s="1080" t="n">
        <v>3312</v>
      </c>
      <c r="B40" s="1220" t="inlineStr">
        <is>
          <t>O/W CHQ. RET. CHARGES</t>
        </is>
      </c>
      <c r="C40" s="1551" t="n"/>
      <c r="D40" s="1531">
        <f>+C40*9%</f>
        <v/>
      </c>
      <c r="E40" s="1531">
        <f>+D40</f>
        <v/>
      </c>
      <c r="F40" s="1531">
        <f>IF(D40&gt;0," ",C40*18%)</f>
        <v/>
      </c>
      <c r="G40" s="1510" t="n"/>
      <c r="H40" s="1510" t="n"/>
      <c r="I40" s="1510" t="n">
        <v>0</v>
      </c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551" t="n"/>
      <c r="D41" s="1531">
        <f>+C41*9%</f>
        <v/>
      </c>
      <c r="E41" s="1531">
        <f>+D41</f>
        <v/>
      </c>
      <c r="F41" s="1531">
        <f>IF(D41&gt;0," ",C41*18%)</f>
        <v/>
      </c>
      <c r="G41" s="1510" t="n"/>
      <c r="H41" s="1510" t="n"/>
      <c r="I41" s="1510" t="n">
        <v>0</v>
      </c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551" t="n"/>
      <c r="D42" s="1531">
        <f>+C42*9%</f>
        <v/>
      </c>
      <c r="E42" s="1531">
        <f>+D42</f>
        <v/>
      </c>
      <c r="F42" s="1531">
        <f>IF(D42&gt;0," ",C42*18%)</f>
        <v/>
      </c>
      <c r="G42" s="1510" t="n"/>
      <c r="H42" s="1510" t="n"/>
      <c r="I42" s="1510" t="n">
        <v>0</v>
      </c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551" t="n"/>
      <c r="D43" s="1531">
        <f>+C43*9%</f>
        <v/>
      </c>
      <c r="E43" s="1531">
        <f>+D43</f>
        <v/>
      </c>
      <c r="F43" s="1531">
        <f>IF(D43&gt;0," ",C43*18%)</f>
        <v/>
      </c>
      <c r="G43" s="1510" t="n"/>
      <c r="H43" s="1510" t="n"/>
      <c r="I43" s="1510" t="n">
        <v>0</v>
      </c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551" t="n"/>
      <c r="D44" s="1531">
        <f>+C44*9%</f>
        <v/>
      </c>
      <c r="E44" s="1531">
        <f>+D44</f>
        <v/>
      </c>
      <c r="F44" s="1531" t="n">
        <v>0</v>
      </c>
      <c r="G44" s="1510" t="n"/>
      <c r="H44" s="1510" t="n"/>
      <c r="I44" s="1510" t="n">
        <v>0</v>
      </c>
    </row>
    <row r="45" ht="15.75" customHeight="1">
      <c r="A45" s="161" t="n">
        <v>3317</v>
      </c>
      <c r="B45" s="1220" t="inlineStr">
        <is>
          <t>THE P&amp;T CHARGES FOR LC/BG</t>
        </is>
      </c>
      <c r="C45" s="1551" t="n"/>
      <c r="D45" s="1531">
        <f>+C45*9%</f>
        <v/>
      </c>
      <c r="E45" s="1531">
        <f>+D45</f>
        <v/>
      </c>
      <c r="F45" s="1531">
        <f>IF(D45&gt;0," ",C45*18%)</f>
        <v/>
      </c>
      <c r="G45" s="1510" t="n"/>
      <c r="H45" s="1510" t="n"/>
      <c r="I45" s="1510" t="n">
        <v>0</v>
      </c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551" t="n"/>
      <c r="D46" s="1531">
        <f>+C46*9%</f>
        <v/>
      </c>
      <c r="E46" s="1531">
        <f>+D46</f>
        <v/>
      </c>
      <c r="F46" s="1531">
        <f>IF(D46&gt;0," ",C46*18%)</f>
        <v/>
      </c>
      <c r="G46" s="1510" t="n"/>
      <c r="H46" s="1510" t="n"/>
      <c r="I46" s="1510" t="n">
        <v>0</v>
      </c>
    </row>
    <row r="47" ht="15.75" customHeight="1">
      <c r="A47" s="161" t="n">
        <v>3320</v>
      </c>
      <c r="B47" s="1220" t="inlineStr">
        <is>
          <t>RENT ON LOCKER</t>
        </is>
      </c>
      <c r="C47" s="1551" t="n"/>
      <c r="D47" s="1531">
        <f>+C47*9%</f>
        <v/>
      </c>
      <c r="E47" s="1531">
        <f>+D47</f>
        <v/>
      </c>
      <c r="F47" s="1531">
        <f>IF(D47&gt;0," ",C47*18%)</f>
        <v/>
      </c>
      <c r="G47" s="1510" t="n"/>
      <c r="H47" s="1510" t="n"/>
      <c r="I47" s="1510" t="n">
        <v>0</v>
      </c>
    </row>
    <row r="48" ht="15.75" customHeight="1">
      <c r="A48" s="161" t="n">
        <v>3321</v>
      </c>
      <c r="B48" s="1220" t="inlineStr">
        <is>
          <t>ADHOC LIMIT CHARGES</t>
        </is>
      </c>
      <c r="C48" s="1551" t="n"/>
      <c r="D48" s="1531">
        <f>+C48*9%</f>
        <v/>
      </c>
      <c r="E48" s="1531">
        <f>+D48</f>
        <v/>
      </c>
      <c r="F48" s="1531">
        <f>IF(D48&gt;0," ",C48*18%)</f>
        <v/>
      </c>
      <c r="G48" s="1510" t="n"/>
      <c r="H48" s="1510" t="n"/>
      <c r="I48" s="1510" t="n">
        <v>0</v>
      </c>
    </row>
    <row r="49" ht="15.75" customHeight="1">
      <c r="A49" s="161" t="n">
        <v>3322</v>
      </c>
      <c r="B49" s="1220" t="inlineStr">
        <is>
          <t>INCOME FROM SALE OF OLD NEWS PAPERS</t>
        </is>
      </c>
      <c r="C49" s="1551" t="n"/>
      <c r="D49" s="1531">
        <f>+C49*9%</f>
        <v/>
      </c>
      <c r="E49" s="1531">
        <f>+D49</f>
        <v/>
      </c>
      <c r="F49" s="1531" t="n"/>
      <c r="G49" s="1510" t="n"/>
      <c r="H49" s="1510" t="n"/>
      <c r="I49" s="1510" t="n">
        <v>0</v>
      </c>
    </row>
    <row r="50" ht="15.75" customHeight="1">
      <c r="A50" s="161" t="n">
        <v>3324</v>
      </c>
      <c r="B50" s="1220" t="inlineStr">
        <is>
          <t>PENALTY ON OVERDUE LOCKER RENT</t>
        </is>
      </c>
      <c r="C50" s="1551" t="n"/>
      <c r="D50" s="1531">
        <f>+C50*9%</f>
        <v/>
      </c>
      <c r="E50" s="1531">
        <f>+D50</f>
        <v/>
      </c>
      <c r="F50" s="1531" t="n"/>
      <c r="G50" s="1510" t="n"/>
      <c r="H50" s="1510" t="n"/>
      <c r="I50" s="1510" t="n">
        <v>0</v>
      </c>
      <c r="L50" s="1084" t="n">
        <v>0</v>
      </c>
    </row>
    <row r="51" ht="15.75" customHeight="1">
      <c r="A51" s="1187" t="n">
        <v>3325</v>
      </c>
      <c r="B51" s="1220" t="inlineStr">
        <is>
          <t>MICR CLEARING CHARGES</t>
        </is>
      </c>
      <c r="C51" s="1551" t="n"/>
      <c r="D51" s="1531">
        <f>+C51*9%</f>
        <v/>
      </c>
      <c r="E51" s="1531">
        <f>+D51</f>
        <v/>
      </c>
      <c r="F51" s="1531" t="n"/>
      <c r="G51" s="1510" t="n"/>
      <c r="H51" s="1510" t="n"/>
      <c r="I51" s="1510" t="n">
        <v>0</v>
      </c>
    </row>
    <row r="52" ht="15.75" customHeight="1">
      <c r="A52" s="161" t="n">
        <v>3391</v>
      </c>
      <c r="B52" s="1220" t="inlineStr">
        <is>
          <t>SMS CHARGES INCOME RECEIVED</t>
        </is>
      </c>
      <c r="C52" s="1551" t="n"/>
      <c r="D52" s="1531">
        <f>+C52*9%</f>
        <v/>
      </c>
      <c r="E52" s="1531">
        <f>+D52</f>
        <v/>
      </c>
      <c r="F52" s="1531" t="n">
        <v>0</v>
      </c>
      <c r="G52" s="1510" t="n"/>
      <c r="H52" s="1510" t="n"/>
      <c r="I52" s="1510" t="n">
        <v>0</v>
      </c>
      <c r="L52" s="1084" t="n">
        <v>0</v>
      </c>
    </row>
    <row r="53" ht="15.75" customHeight="1">
      <c r="A53" s="1187" t="n">
        <v>3359</v>
      </c>
      <c r="B53" s="1220" t="inlineStr">
        <is>
          <t>COMMITMENT CHARGES</t>
        </is>
      </c>
      <c r="C53" s="1551" t="n"/>
      <c r="D53" s="1531">
        <f>+C53*9%</f>
        <v/>
      </c>
      <c r="E53" s="1531">
        <f>+D53</f>
        <v/>
      </c>
      <c r="F53" s="1531" t="n">
        <v>0</v>
      </c>
      <c r="G53" s="1510" t="n"/>
      <c r="H53" s="1510" t="n"/>
      <c r="I53" s="1510" t="n">
        <v>0</v>
      </c>
    </row>
    <row r="54" ht="15.75" customHeight="1">
      <c r="A54" s="1187" t="n">
        <v>3825</v>
      </c>
      <c r="B54" s="1220" t="inlineStr">
        <is>
          <t>EXTERNAL AUDIT FEES</t>
        </is>
      </c>
      <c r="C54" s="1551" t="n"/>
      <c r="D54" s="1531">
        <f>+C54*9%</f>
        <v/>
      </c>
      <c r="E54" s="1531">
        <f>+D54</f>
        <v/>
      </c>
      <c r="F54" s="1531" t="n">
        <v>0</v>
      </c>
      <c r="G54" s="1510" t="n"/>
      <c r="H54" s="1510" t="n"/>
      <c r="I54" s="1510" t="n">
        <v>0</v>
      </c>
    </row>
    <row r="55" ht="15.75" customHeight="1">
      <c r="A55" s="1187" t="n">
        <v>3362</v>
      </c>
      <c r="B55" s="1220" t="inlineStr">
        <is>
          <t>FORECLOSURE CHARGES</t>
        </is>
      </c>
      <c r="C55" s="1551" t="n"/>
      <c r="D55" s="1531" t="n"/>
      <c r="E55" s="1531" t="n"/>
      <c r="F55" s="1531" t="n"/>
      <c r="G55" s="1510" t="n"/>
      <c r="H55" s="1510" t="n"/>
      <c r="I55" s="1510" t="n">
        <v>0</v>
      </c>
    </row>
    <row r="56" ht="15.75" customHeight="1">
      <c r="A56" s="1187" t="n">
        <v>3340</v>
      </c>
      <c r="B56" s="1220" t="inlineStr">
        <is>
          <t>LOAN PROCESSING FEES</t>
        </is>
      </c>
      <c r="C56" s="1551" t="n"/>
      <c r="D56" s="1497">
        <f>+C56*9%</f>
        <v/>
      </c>
      <c r="E56" s="1497">
        <f>+D56</f>
        <v/>
      </c>
      <c r="F56" s="1497">
        <f>IF(D56&gt;0," ",C56*18%)</f>
        <v/>
      </c>
      <c r="G56" s="1510" t="n"/>
      <c r="H56" s="1510" t="n"/>
      <c r="I56" s="1510" t="n">
        <v>0</v>
      </c>
    </row>
    <row r="57" ht="15.75" customHeight="1">
      <c r="A57" s="162" t="inlineStr">
        <is>
          <t>GL</t>
        </is>
      </c>
      <c r="B57" s="1220" t="n"/>
      <c r="C57" s="1551" t="n"/>
      <c r="D57" s="1531" t="n"/>
      <c r="E57" s="1531" t="n"/>
      <c r="F57" s="1531" t="n"/>
      <c r="G57" s="1510" t="n"/>
      <c r="H57" s="1510" t="n"/>
      <c r="I57" s="1510" t="n">
        <v>0</v>
      </c>
    </row>
    <row r="58" ht="15.75" customHeight="1">
      <c r="A58" s="161" t="inlineStr">
        <is>
          <t>1720</t>
        </is>
      </c>
      <c r="B58" s="1220" t="inlineStr">
        <is>
          <t>COMM. RECD. BUT NOT ACCRUED</t>
        </is>
      </c>
      <c r="C58" s="1551" t="n"/>
      <c r="D58" s="1531">
        <f>+C58*9%</f>
        <v/>
      </c>
      <c r="E58" s="1531">
        <f>+D58</f>
        <v/>
      </c>
      <c r="F58" s="1531">
        <f>IF(D58&gt;0," ",C58*18%)</f>
        <v/>
      </c>
      <c r="G58" s="1510" t="n"/>
      <c r="H58" s="1510" t="n"/>
      <c r="I58" s="1510" t="n">
        <v>0</v>
      </c>
    </row>
    <row r="59" ht="15.75" customHeight="1">
      <c r="A59" s="1080" t="inlineStr">
        <is>
          <t>1836</t>
        </is>
      </c>
      <c r="B59" s="1220" t="inlineStr">
        <is>
          <t>RENT ON LOCKER RECEIVED BUT</t>
        </is>
      </c>
      <c r="C59" s="1551" t="n"/>
      <c r="D59" s="1531">
        <f>+C59*9%</f>
        <v/>
      </c>
      <c r="E59" s="1531">
        <f>+D59</f>
        <v/>
      </c>
      <c r="F59" s="1531" t="n">
        <v>0</v>
      </c>
      <c r="G59" s="1510" t="n"/>
      <c r="H59" s="1510" t="n"/>
      <c r="I59" s="1510" t="n">
        <v>0</v>
      </c>
      <c r="K59" s="1084" t="n">
        <v>0</v>
      </c>
      <c r="L59" s="1084">
        <f>+K59*11.1111111111111</f>
        <v/>
      </c>
    </row>
    <row r="60" ht="15.75" customHeight="1">
      <c r="A60" s="163" t="inlineStr">
        <is>
          <t xml:space="preserve"> </t>
        </is>
      </c>
      <c r="B60" s="1220" t="inlineStr">
        <is>
          <t>NOT ACCRUED</t>
        </is>
      </c>
      <c r="C60" s="1551" t="n"/>
      <c r="D60" s="1531" t="n"/>
      <c r="E60" s="1531" t="n"/>
      <c r="F60" s="1531" t="n"/>
      <c r="G60" s="1510" t="n"/>
      <c r="H60" s="1510" t="n"/>
      <c r="I60" s="1510" t="n">
        <v>0</v>
      </c>
    </row>
    <row r="61" ht="15.75" customHeight="1">
      <c r="A61" s="432" t="n"/>
      <c r="B61" s="433" t="inlineStr">
        <is>
          <t>SALE OF ASSET ( CASH COUNTING MACHINE)</t>
        </is>
      </c>
      <c r="C61" s="1551" t="n"/>
      <c r="D61" s="1531">
        <f>+C61*9%</f>
        <v/>
      </c>
      <c r="E61" s="1593">
        <f>+D61</f>
        <v/>
      </c>
      <c r="F61" s="1593" t="n"/>
      <c r="G61" s="1510" t="n"/>
      <c r="H61" s="1510" t="n"/>
      <c r="I61" s="1510" t="n">
        <v>0</v>
      </c>
    </row>
    <row r="62" ht="16.5" customHeight="1" thickBot="1">
      <c r="A62" s="12" t="n"/>
      <c r="B62" s="11" t="inlineStr">
        <is>
          <t>TOTAL :</t>
        </is>
      </c>
      <c r="C62" s="1596">
        <f>SUM(C9:C61)</f>
        <v/>
      </c>
      <c r="D62" s="1596">
        <f>SUM(D9:D61)</f>
        <v/>
      </c>
      <c r="E62" s="1596">
        <f>SUM(E9:E61)</f>
        <v/>
      </c>
      <c r="F62" s="1596">
        <f>SUM(F9:F61)</f>
        <v/>
      </c>
      <c r="G62" s="1501">
        <f>SUM(G9:G59)</f>
        <v/>
      </c>
      <c r="H62" s="1501">
        <f>SUM(H9:H59)</f>
        <v/>
      </c>
      <c r="I62" s="1501">
        <f>SUM(I9:I59)</f>
        <v/>
      </c>
    </row>
    <row r="63" ht="16.5" customHeight="1" thickTop="1">
      <c r="A63" s="9" t="inlineStr">
        <is>
          <t>RCM</t>
        </is>
      </c>
      <c r="B63" s="8" t="n"/>
      <c r="C63" s="1496" t="n">
        <v>0</v>
      </c>
      <c r="D63" s="1502" t="n"/>
      <c r="E63" s="1502" t="n"/>
      <c r="F63" s="6" t="n"/>
    </row>
    <row r="64" ht="15.75" customHeight="1">
      <c r="A64" s="1448" t="inlineStr">
        <is>
          <t>PL 3750</t>
        </is>
      </c>
      <c r="B64" s="1243" t="inlineStr">
        <is>
          <t>LAW CHARGES (EXCLUSIVE)</t>
        </is>
      </c>
      <c r="C64" s="1496" t="n">
        <v>0</v>
      </c>
      <c r="D64" s="1503">
        <f>+C64*9%</f>
        <v/>
      </c>
      <c r="E64" s="1503">
        <f>+D64</f>
        <v/>
      </c>
      <c r="F64" s="1503">
        <f>IF(D64&gt;0," ",C64*18%)</f>
        <v/>
      </c>
      <c r="G64" s="1084">
        <f>+C62*0.09</f>
        <v/>
      </c>
    </row>
    <row r="65" ht="15.75" customHeight="1">
      <c r="A65" s="1448" t="inlineStr">
        <is>
          <t>PL 3751</t>
        </is>
      </c>
      <c r="B65" s="1243" t="inlineStr">
        <is>
          <t>INCIDENTAL LAW CHARGES (EXCLUSIVE)</t>
        </is>
      </c>
      <c r="C65" s="1496" t="n">
        <v>0</v>
      </c>
      <c r="D65" s="1503">
        <f>+C65*9%</f>
        <v/>
      </c>
      <c r="E65" s="1503">
        <f>+D65</f>
        <v/>
      </c>
      <c r="F65" s="1503">
        <f>IF(D65&gt;0," ",C65*18%)</f>
        <v/>
      </c>
    </row>
    <row r="66" ht="15.75" customHeight="1">
      <c r="A66" s="1210" t="inlineStr">
        <is>
          <t xml:space="preserve">SUMMARY </t>
        </is>
      </c>
      <c r="G66" s="1084" t="inlineStr">
        <is>
          <t xml:space="preserve"> </t>
        </is>
      </c>
      <c r="I66" s="1084" t="inlineStr">
        <is>
          <t xml:space="preserve"> </t>
        </is>
      </c>
    </row>
    <row r="67" ht="15.75" customHeight="1">
      <c r="A67" s="1214" t="n"/>
      <c r="B67" s="1214" t="n"/>
      <c r="C67" s="1214" t="n"/>
      <c r="D67" s="1214" t="n"/>
      <c r="E67" s="1214" t="n"/>
      <c r="F67" s="1214" t="n"/>
    </row>
    <row r="68" ht="15.75" customHeight="1">
      <c r="A68" s="29" t="inlineStr">
        <is>
          <t>(1) INCOME</t>
        </is>
      </c>
      <c r="B68" s="29" t="n"/>
      <c r="C68" s="3" t="n"/>
      <c r="D68" s="3" t="n"/>
      <c r="E68" s="3" t="n"/>
      <c r="F68" s="3" t="n"/>
      <c r="H68" s="32" t="inlineStr">
        <is>
          <t xml:space="preserve"> </t>
        </is>
      </c>
      <c r="J68" s="1084" t="inlineStr">
        <is>
          <t xml:space="preserve"> </t>
        </is>
      </c>
      <c r="K68" s="1084" t="inlineStr">
        <is>
          <t xml:space="preserve"> </t>
        </is>
      </c>
      <c r="L68" s="1084" t="inlineStr">
        <is>
          <t xml:space="preserve"> </t>
        </is>
      </c>
    </row>
    <row r="69">
      <c r="A69" s="1213" t="inlineStr">
        <is>
          <t>PARTICULARS</t>
        </is>
      </c>
      <c r="B69" s="1504" t="n"/>
      <c r="C69" s="1505" t="n"/>
      <c r="D69" s="1213" t="inlineStr">
        <is>
          <t>GGST</t>
        </is>
      </c>
      <c r="E69" s="1213" t="inlineStr">
        <is>
          <t>CGST</t>
        </is>
      </c>
      <c r="F69" s="1213" t="inlineStr">
        <is>
          <t>IGST</t>
        </is>
      </c>
      <c r="H69" s="32" t="inlineStr">
        <is>
          <t xml:space="preserve"> </t>
        </is>
      </c>
      <c r="L69" s="1084" t="inlineStr">
        <is>
          <t xml:space="preserve"> </t>
        </is>
      </c>
    </row>
    <row r="70">
      <c r="A70" s="1506" t="n"/>
      <c r="B70" s="1041" t="n"/>
      <c r="C70" s="1507" t="n"/>
      <c r="D70" s="1494" t="n"/>
      <c r="E70" s="1494" t="n"/>
      <c r="F70" s="1494" t="n"/>
    </row>
    <row r="71" ht="15.75" customHeight="1">
      <c r="A71" s="1220" t="inlineStr">
        <is>
          <t>(1) INCOME AS PER LEDGERWISE CALCULATION</t>
        </is>
      </c>
      <c r="B71" s="1042" t="n"/>
      <c r="C71" s="1508" t="n"/>
      <c r="D71" s="105">
        <f>+D62</f>
        <v/>
      </c>
      <c r="E71" s="105">
        <f>+E62</f>
        <v/>
      </c>
      <c r="F71" s="105">
        <f>+F62</f>
        <v/>
      </c>
    </row>
    <row r="72" ht="15.75" customHeight="1">
      <c r="A72" s="1243" t="inlineStr">
        <is>
          <t>(2) REFUND GIVEN BUT GST REFUND NOT GIVEN</t>
        </is>
      </c>
      <c r="B72" s="1243" t="n"/>
      <c r="C72" s="1243">
        <f>G62</f>
        <v/>
      </c>
      <c r="D72" s="106">
        <f>+C72*0.09</f>
        <v/>
      </c>
      <c r="E72" s="106">
        <f>+D72</f>
        <v/>
      </c>
      <c r="F72" s="105" t="n">
        <v>0</v>
      </c>
    </row>
    <row r="73" ht="15.75" customHeight="1">
      <c r="A73" s="1243" t="n"/>
      <c r="B73" s="1243" t="n"/>
      <c r="C73" s="1243" t="n"/>
      <c r="D73" s="105">
        <f>+D71+D72</f>
        <v/>
      </c>
      <c r="E73" s="105">
        <f>+E71+E72</f>
        <v/>
      </c>
      <c r="F73" s="105" t="n">
        <v>0</v>
      </c>
    </row>
    <row r="74" ht="15.75" customHeight="1">
      <c r="A74" s="1220" t="inlineStr">
        <is>
          <t>(3) PAYABLE AS PER LEDGER</t>
        </is>
      </c>
      <c r="B74" s="1042" t="n"/>
      <c r="C74" s="1508" t="n"/>
      <c r="D74" s="108" t="n"/>
      <c r="E74" s="108">
        <f>+D74</f>
        <v/>
      </c>
      <c r="F74" s="108" t="n">
        <v>0</v>
      </c>
      <c r="J74" s="1547" t="n"/>
    </row>
    <row r="75" ht="15.75" customHeight="1">
      <c r="A75" s="1221" t="inlineStr">
        <is>
          <t>DIFFERENCE</t>
        </is>
      </c>
      <c r="B75" s="1042" t="n"/>
      <c r="C75" s="1508" t="n"/>
      <c r="D75" s="643">
        <f>+D73-D74</f>
        <v/>
      </c>
      <c r="E75" s="643">
        <f>+E73-E74</f>
        <v/>
      </c>
      <c r="F75" s="108">
        <f>IF(F71&gt;F74,F71,F74)</f>
        <v/>
      </c>
      <c r="G75" s="1084">
        <f>D75/9%</f>
        <v/>
      </c>
    </row>
    <row r="76" ht="15.75" customHeight="1">
      <c r="A76" s="3" t="n"/>
      <c r="B76" s="2" t="n"/>
      <c r="C76" s="3" t="n"/>
      <c r="D76" s="3" t="n"/>
      <c r="E76" s="3" t="n"/>
      <c r="F76" s="3" t="n"/>
    </row>
    <row r="77" ht="15.75" customHeight="1">
      <c r="A77" s="27" t="inlineStr">
        <is>
          <t>(2) INPUT TAX CREDIT</t>
        </is>
      </c>
      <c r="B77" s="2" t="n"/>
      <c r="C77" s="3" t="n"/>
      <c r="D77" s="3" t="n"/>
      <c r="E77" s="3" t="n"/>
      <c r="F77" s="3" t="n"/>
    </row>
    <row r="78">
      <c r="A78" s="1421" t="inlineStr">
        <is>
          <t>PARTICULARS</t>
        </is>
      </c>
      <c r="B78" s="1504" t="n"/>
      <c r="C78" s="1505" t="n"/>
      <c r="D78" s="1421" t="inlineStr">
        <is>
          <t>GL 8546 GGST</t>
        </is>
      </c>
      <c r="E78" s="1343" t="inlineStr">
        <is>
          <t>GL 8547 CGST</t>
        </is>
      </c>
      <c r="F78" s="1343" t="inlineStr">
        <is>
          <t>GL 8548 IGST</t>
        </is>
      </c>
    </row>
    <row r="79">
      <c r="A79" s="1506" t="n"/>
      <c r="B79" s="1041" t="n"/>
      <c r="C79" s="1507" t="n"/>
      <c r="D79" s="1494" t="n"/>
      <c r="E79" s="1494" t="n"/>
      <c r="F79" s="1494" t="n"/>
    </row>
    <row r="80">
      <c r="A80" s="1228" t="n"/>
      <c r="B80" s="1042" t="n"/>
      <c r="C80" s="1508" t="n"/>
      <c r="D80" s="1228" t="n"/>
      <c r="E80" s="1228" t="n"/>
      <c r="F80" s="1228" t="n"/>
      <c r="G80" s="32" t="n"/>
    </row>
    <row r="81" ht="15.75" customHeight="1">
      <c r="A81" s="1220" t="inlineStr">
        <is>
          <t>CURRENT MONTH INPUT TAX CREDIT AVAILABLE</t>
        </is>
      </c>
      <c r="B81" s="1042" t="n"/>
      <c r="C81" s="1508" t="n"/>
      <c r="D81" s="108" t="n"/>
      <c r="E81" s="108">
        <f>+D81</f>
        <v/>
      </c>
      <c r="F81" s="1528" t="n"/>
      <c r="G81" s="32">
        <f>++D81/2</f>
        <v/>
      </c>
      <c r="H81" s="32">
        <f>++E81/2</f>
        <v/>
      </c>
      <c r="I81" s="32">
        <f>++F81/2</f>
        <v/>
      </c>
    </row>
    <row r="82" ht="15.75" customHeight="1">
      <c r="A82" s="1228" t="inlineStr">
        <is>
          <t>LESS : CREDIT CANNOT BE UTILISED (BCUZ GST NO NOT AVAILABLE IN BILL)</t>
        </is>
      </c>
      <c r="B82" s="1042" t="n"/>
      <c r="C82" s="1508" t="n"/>
      <c r="D82" s="1529">
        <f>+C93</f>
        <v/>
      </c>
      <c r="E82" s="1529">
        <f>+D82</f>
        <v/>
      </c>
      <c r="F82" s="1529" t="n">
        <v>0</v>
      </c>
      <c r="G82" s="32">
        <f>++D82/2</f>
        <v/>
      </c>
      <c r="H82" s="32">
        <f>++E82/2</f>
        <v/>
      </c>
      <c r="I82" s="32">
        <f>++F82/2</f>
        <v/>
      </c>
    </row>
    <row r="83" ht="15.75" customHeight="1">
      <c r="A83" s="1219" t="inlineStr">
        <is>
          <t>ELIGIBLE CREDIT</t>
        </is>
      </c>
      <c r="B83" s="1042" t="n"/>
      <c r="C83" s="1508" t="n"/>
      <c r="D83" s="105">
        <f>+D81-D82</f>
        <v/>
      </c>
      <c r="E83" s="105">
        <f>+E81-E809</f>
        <v/>
      </c>
      <c r="F83" s="1529">
        <f>+F81-F82</f>
        <v/>
      </c>
      <c r="G83" s="32">
        <f>++D83/2</f>
        <v/>
      </c>
      <c r="H83" s="32">
        <f>++E83/2</f>
        <v/>
      </c>
      <c r="I83" s="32">
        <f>++F83/2</f>
        <v/>
      </c>
    </row>
    <row r="84" ht="15.75" customHeight="1" thickBot="1">
      <c r="A84" s="1331" t="n"/>
      <c r="B84" s="1504" t="n"/>
      <c r="C84" s="1504" t="n"/>
      <c r="D84" s="1504" t="n"/>
      <c r="E84" s="1504" t="n"/>
      <c r="F84" s="1504" t="n"/>
      <c r="G84" s="32" t="n"/>
      <c r="I84" s="32" t="n"/>
    </row>
    <row r="85">
      <c r="A85" s="1542" t="n"/>
      <c r="B85" s="1522" t="n"/>
      <c r="C85" s="1522" t="n"/>
      <c r="D85" s="1522" t="n"/>
      <c r="E85" s="1522" t="n"/>
      <c r="F85" s="1523" t="n"/>
      <c r="G85" s="32" t="n"/>
      <c r="I85" s="32" t="n"/>
    </row>
    <row r="86" ht="15.75" customHeight="1" thickBot="1">
      <c r="A86" s="1524" t="n"/>
      <c r="B86" s="1525" t="n"/>
      <c r="C86" s="1525" t="n"/>
      <c r="D86" s="1525" t="n"/>
      <c r="E86" s="1525" t="n"/>
      <c r="F86" s="1526" t="n"/>
      <c r="G86" s="32" t="n"/>
      <c r="I86" s="32" t="n"/>
    </row>
    <row r="89">
      <c r="B89" s="145" t="inlineStr">
        <is>
          <t>INELLIGBLE  CREDIT</t>
        </is>
      </c>
      <c r="C89" s="145" t="n"/>
      <c r="D89" s="145" t="n"/>
      <c r="E89" s="145" t="n"/>
    </row>
    <row r="90">
      <c r="B90" s="1356" t="inlineStr">
        <is>
          <t>PARTY NAME</t>
        </is>
      </c>
      <c r="C90" s="1356" t="inlineStr">
        <is>
          <t>GGST</t>
        </is>
      </c>
      <c r="D90" s="1356" t="inlineStr">
        <is>
          <t>CGST</t>
        </is>
      </c>
      <c r="E90" s="1356" t="inlineStr">
        <is>
          <t>IGST</t>
        </is>
      </c>
      <c r="F90" s="1087" t="n"/>
    </row>
    <row r="91">
      <c r="A91" s="68" t="n"/>
      <c r="B91" s="1084" t="inlineStr">
        <is>
          <t>JAYSINGHS ICECREAM AND COLDDRINKS</t>
        </is>
      </c>
      <c r="C91" s="1084" t="n">
        <v>0</v>
      </c>
      <c r="D91" s="1084">
        <f>+C91</f>
        <v/>
      </c>
      <c r="E91" s="1084" t="n">
        <v>0</v>
      </c>
      <c r="F91" s="71" t="n"/>
    </row>
    <row r="92">
      <c r="A92" s="68" t="n"/>
      <c r="B92" s="487" t="inlineStr">
        <is>
          <t>SATELIITE ELECTRONICS AND CONTROLS</t>
        </is>
      </c>
      <c r="C92" s="1084" t="n">
        <v>0</v>
      </c>
      <c r="D92" s="1084" t="n">
        <v>0</v>
      </c>
      <c r="F92" s="71" t="n"/>
    </row>
    <row r="93" ht="15.75" customHeight="1" thickBot="1">
      <c r="A93" s="214" t="n"/>
      <c r="B93" s="141" t="inlineStr">
        <is>
          <t>TOTAL</t>
        </is>
      </c>
      <c r="C93" s="1597">
        <f>+SUM(C91:C92)</f>
        <v/>
      </c>
      <c r="D93" s="1597">
        <f>+SUM(D91:D92)</f>
        <v/>
      </c>
      <c r="E93" s="1597">
        <f>+SUM(E91:E92)</f>
        <v/>
      </c>
      <c r="F93" s="71" t="n"/>
    </row>
    <row r="94" ht="15.75" customHeight="1" thickTop="1"/>
    <row r="95">
      <c r="G95" s="1084">
        <f>+C93/2</f>
        <v/>
      </c>
    </row>
    <row r="96" ht="15" customHeight="1">
      <c r="A96" s="725" t="n"/>
      <c r="B96" s="725" t="n"/>
      <c r="C96" s="725" t="n"/>
      <c r="D96" s="725" t="n"/>
      <c r="E96" s="725" t="n"/>
      <c r="F96" s="725" t="n"/>
    </row>
    <row r="97" ht="15.75" customHeight="1">
      <c r="A97" s="725" t="n"/>
      <c r="B97" s="725" t="n"/>
      <c r="C97" s="725" t="n"/>
      <c r="D97" s="725" t="n"/>
      <c r="E97" s="725" t="n"/>
      <c r="F97" s="725" t="n"/>
    </row>
    <row r="100">
      <c r="D100" s="1084" t="inlineStr">
        <is>
          <t xml:space="preserve"> </t>
        </is>
      </c>
    </row>
  </sheetData>
  <mergeCells count="30">
    <mergeCell ref="A84:F84"/>
    <mergeCell ref="A80:C80"/>
    <mergeCell ref="A75:C75"/>
    <mergeCell ref="A66:F66"/>
    <mergeCell ref="A74:C74"/>
    <mergeCell ref="E78:E79"/>
    <mergeCell ref="G7:G8"/>
    <mergeCell ref="E69:E70"/>
    <mergeCell ref="I7:I8"/>
    <mergeCell ref="A3:F3"/>
    <mergeCell ref="D6:E6"/>
    <mergeCell ref="A71:C71"/>
    <mergeCell ref="A5:F5"/>
    <mergeCell ref="D7:D8"/>
    <mergeCell ref="D78:D79"/>
    <mergeCell ref="H7:H8"/>
    <mergeCell ref="A4:F4"/>
    <mergeCell ref="A78:C79"/>
    <mergeCell ref="A69:C70"/>
    <mergeCell ref="A81:C81"/>
    <mergeCell ref="E7:E8"/>
    <mergeCell ref="A83:C83"/>
    <mergeCell ref="A82:C82"/>
    <mergeCell ref="A85:F86"/>
    <mergeCell ref="A1:F1"/>
    <mergeCell ref="F78:F79"/>
    <mergeCell ref="D69:D70"/>
    <mergeCell ref="B7:B8"/>
    <mergeCell ref="F69:F70"/>
    <mergeCell ref="F7:F8"/>
  </mergeCells>
  <conditionalFormatting sqref="A85">
    <cfRule type="containsText" priority="6" operator="containsText" dxfId="12" text="LESS COLLECTED">
      <formula>NOT(ISERROR(SEARCH("LESS COLLECTED",A85)))</formula>
    </cfRule>
    <cfRule type="containsText" priority="7" operator="containsText" dxfId="0" text="LESS COLLECTED">
      <formula>NOT(ISERROR(SEARCH("LESS COLLECTED",A85)))</formula>
    </cfRule>
  </conditionalFormatting>
  <conditionalFormatting sqref="A72:F73 A91:A93 D69:E70">
    <cfRule type="containsText" priority="43" operator="containsText" dxfId="1" text="EXCESS COLLECTED">
      <formula>NOT(ISERROR(SEARCH("EXCESS COLLECTED",A69)))</formula>
    </cfRule>
  </conditionalFormatting>
  <conditionalFormatting sqref="A9:B21 A91:A94 A98:A1048576 B89:E93 B98:XFD100 F89:F94 G89:XFD97">
    <cfRule type="containsText" priority="29" operator="containsText" dxfId="0" text="LESS COLLECTED">
      <formula>NOT(ISERROR(SEARCH("LESS COLLECTED",A9)))</formula>
    </cfRule>
  </conditionalFormatting>
  <conditionalFormatting sqref="A22:B34">
    <cfRule type="containsText" priority="32" operator="containsText" dxfId="0" text="LESS COLLECTED">
      <formula>NOT(ISERROR(SEARCH("LESS COLLECTED",A22)))</formula>
    </cfRule>
  </conditionalFormatting>
  <conditionalFormatting sqref="A35:B56">
    <cfRule type="containsText" priority="2" operator="containsText" dxfId="0" text="LESS COLLECTED">
      <formula>NOT(ISERROR(SEARCH("LESS COLLECTED",A35)))</formula>
    </cfRule>
  </conditionalFormatting>
  <conditionalFormatting sqref="A47:B56">
    <cfRule type="containsText" priority="1" operator="containsText" dxfId="1" text="EXCESS COLLECTED">
      <formula>NOT(ISERROR(SEARCH("EXCESS COLLECTED",A47)))</formula>
    </cfRule>
  </conditionalFormatting>
  <conditionalFormatting sqref="A57:B65">
    <cfRule type="containsText" priority="34" operator="containsText" dxfId="0" text="LESS COLLECTED">
      <formula>NOT(ISERROR(SEARCH("LESS COLLECTED",A57)))</formula>
    </cfRule>
  </conditionalFormatting>
  <conditionalFormatting sqref="B61">
    <cfRule type="containsText" priority="33" operator="containsText" dxfId="1" text="EXCESS COLLECTED">
      <formula>NOT(ISERROR(SEARCH("EXCESS COLLECTED",B61)))</formula>
    </cfRule>
  </conditionalFormatting>
  <conditionalFormatting sqref="A28:B32 B89:E89 B90:D93 E93 F90">
    <cfRule type="containsText" priority="31" operator="containsText" dxfId="1" text="EXCESS COLLECTED">
      <formula>NOT(ISERROR(SEARCH("EXCESS COLLECTED",A28)))</formula>
    </cfRule>
  </conditionalFormatting>
  <conditionalFormatting sqref="A1:XFD3 A4 A5:XFD6 A7:F8 A66:A84 A87:A89 B66:XFD73 B74:F74 B75:XFD79 B80:F80 B81:XFD83 B87:XFD88 B102:XFD1048576 G4:XFD4 G84:XFD86 G101:XFD101 H74:XFD74 H80:XFD80 J7:XFD62">
    <cfRule type="containsText" priority="51" operator="containsText" dxfId="0" text="LESS COLLECTED">
      <formula>NOT(ISERROR(SEARCH("LESS COLLECTED",A1)))</formula>
    </cfRule>
  </conditionalFormatting>
  <conditionalFormatting sqref="C9:C61 C63:C65">
    <cfRule type="containsText" priority="37" operator="containsText" dxfId="1" text="EXCESS COLLECTED">
      <formula>NOT(ISERROR(SEARCH("EXCESS COLLECTED",C9)))</formula>
    </cfRule>
  </conditionalFormatting>
  <conditionalFormatting sqref="C9:C61 C63:XFD64 C65:F65">
    <cfRule type="containsText" priority="38" operator="containsText" dxfId="0" text="LESS COLLECTED">
      <formula>NOT(ISERROR(SEARCH("LESS COLLECTED",C9)))</formula>
    </cfRule>
  </conditionalFormatting>
  <conditionalFormatting sqref="A72:F73 D69:E70">
    <cfRule type="containsText" priority="44" operator="containsText" dxfId="0" text="LESS COLLECTED">
      <formula>NOT(ISERROR(SEARCH("LESS COLLECTED",A69)))</formula>
    </cfRule>
  </conditionalFormatting>
  <conditionalFormatting sqref="D48:F55">
    <cfRule type="containsText" priority="23" operator="containsText" dxfId="1" text="EXCESS COLLECTED">
      <formula>NOT(ISERROR(SEARCH("EXCESS COLLECTED",D48)))</formula>
    </cfRule>
  </conditionalFormatting>
  <conditionalFormatting sqref="D51:F51">
    <cfRule type="containsText" priority="17" operator="containsText" dxfId="1" text="EXCESS COLLECTED">
      <formula>NOT(ISERROR(SEARCH("EXCESS COLLECTED",D51)))</formula>
    </cfRule>
    <cfRule type="containsText" priority="18" operator="containsText" dxfId="0" text="LESS COLLECTED">
      <formula>NOT(ISERROR(SEARCH("LESS COLLECTED",D51)))</formula>
    </cfRule>
  </conditionalFormatting>
  <conditionalFormatting sqref="D56:F56">
    <cfRule type="containsText" priority="3" operator="containsText" dxfId="1" text="EXCESS COLLECTED">
      <formula>NOT(ISERROR(SEARCH("EXCESS COLLECTED",D56)))</formula>
    </cfRule>
  </conditionalFormatting>
  <conditionalFormatting sqref="D9:I35">
    <cfRule type="containsText" priority="12" operator="containsText" dxfId="0" text="LESS COLLECTED">
      <formula>NOT(ISERROR(SEARCH("LESS COLLECTED",D9)))</formula>
    </cfRule>
  </conditionalFormatting>
  <conditionalFormatting sqref="D36:I55">
    <cfRule type="containsText" priority="24" operator="containsText" dxfId="0" text="LESS COLLECTED">
      <formula>NOT(ISERROR(SEARCH("LESS COLLECTED",D36)))</formula>
    </cfRule>
  </conditionalFormatting>
  <conditionalFormatting sqref="D56:I62">
    <cfRule type="containsText" priority="4" operator="containsText" dxfId="0" text="LESS COLLECTED">
      <formula>NOT(ISERROR(SEARCH("LESS COLLECTED",D56)))</formula>
    </cfRule>
  </conditionalFormatting>
  <conditionalFormatting sqref="E93">
    <cfRule type="containsText" priority="42" operator="containsText" dxfId="0" text="LESS COLLECTED">
      <formula>NOT(ISERROR(SEARCH("LESS COLLECTED",E93)))</formula>
    </cfRule>
  </conditionalFormatting>
  <conditionalFormatting sqref="G65:XFD65">
    <cfRule type="containsText" priority="11" operator="containsText" dxfId="0" text="LESS COLLECTED">
      <formula>NOT(ISERROR(SEARCH("LESS COLLECTED",G65)))</formula>
    </cfRule>
  </conditionalFormatting>
  <pageMargins left="0.958661417" right="0.868110236" top="0.657480315" bottom="0.5" header="0.31496062992126" footer="0.31496062992126"/>
  <pageSetup orientation="portrait" paperSize="9" scale="56"/>
</worksheet>
</file>

<file path=xl/worksheets/sheet25.xml><?xml version="1.0" encoding="utf-8"?>
<worksheet xmlns="http://schemas.openxmlformats.org/spreadsheetml/2006/main">
  <sheetPr codeName="Sheet23">
    <outlinePr summaryBelow="1" summaryRight="1"/>
    <pageSetUpPr/>
  </sheetPr>
  <dimension ref="A1:V117"/>
  <sheetViews>
    <sheetView view="pageBreakPreview" zoomScale="80" zoomScaleNormal="100" zoomScaleSheetLayoutView="80" workbookViewId="0">
      <selection activeCell="D84" sqref="D84"/>
    </sheetView>
  </sheetViews>
  <sheetFormatPr baseColWidth="8" defaultColWidth="9.140625" defaultRowHeight="15"/>
  <cols>
    <col width="12.85546875" customWidth="1" style="1084" min="1" max="1"/>
    <col width="34.42578125" customWidth="1" style="1084" min="2" max="2"/>
    <col width="15.42578125" bestFit="1" customWidth="1" style="1084" min="3" max="3"/>
    <col width="17.140625" customWidth="1" style="1084" min="4" max="4"/>
    <col width="13.42578125" bestFit="1" customWidth="1" style="1084" min="5" max="5"/>
    <col width="10.42578125" customWidth="1" style="1084" min="6" max="6"/>
    <col width="16.42578125" customWidth="1" style="1084" min="7" max="7"/>
    <col width="15.28515625" customWidth="1" style="32" min="8" max="8"/>
    <col width="17.28515625" customWidth="1" style="1084" min="9" max="9"/>
    <col width="15.140625" customWidth="1" style="1084" min="10" max="10"/>
    <col width="15.5703125" customWidth="1" style="1084" min="11" max="11"/>
    <col width="20.42578125" customWidth="1" style="1084" min="12" max="12"/>
    <col width="13" customWidth="1" style="1084" min="13" max="13"/>
    <col width="25" bestFit="1" customWidth="1" style="1084" min="14" max="14"/>
    <col width="24.5703125" bestFit="1" customWidth="1" style="1084" min="15" max="15"/>
    <col width="25" bestFit="1" customWidth="1" style="1084" min="16" max="16"/>
    <col width="24.5703125" bestFit="1" customWidth="1" style="1084" min="17" max="17"/>
    <col width="28.7109375" customWidth="1" style="1084" min="18" max="18"/>
    <col width="22.42578125" customWidth="1" style="1084" min="19" max="19"/>
    <col width="23.28515625" customWidth="1" style="1084" min="20" max="20"/>
    <col width="9.140625" customWidth="1" style="1084" min="21" max="16384"/>
  </cols>
  <sheetData>
    <row r="1" ht="15.75" customHeight="1">
      <c r="A1" s="1210" t="inlineStr">
        <is>
          <t>NUTAN NAGARIK SAHAKARI BANK LTD (GUJARAT BRANCHES &amp; HEAD OFFICE)</t>
        </is>
      </c>
    </row>
    <row r="2" ht="15.75" customHeight="1">
      <c r="A2" s="1210" t="n"/>
      <c r="B2" s="1210" t="n"/>
      <c r="C2" s="1210" t="n"/>
      <c r="D2" s="1210" t="n"/>
      <c r="E2" s="1210" t="n"/>
      <c r="F2" s="1210" t="n"/>
    </row>
    <row r="3" ht="15.75" customHeight="1">
      <c r="A3" s="1214" t="inlineStr">
        <is>
          <t>ALL BRANCHES EXCEPT HO AND DEMAT</t>
        </is>
      </c>
    </row>
    <row r="4" ht="15.75" customHeight="1">
      <c r="A4" s="580" t="n"/>
      <c r="B4" s="580" t="n"/>
      <c r="C4" s="580" t="n"/>
      <c r="D4" s="580" t="n"/>
      <c r="E4" s="580" t="n"/>
      <c r="F4" s="580" t="n"/>
    </row>
    <row r="5" ht="15.75" customHeight="1">
      <c r="A5" s="1210">
        <f>+THALTEJ!A5</f>
        <v/>
      </c>
      <c r="J5" s="1084" t="inlineStr">
        <is>
          <t xml:space="preserve">       </t>
        </is>
      </c>
    </row>
    <row r="6" ht="15.75" customHeight="1">
      <c r="A6" s="24" t="inlineStr">
        <is>
          <t xml:space="preserve"> </t>
        </is>
      </c>
      <c r="B6" s="3" t="n"/>
      <c r="C6" s="1215" t="n"/>
      <c r="D6" s="1215" t="n"/>
      <c r="E6" s="1041" t="n"/>
      <c r="F6" s="3" t="n"/>
    </row>
    <row r="7" ht="15.75" customHeight="1">
      <c r="A7" s="1598" t="inlineStr">
        <is>
          <t>PL CODE NO.</t>
        </is>
      </c>
      <c r="B7" s="1599" t="inlineStr">
        <is>
          <t>PARTICULARS</t>
        </is>
      </c>
      <c r="C7" s="1600" t="inlineStr">
        <is>
          <t>INCOME</t>
        </is>
      </c>
      <c r="D7" s="1213" t="inlineStr">
        <is>
          <t>GGST</t>
        </is>
      </c>
      <c r="E7" s="1213" t="inlineStr">
        <is>
          <t>CGST</t>
        </is>
      </c>
      <c r="F7" s="1213" t="inlineStr">
        <is>
          <t>IGST</t>
        </is>
      </c>
      <c r="G7" s="1235" t="inlineStr">
        <is>
          <t>REFUND WITHOUT GST</t>
        </is>
      </c>
      <c r="H7" s="1332" t="inlineStr">
        <is>
          <t>REFUND WITH GST</t>
        </is>
      </c>
      <c r="I7" s="1332" t="inlineStr">
        <is>
          <t>TOTAL INCOME AS PER CAL</t>
        </is>
      </c>
    </row>
    <row r="8" ht="30" customHeight="1">
      <c r="A8" s="1494" t="n"/>
      <c r="B8" s="1494" t="n"/>
      <c r="C8" s="1494" t="n"/>
      <c r="D8" s="1494" t="n"/>
      <c r="E8" s="1494" t="n"/>
      <c r="F8" s="1494" t="n"/>
      <c r="G8" s="1494" t="n"/>
      <c r="H8" s="1494" t="n"/>
      <c r="I8" s="1494" t="n"/>
      <c r="J8" s="1101" t="inlineStr">
        <is>
          <t>INCOME AS ON 31-08-2026 (A)</t>
        </is>
      </c>
      <c r="K8" s="1101" t="inlineStr">
        <is>
          <t>INCOME AS ON 31-07-2026 (A)</t>
        </is>
      </c>
      <c r="L8" s="1235" t="inlineStr">
        <is>
          <t>INCOME FOR JULY 26 (A)-(B)</t>
        </is>
      </c>
      <c r="M8" s="679" t="inlineStr">
        <is>
          <t>DIFFERENCE</t>
        </is>
      </c>
      <c r="N8" s="169" t="inlineStr">
        <is>
          <t>PL CODE</t>
        </is>
      </c>
      <c r="O8" s="169" t="inlineStr">
        <is>
          <t>INCOME ASPER CAL</t>
        </is>
      </c>
      <c r="P8" s="1235" t="inlineStr">
        <is>
          <t>INCOME AS ON 31-07-2026 (A)</t>
        </is>
      </c>
      <c r="Q8" s="1235" t="inlineStr">
        <is>
          <t>INCOME AS ON 30-06-2026 (A)</t>
        </is>
      </c>
      <c r="R8" s="628" t="inlineStr">
        <is>
          <t>INCOM FOR JULY-26 (A)-(B)</t>
        </is>
      </c>
      <c r="S8" s="169" t="inlineStr">
        <is>
          <t>DIFF</t>
        </is>
      </c>
    </row>
    <row r="9" ht="15.75" customHeight="1">
      <c r="A9" s="1080">
        <f>+'LAW GARDEN'!A9</f>
        <v/>
      </c>
      <c r="B9" s="1220">
        <f>+'LAW GARDEN'!B9</f>
        <v/>
      </c>
      <c r="C9" s="1539">
        <f>+'ODHAV '!C9+RAKHIAL!C9+CHANGODAR!C9+'NEW SHARDA'!C9+ISANPUR!C9+MANINAGAR!C9+'SHANTI COMM'!C9+MASKATI!C9+VEJALPUR!C9+'JODHPUR-SATELLITE'!C9+PANJRAPOLE!C9+'ASHRAM ROAD'!C9+NARAYANNAGAR!C9+NARANPURA!C9+'DRIVE IN'!C9+'VASANA '!C9+SURAT!C9+'LAW GARDEN'!C9+'NEW CLOTH'!C9+BAPUNAGAR!C9+BOPAL!C9+THALTEJ!C9+CHANDKHEDA!C9+VASTRAL!C9</f>
        <v/>
      </c>
      <c r="D9" s="1539">
        <f>+C9*0.09</f>
        <v/>
      </c>
      <c r="E9" s="1539">
        <f>+D9</f>
        <v/>
      </c>
      <c r="F9" s="1539" t="n">
        <v>0</v>
      </c>
      <c r="G9" s="1539">
        <f>+'ODHAV '!G9+RAKHIAL!G9+CHANGODAR!G9+'NEW SHARDA'!G9+ISANPUR!G9+MANINAGAR!G9+'SHANTI COMM'!G9+MASKATI!G9+VEJALPUR!G9+'JODHPUR-SATELLITE'!G9+PANJRAPOLE!G9+'ASHRAM ROAD'!G9+NARAYANNAGAR!G9+NARANPURA!G9+'DRIVE IN'!G9+'VASANA '!G9+SURAT!G9+'LAW GARDEN'!G9+'NEW CLOTH'!G9+BAPUNAGAR!G9+BOPAL!G9+THALTEJ!G9</f>
        <v/>
      </c>
      <c r="H9" s="1539">
        <f>+'ODHAV '!H9+RAKHIAL!H9+CHANGODAR!H9+'NEW SHARDA'!H9+ISANPUR!H9+MANINAGAR!H9+'SHANTI COMM'!H9+MASKATI!H9+VEJALPUR!H9+'JODHPUR-SATELLITE'!H9+PANJRAPOLE!H9+'ASHRAM ROAD'!H9+NARAYANNAGAR!H9+NARANPURA!H9+'DRIVE IN'!H9+'VASANA '!H9+SURAT!H9+'LAW GARDEN'!H9+'NEW CLOTH'!H9+BAPUNAGAR!H9+BOPAL!H9+THALTEJ!H9</f>
        <v/>
      </c>
      <c r="I9" s="1539">
        <f>+C9</f>
        <v/>
      </c>
      <c r="J9" s="1228" t="n">
        <v>540</v>
      </c>
      <c r="K9" s="1228" t="n">
        <v>420</v>
      </c>
      <c r="L9" s="1228">
        <f>+J9-K9</f>
        <v/>
      </c>
      <c r="M9" s="1510">
        <f>+I9-L9</f>
        <v/>
      </c>
      <c r="N9" s="1228" t="n">
        <v>3282</v>
      </c>
      <c r="O9" s="1228">
        <f>+HO!C17</f>
        <v/>
      </c>
      <c r="P9" s="1228" t="n">
        <v>0</v>
      </c>
      <c r="Q9" s="1228" t="n">
        <v>0</v>
      </c>
      <c r="R9" s="1228">
        <f>12690-12690.22</f>
        <v/>
      </c>
      <c r="S9" s="1228">
        <f>+O9-R9</f>
        <v/>
      </c>
    </row>
    <row r="10" ht="15.75" customHeight="1">
      <c r="A10" s="161" t="inlineStr">
        <is>
          <t>3200</t>
        </is>
      </c>
      <c r="B10" s="1220" t="inlineStr">
        <is>
          <t>COMMISION ON BILLS</t>
        </is>
      </c>
      <c r="C10" s="1539">
        <f>+'ODHAV '!C10+RAKHIAL!C10+CHANGODAR!C10+'NEW SHARDA'!C10+ISANPUR!C10+MANINAGAR!C10+'SHANTI COMM'!C10+MASKATI!C10+VEJALPUR!C10+'JODHPUR-SATELLITE'!C10+PANJRAPOLE!C10+'ASHRAM ROAD'!C10+NARAYANNAGAR!C10+NARANPURA!C10+'DRIVE IN'!C10+'VASANA '!C10+SURAT!C10+'LAW GARDEN'!C10+'NEW CLOTH'!C10+BAPUNAGAR!C10+BOPAL!C10+THALTEJ!C10+CHANDKHEDA!C10+VASTRAL!C10</f>
        <v/>
      </c>
      <c r="D10" s="1497">
        <f>+C10*9%</f>
        <v/>
      </c>
      <c r="E10" s="1497">
        <f>+D10</f>
        <v/>
      </c>
      <c r="F10" s="13" t="n"/>
      <c r="G10" s="1539" t="n">
        <v>0</v>
      </c>
      <c r="H10" s="1539">
        <f>+'ODHAV '!H10+RAKHIAL!H10+CHANGODAR!H10+'NEW SHARDA'!H10+ISANPUR!H10+MANINAGAR!H10+'SHANTI COMM'!H10+MASKATI!H10+VEJALPUR!H10+'JODHPUR-SATELLITE'!H10+PANJRAPOLE!H10+'ASHRAM ROAD'!H10+NARAYANNAGAR!H10+NARANPURA!H10+'DRIVE IN'!H10+'VASANA '!H10+SURAT!H10+'LAW GARDEN'!H10+'NEW CLOTH'!H10+BAPUNAGAR!H10+BOPAL!H10+THALTEJ!H10</f>
        <v/>
      </c>
      <c r="I10" s="1539">
        <f>+C10</f>
        <v/>
      </c>
      <c r="J10" s="1228" t="n"/>
      <c r="K10" s="1228" t="n"/>
      <c r="L10" s="1228">
        <f>+J10-K10</f>
        <v/>
      </c>
      <c r="M10" s="1510">
        <f>+I10-L10</f>
        <v/>
      </c>
      <c r="N10" s="1228" t="n">
        <v>3284</v>
      </c>
      <c r="O10" s="1228">
        <f>+HO!C18</f>
        <v/>
      </c>
      <c r="P10" s="1228" t="n">
        <v>29746.31</v>
      </c>
      <c r="Q10" s="1228" t="n">
        <v>22192.81</v>
      </c>
      <c r="R10" s="1228">
        <f>+P10-Q10</f>
        <v/>
      </c>
      <c r="S10" s="1228">
        <f>+O10-R10</f>
        <v/>
      </c>
    </row>
    <row r="11" ht="15.75" customHeight="1">
      <c r="A11" s="1080" t="inlineStr">
        <is>
          <t>3215</t>
        </is>
      </c>
      <c r="B11" s="1220" t="inlineStr">
        <is>
          <t>COMMISION ON PAYORDER</t>
        </is>
      </c>
      <c r="C11" s="1539">
        <f>+'ODHAV '!C11+RAKHIAL!C11+CHANGODAR!C11+'NEW SHARDA'!C11+ISANPUR!C11+MANINAGAR!C11+'SHANTI COMM'!C11+MASKATI!C11+VEJALPUR!C11+'JODHPUR-SATELLITE'!C11+PANJRAPOLE!C11+'ASHRAM ROAD'!C11+NARAYANNAGAR!C11+NARANPURA!C11+'DRIVE IN'!C11+'VASANA '!C11+SURAT!C11+'LAW GARDEN'!C11+'NEW CLOTH'!C11+BAPUNAGAR!C11+BOPAL!C11+THALTEJ!C11+CHANDKHEDA!C11+VASTRAL!C11</f>
        <v/>
      </c>
      <c r="D11" s="1497">
        <f>+C11*9%</f>
        <v/>
      </c>
      <c r="E11" s="1497">
        <f>+D11</f>
        <v/>
      </c>
      <c r="F11" s="1497">
        <f>IF(D11&gt;0," ",C11*18%)</f>
        <v/>
      </c>
      <c r="G11" s="1539">
        <f>+'ODHAV '!G11+RAKHIAL!G11+CHANGODAR!G11+'NEW SHARDA'!G11+ISANPUR!G11+MANINAGAR!G11+'SHANTI COMM'!G11+MASKATI!G11+VEJALPUR!G11+'JODHPUR-SATELLITE'!G11+PANJRAPOLE!G11+'ASHRAM ROAD'!G11+NARAYANNAGAR!G11+NARANPURA!G11+'DRIVE IN'!G11+'VASANA '!G11+SURAT!G11+'LAW GARDEN'!G11+'NEW CLOTH'!G11+BAPUNAGAR!G11+BOPAL!G11+THALTEJ!G11</f>
        <v/>
      </c>
      <c r="H11" s="1539">
        <f>+'ODHAV '!H11+RAKHIAL!H11+CHANGODAR!H11+'NEW SHARDA'!H11+ISANPUR!H11+MANINAGAR!H11+'SHANTI COMM'!H11+MASKATI!H11+VEJALPUR!H11+'JODHPUR-SATELLITE'!H11+PANJRAPOLE!H11+'ASHRAM ROAD'!H11+NARAYANNAGAR!H11+NARANPURA!H11+'DRIVE IN'!H11+'VASANA '!H11+SURAT!H11+'LAW GARDEN'!H11+'NEW CLOTH'!H11+BAPUNAGAR!H11+BOPAL!H11+THALTEJ!H11</f>
        <v/>
      </c>
      <c r="I11" s="1539">
        <f>+C11</f>
        <v/>
      </c>
      <c r="J11" s="1228" t="n">
        <v>17225</v>
      </c>
      <c r="K11" s="1228" t="n">
        <v>14275</v>
      </c>
      <c r="L11" s="1228">
        <f>+J11-K11</f>
        <v/>
      </c>
      <c r="M11" s="1510">
        <f>+I11-L11</f>
        <v/>
      </c>
      <c r="N11" s="1228" t="n">
        <v>3290</v>
      </c>
      <c r="O11" s="1228">
        <f>+HO!C44</f>
        <v/>
      </c>
      <c r="P11" s="1228" t="n">
        <v>190462.36</v>
      </c>
      <c r="Q11" s="1228" t="n">
        <v>137358.2</v>
      </c>
      <c r="R11" s="1228">
        <f>+P11-Q11</f>
        <v/>
      </c>
      <c r="S11" s="1228">
        <f>+O11-R11</f>
        <v/>
      </c>
    </row>
    <row r="12" ht="15.75" customHeight="1">
      <c r="A12" s="161" t="inlineStr">
        <is>
          <t>3220</t>
        </is>
      </c>
      <c r="B12" s="1220" t="inlineStr">
        <is>
          <t>COMMISION ON U.B.D.</t>
        </is>
      </c>
      <c r="C12" s="1539">
        <f>+'ODHAV '!C12+RAKHIAL!C12+CHANGODAR!C12+'NEW SHARDA'!C12+ISANPUR!C12+MANINAGAR!C12+'SHANTI COMM'!C12+MASKATI!C12+VEJALPUR!C12+'JODHPUR-SATELLITE'!C12+PANJRAPOLE!C12+'ASHRAM ROAD'!C12+NARAYANNAGAR!C12+NARANPURA!C12+'DRIVE IN'!C12+'VASANA '!C12+SURAT!C12+'LAW GARDEN'!C12+'NEW CLOTH'!C12+BAPUNAGAR!C12+BOPAL!C12+THALTEJ!C12+CHANDKHEDA!C12+VASTRAL!C12</f>
        <v/>
      </c>
      <c r="D12" s="1497">
        <f>+C12*9%</f>
        <v/>
      </c>
      <c r="E12" s="1497">
        <f>+D12</f>
        <v/>
      </c>
      <c r="F12" s="1497" t="n"/>
      <c r="G12" s="1539">
        <f>+'ODHAV '!G12+RAKHIAL!G12+CHANGODAR!G12+'NEW SHARDA'!G12+ISANPUR!G12+MANINAGAR!G12+'SHANTI COMM'!G12+MASKATI!G12+VEJALPUR!G12+'JODHPUR-SATELLITE'!G12+PANJRAPOLE!G12+'ASHRAM ROAD'!G12+NARAYANNAGAR!G12+NARANPURA!G12+'DRIVE IN'!G12+'VASANA '!G12+SURAT!G12+'LAW GARDEN'!G12+'NEW CLOTH'!G12+BAPUNAGAR!G12+BOPAL!G12+THALTEJ!G12</f>
        <v/>
      </c>
      <c r="H12" s="1539">
        <f>+'ODHAV '!H12+RAKHIAL!H12+CHANGODAR!H12+'NEW SHARDA'!H12+ISANPUR!H12+MANINAGAR!H12+'SHANTI COMM'!H12+MASKATI!H12+VEJALPUR!H12+'JODHPUR-SATELLITE'!H12+PANJRAPOLE!H12+'ASHRAM ROAD'!H12+NARAYANNAGAR!H12+NARANPURA!H12+'DRIVE IN'!H12+'VASANA '!H12+SURAT!H12+'LAW GARDEN'!H12+'NEW CLOTH'!H12+BAPUNAGAR!H12+BOPAL!H12+THALTEJ!H12</f>
        <v/>
      </c>
      <c r="I12" s="1539">
        <f>+C12</f>
        <v/>
      </c>
      <c r="J12" s="1228" t="n">
        <v>428111</v>
      </c>
      <c r="K12" s="1228" t="n">
        <v>263983</v>
      </c>
      <c r="L12" s="1228">
        <f>+J12-K12</f>
        <v/>
      </c>
      <c r="M12" s="1510">
        <f>+I12-L12</f>
        <v/>
      </c>
      <c r="N12" s="1228" t="n">
        <v>3292</v>
      </c>
      <c r="O12" s="1228">
        <f>+HO!C24</f>
        <v/>
      </c>
      <c r="P12" s="1228" t="n">
        <v>322</v>
      </c>
      <c r="Q12" s="1228" t="n">
        <v>322</v>
      </c>
      <c r="R12" s="1228">
        <f>+P12-Q12</f>
        <v/>
      </c>
      <c r="S12" s="1228">
        <f>+O12-R12</f>
        <v/>
      </c>
    </row>
    <row r="13" ht="15.75" customHeight="1">
      <c r="A13" s="1080" t="inlineStr">
        <is>
          <t>3225</t>
        </is>
      </c>
      <c r="B13" s="1220" t="inlineStr">
        <is>
          <t>COMMISION I.B.C.</t>
        </is>
      </c>
      <c r="C13" s="1539">
        <f>+'ODHAV '!C13+RAKHIAL!C13+CHANGODAR!C13+'NEW SHARDA'!C13+ISANPUR!C13+MANINAGAR!C13+'SHANTI COMM'!C13+MASKATI!C13+VEJALPUR!C13+'JODHPUR-SATELLITE'!C13+PANJRAPOLE!C13+'ASHRAM ROAD'!C13+NARAYANNAGAR!C13+NARANPURA!C13+'DRIVE IN'!C13+'VASANA '!C13+SURAT!C13+'LAW GARDEN'!C13+'NEW CLOTH'!C13+BAPUNAGAR!C13+BOPAL!C13+THALTEJ!C13+CHANDKHEDA!C13+VASTRAL!C13</f>
        <v/>
      </c>
      <c r="D13" s="1497">
        <f>+C13*9%</f>
        <v/>
      </c>
      <c r="E13" s="1497">
        <f>+D13</f>
        <v/>
      </c>
      <c r="F13" s="1497">
        <f>IF(D13&gt;0," ",C13*18%)</f>
        <v/>
      </c>
      <c r="G13" s="1539">
        <f>+'ODHAV '!G13+RAKHIAL!G13+CHANGODAR!G13+'NEW SHARDA'!G13+ISANPUR!G13+MANINAGAR!G13+'SHANTI COMM'!G13+MASKATI!G13+VEJALPUR!G13+'JODHPUR-SATELLITE'!G13+PANJRAPOLE!G13+'ASHRAM ROAD'!G13+NARAYANNAGAR!G13+NARANPURA!G13+'DRIVE IN'!G13+'VASANA '!G13+SURAT!G13+'LAW GARDEN'!G13+'NEW CLOTH'!G13+BAPUNAGAR!G13+BOPAL!G13+THALTEJ!G13</f>
        <v/>
      </c>
      <c r="H13" s="1539">
        <f>+'ODHAV '!H13+RAKHIAL!H13+CHANGODAR!H13+'NEW SHARDA'!H13+ISANPUR!H13+MANINAGAR!H13+'SHANTI COMM'!H13+MASKATI!H13+VEJALPUR!H13+'JODHPUR-SATELLITE'!H13+PANJRAPOLE!H13+'ASHRAM ROAD'!H13+NARAYANNAGAR!H13+NARANPURA!H13+'DRIVE IN'!H13+'VASANA '!H13+SURAT!H13+'LAW GARDEN'!H13+'NEW CLOTH'!H13+BAPUNAGAR!H13+BOPAL!H13+THALTEJ!H13</f>
        <v/>
      </c>
      <c r="I13" s="1539">
        <f>+C13</f>
        <v/>
      </c>
      <c r="J13" s="1228" t="n"/>
      <c r="K13" s="1228" t="n"/>
      <c r="L13" s="1228">
        <f>+J13-K13</f>
        <v/>
      </c>
      <c r="M13" s="1510">
        <f>+I13-L13</f>
        <v/>
      </c>
      <c r="N13" s="1228" t="n">
        <v>3338</v>
      </c>
      <c r="O13" s="1228">
        <f>+HO!C40</f>
        <v/>
      </c>
      <c r="P13" s="1228" t="n">
        <v>0</v>
      </c>
      <c r="Q13" s="1228" t="n">
        <v>0</v>
      </c>
      <c r="R13" s="1228">
        <f>+P13-Q13</f>
        <v/>
      </c>
      <c r="S13" s="1228">
        <f>+O13-R13</f>
        <v/>
      </c>
    </row>
    <row r="14" ht="15.75" customHeight="1">
      <c r="A14" s="1080" t="inlineStr">
        <is>
          <t>3230</t>
        </is>
      </c>
      <c r="B14" s="1220" t="inlineStr">
        <is>
          <t>COMMISION ON GUARANTEE</t>
        </is>
      </c>
      <c r="C14" s="1539">
        <f>+'ODHAV '!C14+RAKHIAL!C14+CHANGODAR!C14+'NEW SHARDA'!C14+ISANPUR!C14+MANINAGAR!C14+'SHANTI COMM'!C14+MASKATI!C14+VEJALPUR!C14+'JODHPUR-SATELLITE'!C14+PANJRAPOLE!C14+'ASHRAM ROAD'!C14+NARAYANNAGAR!C14+NARANPURA!C14+'DRIVE IN'!C14+'VASANA '!C14+SURAT!C14+'LAW GARDEN'!C14+'NEW CLOTH'!C14+BAPUNAGAR!C14+BOPAL!C14+THALTEJ!C14+CHANDKHEDA!C14+VASTRAL!C14</f>
        <v/>
      </c>
      <c r="D14" s="1497">
        <f>+C14*9%</f>
        <v/>
      </c>
      <c r="E14" s="1497">
        <f>+D14</f>
        <v/>
      </c>
      <c r="F14" s="1497" t="n">
        <v>0</v>
      </c>
      <c r="G14" s="1539">
        <f>+'ODHAV '!G14+RAKHIAL!G14+CHANGODAR!G14+'NEW SHARDA'!G14+ISANPUR!G14+MANINAGAR!G14+'SHANTI COMM'!G14+MASKATI!G14+VEJALPUR!G14+'JODHPUR-SATELLITE'!G14+PANJRAPOLE!G14+'ASHRAM ROAD'!G14+NARAYANNAGAR!G14+NARANPURA!G14+'DRIVE IN'!G14+'VASANA '!G14+SURAT!G14+'LAW GARDEN'!G14+'NEW CLOTH'!G14+BAPUNAGAR!G14+BOPAL!G14+THALTEJ!G14</f>
        <v/>
      </c>
      <c r="H14" s="1539">
        <f>+'ODHAV '!H14+RAKHIAL!H14+CHANGODAR!H14+'NEW SHARDA'!H14+ISANPUR!H14+MANINAGAR!H14+'SHANTI COMM'!H14+MASKATI!H14+VEJALPUR!H14+'JODHPUR-SATELLITE'!H14+PANJRAPOLE!H14+'ASHRAM ROAD'!H14+NARAYANNAGAR!H14+NARANPURA!H14+'DRIVE IN'!H14+'VASANA '!H14+SURAT!H14+'LAW GARDEN'!H14+'NEW CLOTH'!H14+BAPUNAGAR!H14+BOPAL!H14+THALTEJ!H14</f>
        <v/>
      </c>
      <c r="I14" s="1539">
        <f>+C14</f>
        <v/>
      </c>
      <c r="J14" s="1228" t="n">
        <v>938590</v>
      </c>
      <c r="K14" s="1228" t="n">
        <v>700251</v>
      </c>
      <c r="L14" s="1228">
        <f>+J14-K14</f>
        <v/>
      </c>
      <c r="M14" s="1601">
        <f>+I14-L14</f>
        <v/>
      </c>
      <c r="N14" s="1228" t="n">
        <v>3293</v>
      </c>
      <c r="O14" s="1228">
        <f>+HO!C25</f>
        <v/>
      </c>
      <c r="P14" s="1228" t="n">
        <v>1963</v>
      </c>
      <c r="Q14" s="1228" t="n">
        <v>1491</v>
      </c>
      <c r="R14" s="1228">
        <f>+P14-Q14</f>
        <v/>
      </c>
      <c r="S14" s="1228">
        <f>+O14-R14</f>
        <v/>
      </c>
    </row>
    <row r="15" ht="15.75" customHeight="1">
      <c r="A15" s="1080" t="inlineStr">
        <is>
          <t>3235</t>
        </is>
      </c>
      <c r="B15" s="1220" t="inlineStr">
        <is>
          <t>COMMISION ON DEMAND DRAFT</t>
        </is>
      </c>
      <c r="C15" s="1539">
        <f>+'ODHAV '!C15+RAKHIAL!C15+CHANGODAR!C15+'NEW SHARDA'!C15+ISANPUR!C15+MANINAGAR!C15+'SHANTI COMM'!C15+MASKATI!C15+VEJALPUR!C15+'JODHPUR-SATELLITE'!C15+PANJRAPOLE!C15+'ASHRAM ROAD'!C15+NARAYANNAGAR!C15+NARANPURA!C15+'DRIVE IN'!C15+'VASANA '!C15+SURAT!C15+'LAW GARDEN'!C15+'NEW CLOTH'!C15+BAPUNAGAR!C15+BOPAL!C15+THALTEJ!C15+CHANDKHEDA!C15+VASTRAL!C15</f>
        <v/>
      </c>
      <c r="D15" s="1497">
        <f>+C15*9%</f>
        <v/>
      </c>
      <c r="E15" s="1497">
        <f>+D15</f>
        <v/>
      </c>
      <c r="F15" s="1497" t="n"/>
      <c r="G15" s="1539">
        <f>+'ODHAV '!G15+RAKHIAL!G15+CHANGODAR!G15+'NEW SHARDA'!G15+ISANPUR!G15+MANINAGAR!G15+'SHANTI COMM'!G15+MASKATI!G15+VEJALPUR!G15+'JODHPUR-SATELLITE'!G15+PANJRAPOLE!G15+'ASHRAM ROAD'!G15+NARAYANNAGAR!G15+NARANPURA!G15+'DRIVE IN'!G15+'VASANA '!G15+SURAT!G15+'LAW GARDEN'!G15+'NEW CLOTH'!G15+BAPUNAGAR!G15+BOPAL!G15+THALTEJ!G15</f>
        <v/>
      </c>
      <c r="H15" s="1539">
        <f>+'ODHAV '!H15+RAKHIAL!H15+CHANGODAR!H15+'NEW SHARDA'!H15+ISANPUR!H15+MANINAGAR!H15+'SHANTI COMM'!H15+MASKATI!H15+VEJALPUR!H15+'JODHPUR-SATELLITE'!H15+PANJRAPOLE!H15+'ASHRAM ROAD'!H15+NARAYANNAGAR!H15+NARANPURA!H15+'DRIVE IN'!H15+'VASANA '!H15+SURAT!H15+'LAW GARDEN'!H15+'NEW CLOTH'!H15+BAPUNAGAR!H15+BOPAL!H15+THALTEJ!H15</f>
        <v/>
      </c>
      <c r="I15" s="1539">
        <f>+C15</f>
        <v/>
      </c>
      <c r="J15" s="1228" t="n">
        <v>9540</v>
      </c>
      <c r="K15" s="1228" t="n">
        <v>6910</v>
      </c>
      <c r="L15" s="1228">
        <f>+J15-K15</f>
        <v/>
      </c>
      <c r="M15" s="1510">
        <f>+I15-L15</f>
        <v/>
      </c>
      <c r="N15" s="1228" t="n">
        <v>3294</v>
      </c>
      <c r="O15" s="1228" t="n"/>
      <c r="P15" s="1228" t="n">
        <v>0</v>
      </c>
      <c r="Q15" s="1228" t="n">
        <v>133492.05</v>
      </c>
      <c r="R15" s="1228">
        <f>+P15-Q15</f>
        <v/>
      </c>
      <c r="S15" s="1228" t="n"/>
    </row>
    <row r="16" ht="15.75" customHeight="1">
      <c r="A16" s="161" t="inlineStr">
        <is>
          <t>3240</t>
        </is>
      </c>
      <c r="B16" s="1220" t="inlineStr">
        <is>
          <t>COMMISION ON U.B.C.</t>
        </is>
      </c>
      <c r="C16" s="1539">
        <f>+'ODHAV '!C16+RAKHIAL!C16+CHANGODAR!C16+'NEW SHARDA'!C16+ISANPUR!C16+MANINAGAR!C16+'SHANTI COMM'!C16+MASKATI!C16+VEJALPUR!C16+'JODHPUR-SATELLITE'!C16+PANJRAPOLE!C16+'ASHRAM ROAD'!C16+NARAYANNAGAR!C16+NARANPURA!C16+'DRIVE IN'!C16+'VASANA '!C16+SURAT!C16+'LAW GARDEN'!C16+'NEW CLOTH'!C16+BAPUNAGAR!C16+BOPAL!C16+THALTEJ!C16+CHANDKHEDA!C16+VASTRAL!C16</f>
        <v/>
      </c>
      <c r="D16" s="1497">
        <f>+C16*9%</f>
        <v/>
      </c>
      <c r="E16" s="1497">
        <f>+D16</f>
        <v/>
      </c>
      <c r="F16" s="1497">
        <f>IF(D16&gt;0," ",C16*18%)</f>
        <v/>
      </c>
      <c r="G16" s="1539">
        <f>+'ODHAV '!G16+RAKHIAL!G16+CHANGODAR!G16+'NEW SHARDA'!G16+ISANPUR!G16+MANINAGAR!G16+'SHANTI COMM'!G16+MASKATI!G16+VEJALPUR!G16+'JODHPUR-SATELLITE'!G16+PANJRAPOLE!G16+'ASHRAM ROAD'!G16+NARAYANNAGAR!G16+NARANPURA!G16+'DRIVE IN'!G16+'VASANA '!G16+SURAT!G16+'LAW GARDEN'!G16+'NEW CLOTH'!G16+BAPUNAGAR!G16+BOPAL!G16+THALTEJ!G16</f>
        <v/>
      </c>
      <c r="H16" s="1539">
        <f>+'ODHAV '!H16+RAKHIAL!H16+CHANGODAR!H16+'NEW SHARDA'!H16+ISANPUR!H16+MANINAGAR!H16+'SHANTI COMM'!H16+MASKATI!H16+VEJALPUR!H16+'JODHPUR-SATELLITE'!H16+PANJRAPOLE!H16+'ASHRAM ROAD'!H16+NARAYANNAGAR!H16+NARANPURA!H16+'DRIVE IN'!H16+'VASANA '!H16+SURAT!H16+'LAW GARDEN'!H16+'NEW CLOTH'!H16+BAPUNAGAR!H16+BOPAL!H16+THALTEJ!H16</f>
        <v/>
      </c>
      <c r="I16" s="1539">
        <f>+C16</f>
        <v/>
      </c>
      <c r="J16" s="1228" t="n">
        <v>6000</v>
      </c>
      <c r="K16" s="1228" t="n">
        <v>6000</v>
      </c>
      <c r="L16" s="1228">
        <f>+J16-K16</f>
        <v/>
      </c>
      <c r="M16" s="1510">
        <f>+I16-L16</f>
        <v/>
      </c>
    </row>
    <row r="17" ht="15.75" customHeight="1">
      <c r="A17" s="161" t="inlineStr">
        <is>
          <t>3245</t>
        </is>
      </c>
      <c r="B17" s="1220" t="inlineStr">
        <is>
          <t>COMMISION ON L.C.</t>
        </is>
      </c>
      <c r="C17" s="1539">
        <f>+'ODHAV '!C17+RAKHIAL!C17+CHANGODAR!C17+'NEW SHARDA'!C17+ISANPUR!C17+MANINAGAR!C17+'SHANTI COMM'!C17+MASKATI!C17+VEJALPUR!C17+'JODHPUR-SATELLITE'!C17+PANJRAPOLE!C17+'ASHRAM ROAD'!C17+NARAYANNAGAR!C17+NARANPURA!C17+'DRIVE IN'!C17+'VASANA '!C17+SURAT!C17+'LAW GARDEN'!C17+'NEW CLOTH'!C17+BAPUNAGAR!C17+BOPAL!C17+THALTEJ!C17+CHANDKHEDA!C17+VASTRAL!C17</f>
        <v/>
      </c>
      <c r="D17" s="1497">
        <f>+C17*9%</f>
        <v/>
      </c>
      <c r="E17" s="1497">
        <f>+D17</f>
        <v/>
      </c>
      <c r="F17" s="1497">
        <f>IF(D17&gt;0," ",C17*18%)</f>
        <v/>
      </c>
      <c r="G17" s="1539">
        <f>+'ODHAV '!G17+RAKHIAL!G17+CHANGODAR!G17+'NEW SHARDA'!G17+ISANPUR!G17+MANINAGAR!G17+'SHANTI COMM'!G17+MASKATI!G17+VEJALPUR!G17+'JODHPUR-SATELLITE'!G17+PANJRAPOLE!G17+'ASHRAM ROAD'!G17+NARAYANNAGAR!G17+NARANPURA!G17+'DRIVE IN'!G17+'VASANA '!G17+SURAT!G17+'LAW GARDEN'!G17+'NEW CLOTH'!G17+BAPUNAGAR!G17+BOPAL!G17+THALTEJ!G17</f>
        <v/>
      </c>
      <c r="H17" s="1539">
        <f>+'ODHAV '!H17+RAKHIAL!H17+CHANGODAR!H17+'NEW SHARDA'!H17+ISANPUR!H17+MANINAGAR!H17+'SHANTI COMM'!H17+MASKATI!H17+VEJALPUR!H17+'JODHPUR-SATELLITE'!H17+PANJRAPOLE!H17+'ASHRAM ROAD'!H17+NARAYANNAGAR!H17+NARANPURA!H17+'DRIVE IN'!H17+'VASANA '!H17+SURAT!H17+'LAW GARDEN'!H17+'NEW CLOTH'!H17+BAPUNAGAR!H17+BOPAL!H17+THALTEJ!H17</f>
        <v/>
      </c>
      <c r="I17" s="1539">
        <f>+C17</f>
        <v/>
      </c>
      <c r="J17" s="1228" t="n">
        <v>4500</v>
      </c>
      <c r="K17" s="1228" t="n">
        <v>3500</v>
      </c>
      <c r="L17" s="1228">
        <f>+J17-K17</f>
        <v/>
      </c>
      <c r="M17" s="1602">
        <f>+I17-L17</f>
        <v/>
      </c>
      <c r="N17" s="73" t="n"/>
    </row>
    <row r="18" ht="15.75" customHeight="1">
      <c r="A18" s="161" t="inlineStr">
        <is>
          <t>3250</t>
        </is>
      </c>
      <c r="B18" s="1220" t="inlineStr">
        <is>
          <t>COMMISSION ON GUARANTEE</t>
        </is>
      </c>
      <c r="C18" s="1539">
        <f>+'ODHAV '!C18+RAKHIAL!C18+CHANGODAR!C18+'NEW SHARDA'!C18+ISANPUR!C18+MANINAGAR!C18+'SHANTI COMM'!C18+MASKATI!C18+VEJALPUR!C18+'JODHPUR-SATELLITE'!C18+PANJRAPOLE!C18+'ASHRAM ROAD'!C18+NARAYANNAGAR!C18+NARANPURA!C18+'DRIVE IN'!C18+'VASANA '!C18+SURAT!C18+'LAW GARDEN'!C18+'NEW CLOTH'!C18+BAPUNAGAR!C18+BOPAL!C18+THALTEJ!C18+CHANDKHEDA!C18+VASTRAL!C18</f>
        <v/>
      </c>
      <c r="D18" s="1497">
        <f>+C18*9%</f>
        <v/>
      </c>
      <c r="E18" s="1497">
        <f>+D18</f>
        <v/>
      </c>
      <c r="F18" s="1497">
        <f>IF(D18&gt;0," ",C18*18%)</f>
        <v/>
      </c>
      <c r="G18" s="1539">
        <f>+'ODHAV '!G18+RAKHIAL!G18+CHANGODAR!G18+'NEW SHARDA'!G18+ISANPUR!G18+MANINAGAR!G18+'SHANTI COMM'!G18+MASKATI!G18+VEJALPUR!G18+'JODHPUR-SATELLITE'!G18+PANJRAPOLE!G18+'ASHRAM ROAD'!G18+NARAYANNAGAR!G18+NARANPURA!G18+'DRIVE IN'!G18+'VASANA '!G18+SURAT!G18+'LAW GARDEN'!G18+'NEW CLOTH'!G18+BAPUNAGAR!G18+BOPAL!G18+THALTEJ!G18</f>
        <v/>
      </c>
      <c r="H18" s="1539">
        <f>+'ODHAV '!H18+RAKHIAL!H18+CHANGODAR!H18+'NEW SHARDA'!H18+ISANPUR!H18+MANINAGAR!H18+'SHANTI COMM'!H18+MASKATI!H18+VEJALPUR!H18+'JODHPUR-SATELLITE'!H18+PANJRAPOLE!H18+'ASHRAM ROAD'!H18+NARAYANNAGAR!H18+NARANPURA!H18+'DRIVE IN'!H18+'VASANA '!H18+SURAT!H18+'LAW GARDEN'!H18+'NEW CLOTH'!H18+BAPUNAGAR!H18+BOPAL!H18+THALTEJ!H18</f>
        <v/>
      </c>
      <c r="I18" s="1539">
        <f>+C18</f>
        <v/>
      </c>
      <c r="J18" s="1228" t="n"/>
      <c r="K18" s="1228" t="n"/>
      <c r="L18" s="1228">
        <f>+J18-K18</f>
        <v/>
      </c>
      <c r="M18" s="1510">
        <f>+I18-L18</f>
        <v/>
      </c>
    </row>
    <row r="19" ht="15.75" customHeight="1">
      <c r="A19" s="1080" t="inlineStr">
        <is>
          <t>3270</t>
        </is>
      </c>
      <c r="B19" s="1220" t="inlineStr">
        <is>
          <t>PROCESSING CHARGE</t>
        </is>
      </c>
      <c r="C19" s="1539">
        <f>+'ODHAV '!C19+RAKHIAL!C19+CHANGODAR!C19+'NEW SHARDA'!C19+ISANPUR!C19+MANINAGAR!C19+'SHANTI COMM'!C19+MASKATI!C19+VEJALPUR!C19+'JODHPUR-SATELLITE'!C19+PANJRAPOLE!C19+'ASHRAM ROAD'!C19+NARAYANNAGAR!C19+NARANPURA!C19+'DRIVE IN'!C19+'VASANA '!C19+SURAT!C19+'LAW GARDEN'!C19+'NEW CLOTH'!C19+BAPUNAGAR!C19+BOPAL!C19+THALTEJ!C19+CHANDKHEDA!C19+VASTRAL!C19</f>
        <v/>
      </c>
      <c r="D19" s="1497">
        <f>+C19*9%</f>
        <v/>
      </c>
      <c r="E19" s="1497">
        <f>+D19</f>
        <v/>
      </c>
      <c r="F19" s="1497">
        <f>IF(D19&gt;0," ",C19*18%)</f>
        <v/>
      </c>
      <c r="G19" s="1539">
        <f>+'ODHAV '!G19+RAKHIAL!G19+CHANGODAR!G19+'NEW SHARDA'!G19+ISANPUR!G19+MANINAGAR!G19+'SHANTI COMM'!G19+MASKATI!G19+VEJALPUR!G19+'JODHPUR-SATELLITE'!G19+PANJRAPOLE!G19+'ASHRAM ROAD'!G19+NARAYANNAGAR!G19+NARANPURA!G19+'DRIVE IN'!G19+'VASANA '!G19+SURAT!G19+'LAW GARDEN'!G19+'NEW CLOTH'!G19+BAPUNAGAR!G19+BOPAL!H19+THALTEJ!G19</f>
        <v/>
      </c>
      <c r="H19" s="1539">
        <f>+'ODHAV '!H19+RAKHIAL!H19+CHANGODAR!H19+'NEW SHARDA'!H19+ISANPUR!H19+MANINAGAR!H19+'SHANTI COMM'!H19+MASKATI!H19+VEJALPUR!H19+'JODHPUR-SATELLITE'!H19+PANJRAPOLE!H19+'ASHRAM ROAD'!H19+NARAYANNAGAR!H19+NARANPURA!H19+'DRIVE IN'!H19+'VASANA '!H19+SURAT!H19+'LAW GARDEN'!H19+'NEW CLOTH'!H19+BAPUNAGAR!H19+BOPAL!I19+THALTEJ!H19</f>
        <v/>
      </c>
      <c r="I19" s="1539">
        <f>+C19</f>
        <v/>
      </c>
      <c r="J19" s="1228" t="n">
        <v>5909552.44</v>
      </c>
      <c r="K19" s="1228" t="n">
        <v>4868822.44</v>
      </c>
      <c r="L19" s="1228">
        <f>+J19-K19</f>
        <v/>
      </c>
      <c r="M19" s="1603">
        <f>+I19-L19</f>
        <v/>
      </c>
    </row>
    <row r="20" ht="15.75" customHeight="1">
      <c r="A20" s="13" t="n">
        <v>3271</v>
      </c>
      <c r="B20" s="1220" t="inlineStr">
        <is>
          <t>RENEWAL FEES</t>
        </is>
      </c>
      <c r="C20" s="1539">
        <f>+'ODHAV '!C20+RAKHIAL!C20+CHANGODAR!C20+'NEW SHARDA'!C20+ISANPUR!C20+MANINAGAR!C20+'SHANTI COMM'!C20+MASKATI!C20+VEJALPUR!C20+'JODHPUR-SATELLITE'!C20+PANJRAPOLE!C20+'ASHRAM ROAD'!C20+NARAYANNAGAR!C20+NARANPURA!C20+'DRIVE IN'!C20+'VASANA '!C20+SURAT!C20+'LAW GARDEN'!C20+'NEW CLOTH'!C20+BAPUNAGAR!C20+BOPAL!C20+THALTEJ!C20+CHANDKHEDA!C20+VASTRAL!C20</f>
        <v/>
      </c>
      <c r="D20" s="1497">
        <f>+C20*9%</f>
        <v/>
      </c>
      <c r="E20" s="1497">
        <f>+D20</f>
        <v/>
      </c>
      <c r="F20" s="1497" t="n"/>
      <c r="G20" s="1539">
        <f>+'ODHAV '!G20+RAKHIAL!G20+CHANGODAR!G20+'NEW SHARDA'!G20+ISANPUR!G20+MANINAGAR!G20+'SHANTI COMM'!G20+MASKATI!G20+VEJALPUR!G20+'JODHPUR-SATELLITE'!G20+PANJRAPOLE!G20+'ASHRAM ROAD'!G20+NARAYANNAGAR!G20+NARANPURA!G20+'DRIVE IN'!G20+'VASANA '!G20+SURAT!G20+'LAW GARDEN'!G20+'NEW CLOTH'!G20+BAPUNAGAR!G20+BOPAL!G20+THALTEJ!G20</f>
        <v/>
      </c>
      <c r="H20" s="1539">
        <f>+'ODHAV '!H20+RAKHIAL!H20+CHANGODAR!H20+'NEW SHARDA'!H20+ISANPUR!H20+MANINAGAR!H20+'SHANTI COMM'!H20+MASKATI!H20+VEJALPUR!H20+'JODHPUR-SATELLITE'!H20+PANJRAPOLE!H20+'ASHRAM ROAD'!H20+NARAYANNAGAR!H20+NARANPURA!H20+'DRIVE IN'!H20+'VASANA '!H20+SURAT!H20+'LAW GARDEN'!H20+'NEW CLOTH'!H20+BAPUNAGAR!H20+BOPAL!H20+THALTEJ!H20</f>
        <v/>
      </c>
      <c r="I20" s="1539">
        <f>+C20</f>
        <v/>
      </c>
      <c r="J20" s="1228" t="n">
        <v>255677</v>
      </c>
      <c r="K20" s="1228" t="n">
        <v>190777</v>
      </c>
      <c r="L20" s="1228">
        <f>+J20-K20</f>
        <v/>
      </c>
      <c r="M20" s="1601">
        <f>+I20-L20</f>
        <v/>
      </c>
    </row>
    <row r="21" ht="15.75" customHeight="1">
      <c r="A21" s="13" t="n">
        <v>3274</v>
      </c>
      <c r="B21" s="1220" t="inlineStr">
        <is>
          <t>INCOME FROM E-STAMPING</t>
        </is>
      </c>
      <c r="C21" s="1539">
        <f>+'ODHAV '!C21+RAKHIAL!C21+CHANGODAR!C21+'NEW SHARDA'!C21+ISANPUR!C21+MANINAGAR!C21+'SHANTI COMM'!C21+MASKATI!C21+VEJALPUR!C21+'JODHPUR-SATELLITE'!C21+PANJRAPOLE!C21+'ASHRAM ROAD'!C21+NARAYANNAGAR!C21+NARANPURA!C21+'DRIVE IN'!C21+'VASANA '!C21+SURAT!C21+'LAW GARDEN'!C21+'NEW CLOTH'!C21+BAPUNAGAR!C21+BOPAL!C21+THALTEJ!C21+CHANDKHEDA!C21+VASTRAL!C21</f>
        <v/>
      </c>
      <c r="D21" s="1497">
        <f>+C21*9%</f>
        <v/>
      </c>
      <c r="E21" s="1497">
        <f>+D21</f>
        <v/>
      </c>
      <c r="F21" s="1497" t="n"/>
      <c r="G21" s="1539">
        <f>+'ODHAV '!G21+RAKHIAL!G21+CHANGODAR!G21+'NEW SHARDA'!G21+ISANPUR!G21+MANINAGAR!G21+'SHANTI COMM'!G21+MASKATI!G21+VEJALPUR!G21+'JODHPUR-SATELLITE'!G21+PANJRAPOLE!G21+'ASHRAM ROAD'!G21+NARAYANNAGAR!G21+NARANPURA!G21+'DRIVE IN'!G21+'VASANA '!G21+SURAT!G21+'LAW GARDEN'!G21+'NEW CLOTH'!G21+BAPUNAGAR!G21+BOPAL!G21+THALTEJ!G21</f>
        <v/>
      </c>
      <c r="H21" s="1539">
        <f>+'ODHAV '!H21+RAKHIAL!H21+CHANGODAR!H21+'NEW SHARDA'!H21+ISANPUR!H21+MANINAGAR!H21+'SHANTI COMM'!H21+MASKATI!H21+VEJALPUR!H21+'JODHPUR-SATELLITE'!H21+PANJRAPOLE!H21+'ASHRAM ROAD'!H21+NARAYANNAGAR!H21+NARANPURA!H21+'DRIVE IN'!H21+'VASANA '!H21+SURAT!H21+'LAW GARDEN'!H21+'NEW CLOTH'!H21+BAPUNAGAR!H21+BOPAL!H21+THALTEJ!H21</f>
        <v/>
      </c>
      <c r="I21" s="1539">
        <f>+C21</f>
        <v/>
      </c>
      <c r="J21" s="1228" t="n">
        <v>165549.3</v>
      </c>
      <c r="K21" s="1228" t="n">
        <v>125019.88</v>
      </c>
      <c r="L21" s="1228">
        <f>+J21-K21</f>
        <v/>
      </c>
      <c r="M21" s="1602">
        <f>+I21-L21</f>
        <v/>
      </c>
    </row>
    <row r="22" ht="15.75" customHeight="1">
      <c r="A22" s="158" t="inlineStr">
        <is>
          <t>3276</t>
        </is>
      </c>
      <c r="B22" s="1220" t="inlineStr">
        <is>
          <t>COMMISION ON PAN</t>
        </is>
      </c>
      <c r="C22" s="1539">
        <f>+'ODHAV '!C22+RAKHIAL!C22+CHANGODAR!C22+'NEW SHARDA'!C22+ISANPUR!C22+MANINAGAR!C22+'SHANTI COMM'!C22+MASKATI!C22+VEJALPUR!C22+'JODHPUR-SATELLITE'!C22+PANJRAPOLE!C22+'ASHRAM ROAD'!C22+NARAYANNAGAR!C22+NARANPURA!C22+'DRIVE IN'!C22+'VASANA '!C22+SURAT!C22+'LAW GARDEN'!C22+'NEW CLOTH'!C22+BAPUNAGAR!C22+BOPAL!C22+THALTEJ!C22+CHANDKHEDA!C22+VASTRAL!C22</f>
        <v/>
      </c>
      <c r="D22" s="1497">
        <f>+C22*9%</f>
        <v/>
      </c>
      <c r="E22" s="1497">
        <f>+D22</f>
        <v/>
      </c>
      <c r="F22" s="1497" t="n">
        <v>0</v>
      </c>
      <c r="G22" s="1539">
        <f>+'ODHAV '!G22+RAKHIAL!G22+CHANGODAR!G23+'NEW SHARDA'!G22+ISANPUR!G22+MANINAGAR!G22+'SHANTI COMM'!G22+MASKATI!G22+VEJALPUR!G22+'JODHPUR-SATELLITE'!G22+PANJRAPOLE!G22+'ASHRAM ROAD'!G22+NARAYANNAGAR!G22+NARANPURA!G22+'DRIVE IN'!G22+'VASANA '!G22+SURAT!G22+'LAW GARDEN'!G22+'NEW CLOTH'!G22+BAPUNAGAR!G22+BOPAL!G22+THALTEJ!G22</f>
        <v/>
      </c>
      <c r="H22" s="1539">
        <f>+'ODHAV '!H22+RAKHIAL!H22+CHANGODAR!H23+'NEW SHARDA'!H22+ISANPUR!H22+MANINAGAR!H22+'SHANTI COMM'!H22+MASKATI!H22+VEJALPUR!H22+'JODHPUR-SATELLITE'!H22+PANJRAPOLE!H22+'ASHRAM ROAD'!H22+NARAYANNAGAR!H22+NARANPURA!H22+'DRIVE IN'!H22+'VASANA '!H22+SURAT!H22+'LAW GARDEN'!H22+'NEW CLOTH'!H22+BAPUNAGAR!H22+BOPAL!H22+THALTEJ!H22</f>
        <v/>
      </c>
      <c r="I22" s="1539">
        <f>+C22</f>
        <v/>
      </c>
      <c r="J22" s="1228" t="n"/>
      <c r="K22" s="1228" t="n"/>
      <c r="L22" s="1228">
        <f>+J22-K22</f>
        <v/>
      </c>
      <c r="M22" s="1510">
        <f>+I22-L22</f>
        <v/>
      </c>
    </row>
    <row r="23" ht="15.75" customHeight="1">
      <c r="A23" s="161" t="inlineStr">
        <is>
          <t>3280</t>
        </is>
      </c>
      <c r="B23" s="1220" t="inlineStr">
        <is>
          <t>INSURANCE PREMIUM</t>
        </is>
      </c>
      <c r="C23" s="1539">
        <f>+'ODHAV '!C23+RAKHIAL!C23+CHANGODAR!C23+'NEW SHARDA'!C23+ISANPUR!C23+MANINAGAR!C23+'SHANTI COMM'!C23+MASKATI!C23+VEJALPUR!C23+'JODHPUR-SATELLITE'!C23+PANJRAPOLE!C23+'ASHRAM ROAD'!C23+NARAYANNAGAR!C23+NARANPURA!C23+'DRIVE IN'!C23+'VASANA '!C23+SURAT!C23+'LAW GARDEN'!C23+'NEW CLOTH'!C23+BAPUNAGAR!C23+BOPAL!C23+THALTEJ!C23+CHANDKHEDA!C23+VASTRAL!C23</f>
        <v/>
      </c>
      <c r="D23" s="1497">
        <f>+C23*9%</f>
        <v/>
      </c>
      <c r="E23" s="1497">
        <f>+D23</f>
        <v/>
      </c>
      <c r="F23" s="1497">
        <f>IF(D23&gt;0," ",C23*18%)</f>
        <v/>
      </c>
      <c r="G23" s="1539">
        <f>+'ODHAV '!G23+RAKHIAL!G23+CHANGODAR!G24+'NEW SHARDA'!G23+ISANPUR!G23+MANINAGAR!G23+'SHANTI COMM'!G23+MASKATI!G23+VEJALPUR!G23+'JODHPUR-SATELLITE'!G23+PANJRAPOLE!G23+'ASHRAM ROAD'!G23+NARAYANNAGAR!G23+NARANPURA!G23+'DRIVE IN'!G23+'VASANA '!G23+SURAT!G23+'LAW GARDEN'!G23+'NEW CLOTH'!G23+BAPUNAGAR!G23+BOPAL!G23+THALTEJ!G23</f>
        <v/>
      </c>
      <c r="H23" s="1539">
        <f>+'ODHAV '!H23+RAKHIAL!H23+CHANGODAR!H24+'NEW SHARDA'!H23+ISANPUR!H23+MANINAGAR!H23+'SHANTI COMM'!H23+MASKATI!H23+VEJALPUR!H23+'JODHPUR-SATELLITE'!H23+PANJRAPOLE!H23+'ASHRAM ROAD'!H23+NARAYANNAGAR!H23+NARANPURA!H23+'DRIVE IN'!H23+'VASANA '!H23+SURAT!H23+'LAW GARDEN'!H23+'NEW CLOTH'!H23+BAPUNAGAR!H23+BOPAL!H23+THALTEJ!H23</f>
        <v/>
      </c>
      <c r="I23" s="1539">
        <f>+C23</f>
        <v/>
      </c>
      <c r="J23" s="1228" t="n"/>
      <c r="K23" s="1228" t="n"/>
      <c r="L23" s="1228">
        <f>+J23-K23</f>
        <v/>
      </c>
      <c r="M23" s="1510">
        <f>+I23-L23</f>
        <v/>
      </c>
    </row>
    <row r="24" ht="15.75" customHeight="1">
      <c r="A24" s="161" t="inlineStr">
        <is>
          <t>3281</t>
        </is>
      </c>
      <c r="B24" s="1220" t="inlineStr">
        <is>
          <t>ATM CHARGES</t>
        </is>
      </c>
      <c r="C24" s="1539">
        <f>+'ODHAV '!C24+RAKHIAL!C24+CHANGODAR!C24+'NEW SHARDA'!C24+ISANPUR!C24+MANINAGAR!C24+'SHANTI COMM'!C24+MASKATI!C24+VEJALPUR!C24+'JODHPUR-SATELLITE'!C24+PANJRAPOLE!C24+'ASHRAM ROAD'!C24+NARAYANNAGAR!C24+NARANPURA!C24+'DRIVE IN'!C24+'VASANA '!C24+SURAT!C24+'LAW GARDEN'!C24+'NEW CLOTH'!C24+BAPUNAGAR!C24+BOPAL!C24+THALTEJ!C24+CHANDKHEDA!C24+VASTRAL!C24</f>
        <v/>
      </c>
      <c r="D24" s="1497">
        <f>+C24*9%</f>
        <v/>
      </c>
      <c r="E24" s="1497">
        <f>+D24</f>
        <v/>
      </c>
      <c r="F24" s="1497">
        <f>IF(D24&gt;0," ",C24*18%)</f>
        <v/>
      </c>
      <c r="G24" s="1539">
        <f>+'ODHAV '!G24+RAKHIAL!G24+CHANGODAR!G25+'NEW SHARDA'!G24+ISANPUR!G24+MANINAGAR!G24+'SHANTI COMM'!G24+MASKATI!G24+VEJALPUR!G24+'JODHPUR-SATELLITE'!G24+PANJRAPOLE!G24+'ASHRAM ROAD'!G24+NARAYANNAGAR!G24+NARANPURA!G24+'DRIVE IN'!G24+'VASANA '!G24+SURAT!G24+'LAW GARDEN'!G24+'NEW CLOTH'!G24+BAPUNAGAR!G24+BOPAL!G24+THALTEJ!G24</f>
        <v/>
      </c>
      <c r="H24" s="1539">
        <f>+'ODHAV '!H24+RAKHIAL!H24+CHANGODAR!H25+'NEW SHARDA'!H24+ISANPUR!H24+MANINAGAR!H24+'SHANTI COMM'!H24+MASKATI!H24+VEJALPUR!H24+'JODHPUR-SATELLITE'!H24+PANJRAPOLE!H24+'ASHRAM ROAD'!H24+NARAYANNAGAR!H24+NARANPURA!H24+'DRIVE IN'!H24+'VASANA '!H24+SURAT!H24+'LAW GARDEN'!H24+'NEW CLOTH'!H24+BAPUNAGAR!H24+BOPAL!H24+THALTEJ!H24</f>
        <v/>
      </c>
      <c r="I24" s="1539">
        <f>+C24</f>
        <v/>
      </c>
      <c r="J24" s="1228" t="n">
        <v>1825</v>
      </c>
      <c r="K24" s="1228" t="n">
        <v>1025</v>
      </c>
      <c r="L24" s="1228">
        <f>+J24-K24</f>
        <v/>
      </c>
      <c r="M24" s="1510">
        <f>+I24-L24</f>
        <v/>
      </c>
    </row>
    <row r="25" ht="15.75" customHeight="1">
      <c r="A25" s="158" t="inlineStr">
        <is>
          <t>3285</t>
        </is>
      </c>
      <c r="B25" s="1220" t="inlineStr">
        <is>
          <t>COMMISION ON RTGS</t>
        </is>
      </c>
      <c r="C25" s="1539">
        <f>+'ODHAV '!C25+RAKHIAL!C25+CHANGODAR!C25+'NEW SHARDA'!C25+ISANPUR!C25+MANINAGAR!C25+'SHANTI COMM'!C25+MASKATI!C25+VEJALPUR!C25+'JODHPUR-SATELLITE'!C25+PANJRAPOLE!C25+'ASHRAM ROAD'!C25+NARAYANNAGAR!C25+NARANPURA!C25+'DRIVE IN'!C25+'VASANA '!C25+SURAT!C25+'LAW GARDEN'!C25+'NEW CLOTH'!C25+BAPUNAGAR!C25+BOPAL!C25+THALTEJ!C25+CHANDKHEDA!C25+VASTRAL!C25</f>
        <v/>
      </c>
      <c r="D25" s="1497">
        <f>+C25*9%</f>
        <v/>
      </c>
      <c r="E25" s="1497">
        <f>+D25</f>
        <v/>
      </c>
      <c r="F25" s="1497" t="n">
        <v>0</v>
      </c>
      <c r="G25" s="1539">
        <f>+'ODHAV '!G26+RAKHIAL!G26+CHANGODAR!G27+'NEW SHARDA'!G26+ISANPUR!G26+MANINAGAR!G26+'SHANTI COMM'!G26+MASKATI!G26+VEJALPUR!G26+'JODHPUR-SATELLITE'!G26+PANJRAPOLE!G26+'ASHRAM ROAD'!G26+NARAYANNAGAR!G26+NARANPURA!G26+'DRIVE IN'!G26+'VASANA '!G26+SURAT!G26+'LAW GARDEN'!G26+'NEW CLOTH'!G26+BAPUNAGAR!G26+BOPAL!G26+THALTEJ!G26</f>
        <v/>
      </c>
      <c r="H25" s="1539">
        <f>+'ODHAV '!H26+RAKHIAL!H26+CHANGODAR!H27+'NEW SHARDA'!H26+ISANPUR!H26+MANINAGAR!H26+'SHANTI COMM'!H26+MASKATI!H26+VEJALPUR!H26+'JODHPUR-SATELLITE'!H26+PANJRAPOLE!H26+'ASHRAM ROAD'!H26+NARAYANNAGAR!H26+NARANPURA!H26+'DRIVE IN'!H26+'VASANA '!H26+SURAT!H26+'LAW GARDEN'!H26+'NEW CLOTH'!H26+BAPUNAGAR!H26+BOPAL!H26+THALTEJ!H26</f>
        <v/>
      </c>
      <c r="I25" s="1539">
        <f>+C25</f>
        <v/>
      </c>
      <c r="J25" s="1228" t="n"/>
      <c r="K25" s="1228" t="n"/>
      <c r="L25" s="1228">
        <f>+J25-K25</f>
        <v/>
      </c>
      <c r="M25" s="1510">
        <f>+I25-L25</f>
        <v/>
      </c>
    </row>
    <row r="26" ht="15.75" customHeight="1">
      <c r="A26" s="158" t="inlineStr">
        <is>
          <t>3286</t>
        </is>
      </c>
      <c r="B26" s="1220" t="inlineStr">
        <is>
          <t xml:space="preserve">COMMISION ON PMJJBY LIC </t>
        </is>
      </c>
      <c r="C26" s="1539">
        <f>+'ODHAV '!C26+RAKHIAL!C26+CHANGODAR!C26+'NEW SHARDA'!C26+ISANPUR!C26+MANINAGAR!C26+'SHANTI COMM'!C26+MASKATI!C26+VEJALPUR!C26+'JODHPUR-SATELLITE'!C26+PANJRAPOLE!C26+'ASHRAM ROAD'!C26+NARAYANNAGAR!C26+NARANPURA!C26+'DRIVE IN'!C26+'VASANA '!C26+SURAT!C26+'LAW GARDEN'!C26+'NEW CLOTH'!C26+BAPUNAGAR!C26+BOPAL!C26+THALTEJ!C26+CHANDKHEDA!C26+VASTRAL!C26</f>
        <v/>
      </c>
      <c r="D26" s="1497">
        <f>+C26*9%</f>
        <v/>
      </c>
      <c r="E26" s="1497">
        <f>+D26</f>
        <v/>
      </c>
      <c r="F26" s="1497" t="n"/>
      <c r="G26" s="1539">
        <f>+'ODHAV '!G27+RAKHIAL!G27+CHANGODAR!G28+'NEW SHARDA'!G27+ISANPUR!G27+MANINAGAR!G27+'SHANTI COMM'!G27+MASKATI!G27+VEJALPUR!G27+'JODHPUR-SATELLITE'!G27+PANJRAPOLE!G27+'ASHRAM ROAD'!G27+NARAYANNAGAR!G27+NARANPURA!G27+'DRIVE IN'!G27+'VASANA '!G27+SURAT!G27+'LAW GARDEN'!G27+'NEW CLOTH'!G27+BAPUNAGAR!G27+BOPAL!G27+THALTEJ!G27</f>
        <v/>
      </c>
      <c r="H26" s="1539">
        <f>+'ODHAV '!H27+RAKHIAL!H27+CHANGODAR!H28+'NEW SHARDA'!H27+ISANPUR!H27+MANINAGAR!H27+'SHANTI COMM'!H27+MASKATI!H27+VEJALPUR!H27+'JODHPUR-SATELLITE'!H27+PANJRAPOLE!H27+'ASHRAM ROAD'!H27+NARAYANNAGAR!H27+NARANPURA!H27+'DRIVE IN'!H27+'VASANA '!H27+SURAT!H27+'LAW GARDEN'!H27+'NEW CLOTH'!H27+BAPUNAGAR!H27+BOPAL!H27+THALTEJ!H27</f>
        <v/>
      </c>
      <c r="I26" s="1539">
        <f>+C26</f>
        <v/>
      </c>
      <c r="J26" s="1228" t="n">
        <v>17806.32</v>
      </c>
      <c r="K26" s="1228" t="n">
        <v>17702.1</v>
      </c>
      <c r="L26" s="1228">
        <f>+J26-K26</f>
        <v/>
      </c>
      <c r="M26" s="1604">
        <f>+I26-L26</f>
        <v/>
      </c>
    </row>
    <row r="27" ht="15.75" customHeight="1">
      <c r="A27" s="158" t="inlineStr">
        <is>
          <t>3287</t>
        </is>
      </c>
      <c r="B27" s="1220" t="inlineStr">
        <is>
          <t>COMM. ON PMSBY NEW INDIA ASSURANCE</t>
        </is>
      </c>
      <c r="C27" s="1539">
        <f>+'ODHAV '!C27+RAKHIAL!C27+CHANGODAR!C27+'NEW SHARDA'!C27+ISANPUR!C27+MANINAGAR!C27+'SHANTI COMM'!C27+MASKATI!C27+VEJALPUR!C27+'JODHPUR-SATELLITE'!C27+PANJRAPOLE!C27+'ASHRAM ROAD'!C27+NARAYANNAGAR!C27+NARANPURA!C27+'DRIVE IN'!C27+'VASANA '!C27+SURAT!C27+'LAW GARDEN'!C27+'NEW CLOTH'!C27+BAPUNAGAR!C27+BOPAL!C27+THALTEJ!C27+CHANDKHEDA!C27+VASTRAL!C27</f>
        <v/>
      </c>
      <c r="D27" s="1497">
        <f>+C27*9%</f>
        <v/>
      </c>
      <c r="E27" s="1497">
        <f>+D27</f>
        <v/>
      </c>
      <c r="F27" s="1497">
        <f>IF(D27&gt;0," ",C27*18%)</f>
        <v/>
      </c>
      <c r="G27" s="1539">
        <f>+'ODHAV '!G28+RAKHIAL!G28+CHANGODAR!G29+'NEW SHARDA'!G28+ISANPUR!G28+MANINAGAR!G28+'SHANTI COMM'!G28+MASKATI!G28+VEJALPUR!G28+'JODHPUR-SATELLITE'!G28+PANJRAPOLE!G28+'ASHRAM ROAD'!G28+NARAYANNAGAR!G28+NARANPURA!G28+'DRIVE IN'!G28+'VASANA '!G28+SURAT!G28+'LAW GARDEN'!G28+'NEW CLOTH'!G28+BAPUNAGAR!G28+BOPAL!G28+THALTEJ!G28</f>
        <v/>
      </c>
      <c r="H27" s="1539">
        <f>+'ODHAV '!H28+RAKHIAL!H28+CHANGODAR!H29+'NEW SHARDA'!H28+ISANPUR!H28+MANINAGAR!H28+'SHANTI COMM'!H28+MASKATI!H28+VEJALPUR!H28+'JODHPUR-SATELLITE'!H28+PANJRAPOLE!H28+'ASHRAM ROAD'!H28+NARAYANNAGAR!H28+NARANPURA!H28+'DRIVE IN'!H28+'VASANA '!H28+SURAT!H28+'LAW GARDEN'!H28+'NEW CLOTH'!H28+BAPUNAGAR!H28+BOPAL!H28+THALTEJ!H28</f>
        <v/>
      </c>
      <c r="I27" s="1539">
        <f>+C27</f>
        <v/>
      </c>
      <c r="J27" s="1228" t="n"/>
      <c r="K27" s="1228" t="n"/>
      <c r="L27" s="1228">
        <f>+J27-K27</f>
        <v/>
      </c>
      <c r="M27" s="1604">
        <f>+I27-L27</f>
        <v/>
      </c>
    </row>
    <row r="28" ht="15.75" customHeight="1">
      <c r="A28" s="158" t="n">
        <v>3291</v>
      </c>
      <c r="B28" s="33" t="inlineStr">
        <is>
          <t>CIBIL CHARGES</t>
        </is>
      </c>
      <c r="C28" s="1539">
        <f>+'ODHAV '!C28+RAKHIAL!C28+CHANGODAR!C28+'NEW SHARDA'!C28+ISANPUR!C28+MANINAGAR!C28+'SHANTI COMM'!C28+MASKATI!C28+VEJALPUR!C28+'JODHPUR-SATELLITE'!C28+PANJRAPOLE!C28+'ASHRAM ROAD'!C28+NARAYANNAGAR!C28+NARANPURA!C28+'DRIVE IN'!C28+'VASANA '!C28+SURAT!C28+'LAW GARDEN'!C28+'NEW CLOTH'!C28+BAPUNAGAR!C28+BOPAL!C28+THALTEJ!C28+CHANDKHEDA!C28+VASTRAL!C28</f>
        <v/>
      </c>
      <c r="D28" s="1497">
        <f>+C28*9%</f>
        <v/>
      </c>
      <c r="E28" s="1497">
        <f>+D28</f>
        <v/>
      </c>
      <c r="F28" s="1497" t="n"/>
      <c r="G28" s="1539">
        <f>+'ODHAV '!G29+RAKHIAL!G29+CHANGODAR!G30+'NEW SHARDA'!G29+ISANPUR!G29+MANINAGAR!G29+'SHANTI COMM'!G29+MASKATI!G29+VEJALPUR!G29+'JODHPUR-SATELLITE'!G29+PANJRAPOLE!G29+'ASHRAM ROAD'!G29+NARAYANNAGAR!G29+NARANPURA!G29+'DRIVE IN'!G29+'VASANA '!G29+SURAT!G29+'LAW GARDEN'!G29+'NEW CLOTH'!G29+BAPUNAGAR!G29+BOPAL!G29+THALTEJ!G29</f>
        <v/>
      </c>
      <c r="H28" s="1539">
        <f>+'ODHAV '!H29+RAKHIAL!H29+CHANGODAR!H30+'NEW SHARDA'!H29+ISANPUR!H29+MANINAGAR!H29+'SHANTI COMM'!H29+MASKATI!H29+VEJALPUR!H29+'JODHPUR-SATELLITE'!H29+PANJRAPOLE!H29+'ASHRAM ROAD'!H29+NARAYANNAGAR!H29+NARANPURA!H29+'DRIVE IN'!H29+'VASANA '!H29+SURAT!H29+'LAW GARDEN'!H29+'NEW CLOTH'!H29+BAPUNAGAR!H29+BOPAL!H29+THALTEJ!H29</f>
        <v/>
      </c>
      <c r="I28" s="1539">
        <f>+C28</f>
        <v/>
      </c>
      <c r="J28" s="1228" t="n"/>
      <c r="K28" s="1228" t="n"/>
      <c r="L28" s="1228">
        <f>+J28-K28</f>
        <v/>
      </c>
      <c r="M28" s="1510">
        <f>+I28-L28</f>
        <v/>
      </c>
    </row>
    <row r="29" ht="15.75" customHeight="1">
      <c r="A29" s="137" t="inlineStr">
        <is>
          <t>3296</t>
        </is>
      </c>
      <c r="B29" s="33" t="inlineStr">
        <is>
          <t>RTGS/NEFT MANUAL CHARGES</t>
        </is>
      </c>
      <c r="C29" s="1539">
        <f>+'ODHAV '!C29+RAKHIAL!C29+CHANGODAR!C29+'NEW SHARDA'!C29+ISANPUR!C29+MANINAGAR!C29+'SHANTI COMM'!C29+MASKATI!C29+VEJALPUR!C29+'JODHPUR-SATELLITE'!C29+PANJRAPOLE!C29+'ASHRAM ROAD'!C29+NARAYANNAGAR!C29+NARANPURA!C29+'DRIVE IN'!C29+'VASANA '!C29+SURAT!C29+'LAW GARDEN'!C29+'NEW CLOTH'!C29+BAPUNAGAR!C29+BOPAL!C29+THALTEJ!C29+CHANDKHEDA!C29+VASTRAL!C29</f>
        <v/>
      </c>
      <c r="D29" s="1497">
        <f>+C29*9%</f>
        <v/>
      </c>
      <c r="E29" s="1497">
        <f>+D29</f>
        <v/>
      </c>
      <c r="F29" s="1497">
        <f>IF(D29&gt;0," ",C29*18%)</f>
        <v/>
      </c>
      <c r="G29" s="1539">
        <f>+'ODHAV '!G30+RAKHIAL!G30+CHANGODAR!G31+'NEW SHARDA'!G30+ISANPUR!G30+MANINAGAR!G30+'SHANTI COMM'!G30+MASKATI!G30+VEJALPUR!G30+'JODHPUR-SATELLITE'!G30+PANJRAPOLE!G30+'ASHRAM ROAD'!G30+NARAYANNAGAR!G30+NARANPURA!G30+'DRIVE IN'!G30+'VASANA '!G30+SURAT!G30+'LAW GARDEN'!G30+'NEW CLOTH'!G30+BAPUNAGAR!G30+BOPAL!G30+THALTEJ!G30</f>
        <v/>
      </c>
      <c r="H29" s="1539">
        <f>+'ODHAV '!H30+RAKHIAL!H30+CHANGODAR!H31+'NEW SHARDA'!H30+ISANPUR!H30+MANINAGAR!H30+'SHANTI COMM'!H30+MASKATI!H30+VEJALPUR!H30+'JODHPUR-SATELLITE'!H30+PANJRAPOLE!H30+'ASHRAM ROAD'!H30+NARAYANNAGAR!H30+NARANPURA!H30+'DRIVE IN'!H30+'VASANA '!H30+SURAT!H30+'LAW GARDEN'!H30+'NEW CLOTH'!H30+BAPUNAGAR!H30+BOPAL!H30+THALTEJ!H30</f>
        <v/>
      </c>
      <c r="I29" s="1539">
        <f>+C29</f>
        <v/>
      </c>
      <c r="J29" s="1228" t="n">
        <v>133202.5</v>
      </c>
      <c r="K29" s="1228" t="n">
        <v>104282.5</v>
      </c>
      <c r="L29" s="1228">
        <f>+J29-K29</f>
        <v/>
      </c>
      <c r="M29" s="1510">
        <f>+I29-L29</f>
        <v/>
      </c>
    </row>
    <row r="30" ht="15.75" customHeight="1">
      <c r="A30" s="137" t="inlineStr">
        <is>
          <t>3297</t>
        </is>
      </c>
      <c r="B30" s="33" t="inlineStr">
        <is>
          <t>ASBA FORM PRINT CHARGES</t>
        </is>
      </c>
      <c r="C30" s="1539">
        <f>+'ODHAV '!C30+RAKHIAL!C30+CHANGODAR!C30+'NEW SHARDA'!C30+ISANPUR!C30+MANINAGAR!C30+'SHANTI COMM'!C30+MASKATI!C30+VEJALPUR!C30+'JODHPUR-SATELLITE'!C30+PANJRAPOLE!C30+'ASHRAM ROAD'!C30+NARAYANNAGAR!C30+NARANPURA!C30+'DRIVE IN'!C30+'VASANA '!C30+SURAT!C30+'LAW GARDEN'!C30+'NEW CLOTH'!C30+BAPUNAGAR!C30+BOPAL!C30+THALTEJ!C30+CHANDKHEDA!C30+VASTRAL!C30</f>
        <v/>
      </c>
      <c r="D30" s="1497">
        <f>+C30*9%</f>
        <v/>
      </c>
      <c r="E30" s="1497">
        <f>+D30</f>
        <v/>
      </c>
      <c r="F30" s="1497">
        <f>IF(D30&gt;0," ",C30*18%)</f>
        <v/>
      </c>
      <c r="G30" s="1539">
        <f>+'ODHAV '!G31+RAKHIAL!G31+CHANGODAR!G32+'NEW SHARDA'!G31+ISANPUR!G31+MANINAGAR!G31+'SHANTI COMM'!G31+MASKATI!G31+VEJALPUR!G31+'JODHPUR-SATELLITE'!G31+PANJRAPOLE!G31+'ASHRAM ROAD'!G31+NARAYANNAGAR!G31+NARANPURA!G31+'DRIVE IN'!G31+'VASANA '!G31+SURAT!G31+'LAW GARDEN'!G31+'NEW CLOTH'!G31+BAPUNAGAR!G31+BOPAL!G31+THALTEJ!G31</f>
        <v/>
      </c>
      <c r="H30" s="1539">
        <f>+'ODHAV '!H31+RAKHIAL!H31+CHANGODAR!H32+'NEW SHARDA'!H31+ISANPUR!H31+MANINAGAR!H31+'SHANTI COMM'!H31+MASKATI!H31+VEJALPUR!H31+'JODHPUR-SATELLITE'!H31+PANJRAPOLE!H31+'ASHRAM ROAD'!H31+NARAYANNAGAR!H31+NARANPURA!H31+'DRIVE IN'!H31+'VASANA '!H31+SURAT!H31+'LAW GARDEN'!H31+'NEW CLOTH'!H31+BAPUNAGAR!H31+BOPAL!H31+THALTEJ!H31</f>
        <v/>
      </c>
      <c r="I30" s="1539">
        <f>+C30</f>
        <v/>
      </c>
      <c r="J30" s="1228" t="n">
        <v>167800</v>
      </c>
      <c r="K30" s="1228" t="n">
        <v>54200</v>
      </c>
      <c r="L30" s="1228">
        <f>+J30-K30</f>
        <v/>
      </c>
      <c r="M30" s="1510">
        <f>+I30-L30</f>
        <v/>
      </c>
    </row>
    <row r="31" ht="15.75" customHeight="1">
      <c r="A31" s="137" t="inlineStr">
        <is>
          <t>3298</t>
        </is>
      </c>
      <c r="B31" s="33" t="inlineStr">
        <is>
          <t>MANDATE HANDLING CHARGES</t>
        </is>
      </c>
      <c r="C31" s="1539">
        <f>+'ODHAV '!C31+RAKHIAL!C31+CHANGODAR!C31+'NEW SHARDA'!C31+ISANPUR!C31+MANINAGAR!C31+'SHANTI COMM'!C31+MASKATI!C31+VEJALPUR!C31+'JODHPUR-SATELLITE'!C31+PANJRAPOLE!C31+'ASHRAM ROAD'!C31+NARAYANNAGAR!C31+NARANPURA!C31+'DRIVE IN'!C31+'VASANA '!C31+SURAT!C31+'LAW GARDEN'!C31+'NEW CLOTH'!C31+BAPUNAGAR!C31+BOPAL!C31+THALTEJ!C31+CHANDKHEDA!C31+VASTRAL!C31</f>
        <v/>
      </c>
      <c r="D31" s="1497">
        <f>+C31*9%</f>
        <v/>
      </c>
      <c r="E31" s="1497">
        <f>+D31</f>
        <v/>
      </c>
      <c r="F31" s="1497">
        <f>IF(D31&gt;0," ",C31*18%)</f>
        <v/>
      </c>
      <c r="G31" s="1539">
        <f>+'ODHAV '!G32+RAKHIAL!G32+CHANGODAR!G33+'NEW SHARDA'!G32+ISANPUR!G32+MANINAGAR!G32+'SHANTI COMM'!G32+MASKATI!G32+VEJALPUR!G32+'JODHPUR-SATELLITE'!G32+PANJRAPOLE!G32+'ASHRAM ROAD'!G32+NARAYANNAGAR!G32+NARANPURA!G32+'DRIVE IN'!G32+'VASANA '!G32+SURAT!G32+'LAW GARDEN'!G32+'NEW CLOTH'!G32+BAPUNAGAR!G32+BOPAL!G32+THALTEJ!G32</f>
        <v/>
      </c>
      <c r="H31" s="1539">
        <f>+'ODHAV '!H32+RAKHIAL!H32+CHANGODAR!H33+'NEW SHARDA'!H32+ISANPUR!H32+MANINAGAR!H32+'SHANTI COMM'!H32+MASKATI!H32+VEJALPUR!H32+'JODHPUR-SATELLITE'!H32+PANJRAPOLE!H32+'ASHRAM ROAD'!H32+NARAYANNAGAR!H32+NARANPURA!H32+'DRIVE IN'!H32+'VASANA '!H32+SURAT!H32+'LAW GARDEN'!H32+'NEW CLOTH'!H32+BAPUNAGAR!H32+BOPAL!H32+THALTEJ!H32</f>
        <v/>
      </c>
      <c r="I31" s="1539">
        <f>+C31</f>
        <v/>
      </c>
      <c r="J31" s="1228" t="n">
        <v>62850</v>
      </c>
      <c r="K31" s="1228" t="n">
        <v>49550</v>
      </c>
      <c r="L31" s="1228">
        <f>+J31-K31</f>
        <v/>
      </c>
      <c r="M31" s="1510">
        <f>+I31-L31</f>
        <v/>
      </c>
    </row>
    <row r="32" ht="15.75" customHeight="1">
      <c r="A32" s="137" t="inlineStr">
        <is>
          <t>3299</t>
        </is>
      </c>
      <c r="B32" s="33" t="inlineStr">
        <is>
          <t>SI  EXECUTION  FAILED CHARGES</t>
        </is>
      </c>
      <c r="C32" s="1539">
        <f>+'ODHAV '!C32+RAKHIAL!C32+CHANGODAR!C32+'NEW SHARDA'!C32+ISANPUR!C32+MANINAGAR!C32+'SHANTI COMM'!C32+MASKATI!C32+VEJALPUR!C32+'JODHPUR-SATELLITE'!C32+PANJRAPOLE!C32+'ASHRAM ROAD'!C32+NARAYANNAGAR!C32+NARANPURA!C32+'DRIVE IN'!C32+'VASANA '!C32+SURAT!C32+'LAW GARDEN'!C32+'NEW CLOTH'!C32+BAPUNAGAR!C32+BOPAL!C32+THALTEJ!C32+CHANDKHEDA!C32+VASTRAL!C32</f>
        <v/>
      </c>
      <c r="D32" s="1497">
        <f>+C32*9%</f>
        <v/>
      </c>
      <c r="E32" s="1497">
        <f>+D32</f>
        <v/>
      </c>
      <c r="F32" s="1497">
        <f>IF(D32&gt;0," ",C32*18%)</f>
        <v/>
      </c>
      <c r="G32" s="1539">
        <f>+'ODHAV '!G33+RAKHIAL!G33+CHANGODAR!G34+'NEW SHARDA'!G33+ISANPUR!G33+MANINAGAR!G33+'SHANTI COMM'!G33+MASKATI!G33+VEJALPUR!G33+'JODHPUR-SATELLITE'!G33+PANJRAPOLE!G33+'ASHRAM ROAD'!G33+NARAYANNAGAR!G33+NARANPURA!G33+'DRIVE IN'!G33+'VASANA '!G33+SURAT!G33+'LAW GARDEN'!G33+'NEW CLOTH'!G33+BAPUNAGAR!G33+BOPAL!G33+THALTEJ!G33</f>
        <v/>
      </c>
      <c r="H32" s="1539">
        <f>+'ODHAV '!H33+RAKHIAL!H33+CHANGODAR!H34+'NEW SHARDA'!H33+ISANPUR!H33+MANINAGAR!H33+'SHANTI COMM'!H33+MASKATI!H33+VEJALPUR!H33+'JODHPUR-SATELLITE'!H33+PANJRAPOLE!H33+'ASHRAM ROAD'!H33+NARAYANNAGAR!H33+NARANPURA!H33+'DRIVE IN'!H33+'VASANA '!H33+SURAT!H33+'LAW GARDEN'!H33+'NEW CLOTH'!H33+BAPUNAGAR!H33+BOPAL!H33+THALTEJ!H33</f>
        <v/>
      </c>
      <c r="I32" s="1539">
        <f>+C32</f>
        <v/>
      </c>
      <c r="J32" s="1228" t="n">
        <v>1200</v>
      </c>
      <c r="K32" s="1228" t="n">
        <v>1050</v>
      </c>
      <c r="L32" s="1228">
        <f>+J32-K32</f>
        <v/>
      </c>
      <c r="M32" s="1510">
        <f>+I32-L32</f>
        <v/>
      </c>
    </row>
    <row r="33" ht="15.75" customHeight="1">
      <c r="A33" s="1080" t="inlineStr">
        <is>
          <t>3300</t>
        </is>
      </c>
      <c r="B33" s="1220" t="inlineStr">
        <is>
          <t>INCIDENTAL CHARGES</t>
        </is>
      </c>
      <c r="C33" s="1539">
        <f>+'ODHAV '!C33+RAKHIAL!C33+CHANGODAR!C33+'NEW SHARDA'!C33+ISANPUR!C33+MANINAGAR!C33+'SHANTI COMM'!C33+MASKATI!C33+VEJALPUR!C33+'JODHPUR-SATELLITE'!C33+PANJRAPOLE!C33+'ASHRAM ROAD'!C33+NARAYANNAGAR!C33+NARANPURA!C33+'DRIVE IN'!C33+'VASANA '!C33+SURAT!C33+'LAW GARDEN'!C33+'NEW CLOTH'!C33+BAPUNAGAR!C33+BOPAL!C33+THALTEJ!C33+CHANDKHEDA!C33+VASTRAL!C33</f>
        <v/>
      </c>
      <c r="D33" s="1497">
        <f>+C33*9%</f>
        <v/>
      </c>
      <c r="E33" s="1497">
        <f>+D33</f>
        <v/>
      </c>
      <c r="F33" s="1497" t="n"/>
      <c r="G33" s="1539">
        <f>+'ODHAV '!G34+RAKHIAL!G34+CHANGODAR!G35+'NEW SHARDA'!G34+ISANPUR!G34+MANINAGAR!G34+'SHANTI COMM'!G34+MASKATI!G34+VEJALPUR!G34+'JODHPUR-SATELLITE'!G34+PANJRAPOLE!G34+'ASHRAM ROAD'!G34+NARAYANNAGAR!G34+NARANPURA!G34+'DRIVE IN'!G34+'VASANA '!G34+SURAT!G34+'LAW GARDEN'!G34+'NEW CLOTH'!G34+BAPUNAGAR!G34+BOPAL!G34+THALTEJ!G34</f>
        <v/>
      </c>
      <c r="H33" s="1539">
        <f>+'ODHAV '!H34+RAKHIAL!H34+CHANGODAR!H35+'NEW SHARDA'!H34+ISANPUR!H34+MANINAGAR!H34+'SHANTI COMM'!H34+MASKATI!H34+VEJALPUR!H34+'JODHPUR-SATELLITE'!H34+PANJRAPOLE!H34+'ASHRAM ROAD'!H34+NARAYANNAGAR!H34+NARANPURA!H34+'DRIVE IN'!H34+'VASANA '!H34+SURAT!H34+'LAW GARDEN'!H34+'NEW CLOTH'!H34+BAPUNAGAR!H34+BOPAL!H34+THALTEJ!H34</f>
        <v/>
      </c>
      <c r="I33" s="1539">
        <f>+C33</f>
        <v/>
      </c>
      <c r="J33" s="1228" t="n">
        <v>97267.10000000001</v>
      </c>
      <c r="K33" s="1228" t="n">
        <v>79581.92</v>
      </c>
      <c r="L33" s="1228">
        <f>+J33-K33</f>
        <v/>
      </c>
      <c r="M33" s="1510">
        <f>+I33-L33</f>
        <v/>
      </c>
      <c r="N33" s="1084" t="inlineStr">
        <is>
          <t xml:space="preserve"> </t>
        </is>
      </c>
    </row>
    <row r="34" ht="15.75" customHeight="1">
      <c r="A34" s="1080" t="n">
        <v>3301</v>
      </c>
      <c r="B34" s="1220" t="inlineStr">
        <is>
          <t>INOPERATIVE CHARGES</t>
        </is>
      </c>
      <c r="C34" s="1539">
        <f>+'ODHAV '!C34+RAKHIAL!C34+CHANGODAR!C34+'NEW SHARDA'!C34+ISANPUR!C34+MANINAGAR!C34+'SHANTI COMM'!C34+MASKATI!C34+VEJALPUR!C34+'JODHPUR-SATELLITE'!C34+PANJRAPOLE!C34+'ASHRAM ROAD'!C34+NARAYANNAGAR!C34+NARANPURA!C34+'DRIVE IN'!C34+'VASANA '!C34+SURAT!C34+'LAW GARDEN'!C34+'NEW CLOTH'!C34+BAPUNAGAR!C34+BOPAL!C34+THALTEJ!C34+CHANDKHEDA!C34+VASTRAL!C34</f>
        <v/>
      </c>
      <c r="D34" s="1497">
        <f>+C34*9%</f>
        <v/>
      </c>
      <c r="E34" s="1497">
        <f>+D34</f>
        <v/>
      </c>
      <c r="F34" s="1497" t="n"/>
      <c r="G34" s="1539">
        <f>+'ODHAV '!G35+RAKHIAL!G35+CHANGODAR!G36+'NEW SHARDA'!G35+ISANPUR!G35+MANINAGAR!G35+'SHANTI COMM'!G35+MASKATI!G35+VEJALPUR!G35+'JODHPUR-SATELLITE'!G35+PANJRAPOLE!G35+'ASHRAM ROAD'!G35+NARAYANNAGAR!G35+NARANPURA!G35+'DRIVE IN'!G35+'VASANA '!G35+SURAT!G35+'LAW GARDEN'!G35+'NEW CLOTH'!G35+BAPUNAGAR!G35+BOPAL!G35+THALTEJ!G35</f>
        <v/>
      </c>
      <c r="H34" s="1539">
        <f>+'ODHAV '!H35+RAKHIAL!H35+CHANGODAR!H36+'NEW SHARDA'!H35+ISANPUR!H35+MANINAGAR!H35+'SHANTI COMM'!H35+MASKATI!H35+VEJALPUR!H35+'JODHPUR-SATELLITE'!H35+PANJRAPOLE!H35+'ASHRAM ROAD'!H35+NARAYANNAGAR!H35+NARANPURA!H35+'DRIVE IN'!H35+'VASANA '!H35+SURAT!H35+'LAW GARDEN'!H35+'NEW CLOTH'!H35+BAPUNAGAR!H35+BOPAL!H35+THALTEJ!H35</f>
        <v/>
      </c>
      <c r="I34" s="1539">
        <f>+C34</f>
        <v/>
      </c>
      <c r="J34" s="1228" t="n"/>
      <c r="K34" s="1228" t="n"/>
      <c r="L34" s="1228">
        <f>+J34-K34</f>
        <v/>
      </c>
      <c r="M34" s="1510">
        <f>+I34-L34</f>
        <v/>
      </c>
    </row>
    <row r="35" ht="15.75" customHeight="1">
      <c r="A35" s="1080" t="n">
        <v>3302</v>
      </c>
      <c r="B35" s="1220" t="inlineStr">
        <is>
          <t>PO CANCEL CHARGES</t>
        </is>
      </c>
      <c r="C35" s="1539">
        <f>+'ODHAV '!C35+RAKHIAL!C35+CHANGODAR!C35+'NEW SHARDA'!C35+ISANPUR!C35+MANINAGAR!C35+'SHANTI COMM'!C35+MASKATI!C35+VEJALPUR!C35+'JODHPUR-SATELLITE'!C35+PANJRAPOLE!C35+'ASHRAM ROAD'!C35+NARAYANNAGAR!C35+NARANPURA!C35+'DRIVE IN'!C35+'VASANA '!C35+SURAT!C35+'LAW GARDEN'!C35+'NEW CLOTH'!C35+BAPUNAGAR!C35+BOPAL!C35+THALTEJ!C35+CHANDKHEDA!C35+VASTRAL!C35</f>
        <v/>
      </c>
      <c r="D35" s="1497">
        <f>+C35*9%</f>
        <v/>
      </c>
      <c r="E35" s="1497">
        <f>+D35</f>
        <v/>
      </c>
      <c r="F35" s="1539">
        <f>+'ODHAV '!F35</f>
        <v/>
      </c>
      <c r="G35" s="1539">
        <f>+'ODHAV '!G36+RAKHIAL!G36+CHANGODAR!G37+'NEW SHARDA'!G36+ISANPUR!G36+MANINAGAR!G36+'SHANTI COMM'!G36+MASKATI!G36+VEJALPUR!G36+'JODHPUR-SATELLITE'!G36+PANJRAPOLE!G36+'ASHRAM ROAD'!G36+NARAYANNAGAR!G36+NARANPURA!G36+'DRIVE IN'!G36+'VASANA '!G36+SURAT!G36+'LAW GARDEN'!G36+'NEW CLOTH'!G36+BAPUNAGAR!G36+BOPAL!G36+THALTEJ!G36</f>
        <v/>
      </c>
      <c r="H35" s="1539">
        <f>+'ODHAV '!H36+RAKHIAL!H36+CHANGODAR!H37+'NEW SHARDA'!H36+ISANPUR!H36+MANINAGAR!H36+'SHANTI COMM'!H36+MASKATI!H36+VEJALPUR!H36+'JODHPUR-SATELLITE'!H36+PANJRAPOLE!H36+'ASHRAM ROAD'!H36+NARAYANNAGAR!H36+NARANPURA!H36+'DRIVE IN'!H36+'VASANA '!H36+SURAT!H36+'LAW GARDEN'!H36+'NEW CLOTH'!H36+BAPUNAGAR!H36+BOPAL!H36+THALTEJ!H36</f>
        <v/>
      </c>
      <c r="I35" s="1539">
        <f>+C35</f>
        <v/>
      </c>
      <c r="J35" s="1228" t="n">
        <v>160</v>
      </c>
      <c r="K35" s="1228" t="n">
        <v>160</v>
      </c>
      <c r="L35" s="1228">
        <f>+J35-K35</f>
        <v/>
      </c>
      <c r="M35" s="1601">
        <f>+I35-L35</f>
        <v/>
      </c>
    </row>
    <row r="36" ht="15.75" customHeight="1">
      <c r="A36" s="161" t="inlineStr">
        <is>
          <t>3305</t>
        </is>
      </c>
      <c r="B36" s="1220" t="inlineStr">
        <is>
          <t>A/C SHARE TRANSFER FEES</t>
        </is>
      </c>
      <c r="C36" s="1539">
        <f>+'ODHAV '!C36+RAKHIAL!C36+CHANGODAR!C36+'NEW SHARDA'!C36+ISANPUR!C36+MANINAGAR!C36+'SHANTI COMM'!C36+MASKATI!C36+VEJALPUR!C36+'JODHPUR-SATELLITE'!C36+PANJRAPOLE!C36+'ASHRAM ROAD'!C36+NARAYANNAGAR!C36+NARANPURA!C36+'DRIVE IN'!C36+'VASANA '!C36+SURAT!C36+'LAW GARDEN'!C36+'NEW CLOTH'!C36+BAPUNAGAR!C36+BOPAL!C36+THALTEJ!C36+CHANDKHEDA!C36+VASTRAL!C36</f>
        <v/>
      </c>
      <c r="D36" s="1497">
        <f>+C36*9%</f>
        <v/>
      </c>
      <c r="E36" s="1497">
        <f>+D36</f>
        <v/>
      </c>
      <c r="F36" s="1497">
        <f>IF(D36&gt;0," ",C36*18%)</f>
        <v/>
      </c>
      <c r="G36" s="1539">
        <f>+'ODHAV '!G37+RAKHIAL!G37+CHANGODAR!G38+'NEW SHARDA'!G37+ISANPUR!G37+MANINAGAR!G37+'SHANTI COMM'!G37+MASKATI!G37+VEJALPUR!G37+'JODHPUR-SATELLITE'!G37+PANJRAPOLE!G37+'ASHRAM ROAD'!G37+NARAYANNAGAR!G37+NARANPURA!G37+'DRIVE IN'!G37+'VASANA '!G37+SURAT!G37+'LAW GARDEN'!G37+'NEW CLOTH'!G37+BAPUNAGAR!G37+BOPAL!G37+THALTEJ!G37</f>
        <v/>
      </c>
      <c r="H36" s="1539">
        <f>+'ODHAV '!H37+RAKHIAL!H37+CHANGODAR!H38+'NEW SHARDA'!H37+ISANPUR!H37+MANINAGAR!H37+'SHANTI COMM'!H37+MASKATI!H37+VEJALPUR!H37+'JODHPUR-SATELLITE'!H37+PANJRAPOLE!H37+'ASHRAM ROAD'!H37+NARAYANNAGAR!H37+NARANPURA!H37+'DRIVE IN'!H37+'VASANA '!H37+SURAT!H37+'LAW GARDEN'!H37+'NEW CLOTH'!H37+BAPUNAGAR!H37+BOPAL!H37+THALTEJ!H37</f>
        <v/>
      </c>
      <c r="I36" s="1539">
        <f>+C36</f>
        <v/>
      </c>
      <c r="J36" s="1228" t="n">
        <v>22195</v>
      </c>
      <c r="K36" s="1228" t="n">
        <v>19841</v>
      </c>
      <c r="L36" s="1228">
        <f>+J36-K36</f>
        <v/>
      </c>
      <c r="M36" s="1602">
        <f>+I36-L36</f>
        <v/>
      </c>
    </row>
    <row r="37" ht="15.75" customHeight="1">
      <c r="A37" s="158" t="inlineStr">
        <is>
          <t>3309</t>
        </is>
      </c>
      <c r="B37" s="1220" t="inlineStr">
        <is>
          <t>MIS. INCOME WITH GST</t>
        </is>
      </c>
      <c r="C37" s="1539">
        <f>+'ODHAV '!C37+RAKHIAL!C37+CHANGODAR!C37+'NEW SHARDA'!C37+ISANPUR!C37+MANINAGAR!C37+'SHANTI COMM'!C37+MASKATI!C37+VEJALPUR!C37+'JODHPUR-SATELLITE'!C37+PANJRAPOLE!C37+'ASHRAM ROAD'!C37+NARAYANNAGAR!C37+NARANPURA!C37+'DRIVE IN'!C37+'VASANA '!C37+SURAT!C37+'LAW GARDEN'!C37+'NEW CLOTH'!C37+BAPUNAGAR!C37+BOPAL!C37+THALTEJ!C37+CHANDKHEDA!C37+VASTRAL!C37</f>
        <v/>
      </c>
      <c r="D37" s="1497">
        <f>+C37*9%</f>
        <v/>
      </c>
      <c r="E37" s="1497">
        <f>+D37</f>
        <v/>
      </c>
      <c r="F37" s="1497">
        <f>IF(D37&gt;0," ",C37*18%)</f>
        <v/>
      </c>
      <c r="G37" s="1539">
        <f>+'ODHAV '!G38+RAKHIAL!G38+CHANGODAR!G39+'NEW SHARDA'!G38+ISANPUR!G38+MANINAGAR!G38+'SHANTI COMM'!G38+MASKATI!G38+VEJALPUR!G38+'JODHPUR-SATELLITE'!G38+PANJRAPOLE!G38+'ASHRAM ROAD'!G38+NARAYANNAGAR!G38+NARANPURA!G38+'DRIVE IN'!G38+'VASANA '!G38+SURAT!G38+'LAW GARDEN'!G38+'NEW CLOTH'!G38+BAPUNAGAR!G38+BOPAL!G38+THALTEJ!G38</f>
        <v/>
      </c>
      <c r="H37" s="1539">
        <f>+'ODHAV '!H38+RAKHIAL!H38+CHANGODAR!H39+'NEW SHARDA'!H38+ISANPUR!H38+MANINAGAR!H38+'SHANTI COMM'!H38+MASKATI!H38+VEJALPUR!H38+'JODHPUR-SATELLITE'!H38+PANJRAPOLE!H38+'ASHRAM ROAD'!H38+NARAYANNAGAR!H38+NARANPURA!H38+'DRIVE IN'!H38+'VASANA '!H38+SURAT!H38+'LAW GARDEN'!H38+'NEW CLOTH'!H38+BAPUNAGAR!H38+BOPAL!H38+THALTEJ!H38</f>
        <v/>
      </c>
      <c r="I37" s="1539">
        <f>+C37</f>
        <v/>
      </c>
      <c r="J37" s="1228" t="n">
        <v>123909.75</v>
      </c>
      <c r="K37" s="1228" t="n">
        <v>103944.75</v>
      </c>
      <c r="L37" s="1228">
        <f>+J37-K37</f>
        <v/>
      </c>
      <c r="M37" s="1602">
        <f>+I37-L37</f>
        <v/>
      </c>
    </row>
    <row r="38" ht="15.75" customHeight="1">
      <c r="A38" s="1080" t="n">
        <v>3310</v>
      </c>
      <c r="B38" s="1220" t="inlineStr">
        <is>
          <t>MIS. INCOME</t>
        </is>
      </c>
      <c r="C38" s="1539">
        <f>+'ODHAV '!C38+RAKHIAL!C38+CHANGODAR!C38+'NEW SHARDA'!C38+ISANPUR!C38+MANINAGAR!C38+'SHANTI COMM'!C38+MASKATI!C38+VEJALPUR!C38+'JODHPUR-SATELLITE'!C38+PANJRAPOLE!C38+'ASHRAM ROAD'!C38+NARAYANNAGAR!C38+NARANPURA!C38+'DRIVE IN'!C38+'VASANA '!C38+SURAT!C38+'LAW GARDEN'!C38+'NEW CLOTH'!C38+BAPUNAGAR!C38+BOPAL!C38+THALTEJ!C38+CHANDKHEDA!C38+VASTRAL!C38</f>
        <v/>
      </c>
      <c r="D38" s="1497">
        <f>+C38*9%</f>
        <v/>
      </c>
      <c r="E38" s="1497">
        <f>+D38</f>
        <v/>
      </c>
      <c r="F38" s="1497" t="n">
        <v>0</v>
      </c>
      <c r="G38" s="1539">
        <f>+'ODHAV '!G39+RAKHIAL!G39+CHANGODAR!G40+'NEW SHARDA'!G39+ISANPUR!G39+MANINAGAR!G39+'SHANTI COMM'!G39+MASKATI!G39+VEJALPUR!G39+'JODHPUR-SATELLITE'!G39+PANJRAPOLE!G39+'ASHRAM ROAD'!G39+NARAYANNAGAR!G39+NARANPURA!G39+'DRIVE IN'!G39+'VASANA '!G39+SURAT!G39+'LAW GARDEN'!G39+'NEW CLOTH'!G39+BAPUNAGAR!G39+BOPAL!G39+THALTEJ!G39</f>
        <v/>
      </c>
      <c r="H38" s="1539">
        <f>+'ODHAV '!H39+RAKHIAL!H39+CHANGODAR!H40+'NEW SHARDA'!H39+ISANPUR!H39+MANINAGAR!H39+'SHANTI COMM'!H39+MASKATI!H39+VEJALPUR!H39+'JODHPUR-SATELLITE'!H39+PANJRAPOLE!H39+'ASHRAM ROAD'!H39+NARAYANNAGAR!H39+NARANPURA!H39+'DRIVE IN'!H39+'VASANA '!H39+SURAT!H39+'LAW GARDEN'!H39+'NEW CLOTH'!H39+BAPUNAGAR!H39+BOPAL!H39+THALTEJ!H39</f>
        <v/>
      </c>
      <c r="I38" s="1539">
        <f>+C38</f>
        <v/>
      </c>
      <c r="J38" s="1228" t="n">
        <v>731286.41</v>
      </c>
      <c r="K38" s="1228" t="n">
        <v>382498.2</v>
      </c>
      <c r="L38" s="1228">
        <f>+J38-K38</f>
        <v/>
      </c>
      <c r="M38" s="1602">
        <f>+I38-L38</f>
        <v/>
      </c>
    </row>
    <row r="39" ht="15.75" customHeight="1">
      <c r="A39" s="1080" t="inlineStr">
        <is>
          <t>3311</t>
        </is>
      </c>
      <c r="B39" s="1220" t="inlineStr">
        <is>
          <t>I/W CHQ. RET. CHARGES</t>
        </is>
      </c>
      <c r="C39" s="1539">
        <f>+'ODHAV '!C39+RAKHIAL!C39+CHANGODAR!C39+'NEW SHARDA'!C39+ISANPUR!C39+MANINAGAR!C39+'SHANTI COMM'!C39+MASKATI!C39+VEJALPUR!C39+'JODHPUR-SATELLITE'!C39+PANJRAPOLE!C39+'ASHRAM ROAD'!C39+NARAYANNAGAR!C39+NARANPURA!C39+'DRIVE IN'!C39+'VASANA '!C39+SURAT!C39+'LAW GARDEN'!C39+'NEW CLOTH'!C39+BAPUNAGAR!C39+BOPAL!C39+THALTEJ!C39+CHANDKHEDA!C39+VASTRAL!C39</f>
        <v/>
      </c>
      <c r="D39" s="1497">
        <f>+C39*9%</f>
        <v/>
      </c>
      <c r="E39" s="1497">
        <f>+D39</f>
        <v/>
      </c>
      <c r="F39" s="1497" t="n">
        <v>0</v>
      </c>
      <c r="G39" s="1539">
        <f>+'ODHAV '!G40+RAKHIAL!G40+CHANGODAR!G41+'NEW SHARDA'!G40+ISANPUR!G40+MANINAGAR!G40+'SHANTI COMM'!G40+MASKATI!G40+VEJALPUR!G40+'JODHPUR-SATELLITE'!G40+PANJRAPOLE!G40+'ASHRAM ROAD'!G40+NARAYANNAGAR!G40+NARANPURA!G40+'DRIVE IN'!G40+'VASANA '!G40+SURAT!G40+'LAW GARDEN'!G40+'NEW CLOTH'!G40+BAPUNAGAR!G40+BOPAL!G40+THALTEJ!G40</f>
        <v/>
      </c>
      <c r="H39" s="1539">
        <f>+'ODHAV '!H40+RAKHIAL!H40+CHANGODAR!H41+'NEW SHARDA'!H40+ISANPUR!H40+MANINAGAR!H40+'SHANTI COMM'!H40+MASKATI!H40+VEJALPUR!H40+'JODHPUR-SATELLITE'!H40+PANJRAPOLE!H40+'ASHRAM ROAD'!H40+NARAYANNAGAR!H40+NARANPURA!H40+'DRIVE IN'!H40+'VASANA '!H40+SURAT!H40+'LAW GARDEN'!H40+'NEW CLOTH'!H40+BAPUNAGAR!H40+BOPAL!H40+THALTEJ!H40</f>
        <v/>
      </c>
      <c r="I39" s="1539">
        <f>+C39</f>
        <v/>
      </c>
      <c r="J39" s="1228" t="n">
        <v>326150</v>
      </c>
      <c r="K39" s="1228" t="n">
        <v>265050</v>
      </c>
      <c r="L39" s="1228">
        <f>+J39-K39</f>
        <v/>
      </c>
      <c r="M39" s="1510">
        <f>+I39-L39</f>
        <v/>
      </c>
    </row>
    <row r="40" ht="15.75" customHeight="1">
      <c r="A40" s="1080" t="inlineStr">
        <is>
          <t>3312</t>
        </is>
      </c>
      <c r="B40" s="1220" t="inlineStr">
        <is>
          <t>O/W CHQ. RET. CHARGES</t>
        </is>
      </c>
      <c r="C40" s="1539">
        <f>+'ODHAV '!C40+RAKHIAL!C40+CHANGODAR!C40+'NEW SHARDA'!C40+ISANPUR!C40+MANINAGAR!C40+'SHANTI COMM'!C40+MASKATI!C40+VEJALPUR!C40+'JODHPUR-SATELLITE'!C40+PANJRAPOLE!C40+'ASHRAM ROAD'!C40+NARAYANNAGAR!C40+NARANPURA!C40+'DRIVE IN'!C40+'VASANA '!C40+SURAT!C40+'LAW GARDEN'!C40+'NEW CLOTH'!C40+BAPUNAGAR!C40+BOPAL!C40+THALTEJ!C40+CHANDKHEDA!C40+VASTRAL!C40</f>
        <v/>
      </c>
      <c r="D40" s="1497">
        <f>+C40*9%</f>
        <v/>
      </c>
      <c r="E40" s="1497">
        <f>+D40</f>
        <v/>
      </c>
      <c r="F40" s="1497" t="n">
        <v>0</v>
      </c>
      <c r="G40" s="1539">
        <f>+'ODHAV '!G41+RAKHIAL!G41+CHANGODAR!G42+'NEW SHARDA'!G41+ISANPUR!G41+MANINAGAR!G41+'SHANTI COMM'!G41+MASKATI!G41+VEJALPUR!G41+'JODHPUR-SATELLITE'!G41+PANJRAPOLE!G41+'ASHRAM ROAD'!G41+NARAYANNAGAR!G41+NARANPURA!G41+'DRIVE IN'!G41+'VASANA '!G41+SURAT!G41+'LAW GARDEN'!G41+'NEW CLOTH'!G41+BAPUNAGAR!G41+BOPAL!G41+THALTEJ!G41</f>
        <v/>
      </c>
      <c r="H40" s="1539">
        <f>+'ODHAV '!H41+RAKHIAL!H41+CHANGODAR!H42+'NEW SHARDA'!H41+ISANPUR!H41+MANINAGAR!H41+'SHANTI COMM'!H41+MASKATI!H41+VEJALPUR!H41+'JODHPUR-SATELLITE'!H41+PANJRAPOLE!H41+'ASHRAM ROAD'!H41+NARAYANNAGAR!H41+NARANPURA!H41+'DRIVE IN'!H41+'VASANA '!H41+SURAT!H41+'LAW GARDEN'!H41+'NEW CLOTH'!H41+BAPUNAGAR!H41+BOPAL!H41+THALTEJ!H41</f>
        <v/>
      </c>
      <c r="I40" s="1539">
        <f>+C40</f>
        <v/>
      </c>
      <c r="J40" s="1228" t="n">
        <v>640550</v>
      </c>
      <c r="K40" s="1228" t="n">
        <v>521650</v>
      </c>
      <c r="L40" s="1228">
        <f>+J40-K40</f>
        <v/>
      </c>
      <c r="M40" s="1510">
        <f>+I40-L40</f>
        <v/>
      </c>
    </row>
    <row r="41" ht="15.75" customHeight="1">
      <c r="A41" s="1080" t="inlineStr">
        <is>
          <t>3313</t>
        </is>
      </c>
      <c r="B41" s="1220" t="inlineStr">
        <is>
          <t>ECS RETD. CHARGES</t>
        </is>
      </c>
      <c r="C41" s="1539">
        <f>+'ODHAV '!C41+RAKHIAL!C41+CHANGODAR!C41+'NEW SHARDA'!C41+ISANPUR!C41+MANINAGAR!C41+'SHANTI COMM'!C41+MASKATI!C41+VEJALPUR!C41+'JODHPUR-SATELLITE'!C41+PANJRAPOLE!C41+'ASHRAM ROAD'!C41+NARAYANNAGAR!C41+NARANPURA!C41+'DRIVE IN'!C41+'VASANA '!C41+SURAT!C41+'LAW GARDEN'!C41+'NEW CLOTH'!C41+BAPUNAGAR!C41+BOPAL!C41+THALTEJ!C41+CHANDKHEDA!C41+VASTRAL!C41</f>
        <v/>
      </c>
      <c r="D41" s="1497">
        <f>+C41*9%</f>
        <v/>
      </c>
      <c r="E41" s="1497">
        <f>+D41</f>
        <v/>
      </c>
      <c r="F41" s="1497" t="n">
        <v>0</v>
      </c>
      <c r="G41" s="1539">
        <f>+'ODHAV '!G42+RAKHIAL!G42+CHANGODAR!G43+'NEW SHARDA'!G42+ISANPUR!G42+MANINAGAR!G42+'SHANTI COMM'!G42+MASKATI!G42+VEJALPUR!G42+'JODHPUR-SATELLITE'!G42+PANJRAPOLE!G42+'ASHRAM ROAD'!G42+NARAYANNAGAR!G42+NARANPURA!G42+'DRIVE IN'!G42+'VASANA '!G42+SURAT!G42+'LAW GARDEN'!G42+'NEW CLOTH'!G42+BAPUNAGAR!G42+BOPAL!G42+THALTEJ!G42</f>
        <v/>
      </c>
      <c r="H41" s="1539">
        <f>+'ODHAV '!H42+RAKHIAL!H42+CHANGODAR!H43+'NEW SHARDA'!H42+ISANPUR!H42+MANINAGAR!H42+'SHANTI COMM'!H42+MASKATI!H42+VEJALPUR!H42+'JODHPUR-SATELLITE'!H42+PANJRAPOLE!H42+'ASHRAM ROAD'!H42+NARAYANNAGAR!H42+NARANPURA!H42+'DRIVE IN'!H42+'VASANA '!H42+SURAT!H42+'LAW GARDEN'!H42+'NEW CLOTH'!H42+BAPUNAGAR!H42+BOPAL!H42+THALTEJ!H42</f>
        <v/>
      </c>
      <c r="I41" s="1539">
        <f>+C41</f>
        <v/>
      </c>
      <c r="J41" s="1228" t="n">
        <v>581234.4300000001</v>
      </c>
      <c r="K41" s="1228" t="n">
        <v>466157.67</v>
      </c>
      <c r="L41" s="1228">
        <f>+J41-K41</f>
        <v/>
      </c>
      <c r="M41" s="1510">
        <f>+I41-L41</f>
        <v/>
      </c>
    </row>
    <row r="42" ht="15.75" customHeight="1">
      <c r="A42" s="161" t="inlineStr">
        <is>
          <t>3314</t>
        </is>
      </c>
      <c r="B42" s="1220" t="inlineStr">
        <is>
          <t>CHQ. BOOK ISSUE CHARGES</t>
        </is>
      </c>
      <c r="C42" s="1539">
        <f>+'ODHAV '!C42+RAKHIAL!C42+CHANGODAR!C42+'NEW SHARDA'!C42+ISANPUR!C42+MANINAGAR!C42+'SHANTI COMM'!C42+MASKATI!C42+VEJALPUR!C42+'JODHPUR-SATELLITE'!C42+PANJRAPOLE!C42+'ASHRAM ROAD'!C42+NARAYANNAGAR!C42+NARANPURA!C42+'DRIVE IN'!C42+'VASANA '!C42+SURAT!C42+'LAW GARDEN'!C42+'NEW CLOTH'!C42+BAPUNAGAR!C42+BOPAL!C42+THALTEJ!C42+CHANDKHEDA!C42+VASTRAL!C42</f>
        <v/>
      </c>
      <c r="D42" s="1497">
        <f>+C42*9%</f>
        <v/>
      </c>
      <c r="E42" s="1497">
        <f>+D42</f>
        <v/>
      </c>
      <c r="F42" s="1497" t="n">
        <v>0</v>
      </c>
      <c r="G42" s="1539">
        <f>+'ODHAV '!G43+RAKHIAL!G43+CHANGODAR!G44+'NEW SHARDA'!G43+ISANPUR!G43+MANINAGAR!G43+'SHANTI COMM'!G43+MASKATI!G43+VEJALPUR!G43+'JODHPUR-SATELLITE'!G43+PANJRAPOLE!G43+'ASHRAM ROAD'!G43+NARAYANNAGAR!G43+NARANPURA!G43+'DRIVE IN'!G43+'VASANA '!G43+SURAT!G43+'LAW GARDEN'!G43+'NEW CLOTH'!G43+BAPUNAGAR!G43+BOPAL!G43+THALTEJ!G43</f>
        <v/>
      </c>
      <c r="H42" s="1539">
        <f>+'ODHAV '!H43+RAKHIAL!H43+CHANGODAR!H44+'NEW SHARDA'!H43+ISANPUR!H43+MANINAGAR!H43+'SHANTI COMM'!H43+MASKATI!H43+VEJALPUR!H43+'JODHPUR-SATELLITE'!H43+PANJRAPOLE!H43+'ASHRAM ROAD'!H43+NARAYANNAGAR!H43+NARANPURA!H43+'DRIVE IN'!H43+'VASANA '!H43+SURAT!H43+'LAW GARDEN'!H43+'NEW CLOTH'!H43+BAPUNAGAR!H43+BOPAL!H43+THALTEJ!H43</f>
        <v/>
      </c>
      <c r="I42" s="1539">
        <f>+C42</f>
        <v/>
      </c>
      <c r="J42" s="1228" t="n">
        <v>695220</v>
      </c>
      <c r="K42" s="1228" t="n">
        <v>562740</v>
      </c>
      <c r="L42" s="1228">
        <f>+J42-K42</f>
        <v/>
      </c>
      <c r="M42" s="1510">
        <f>+I42-L42</f>
        <v/>
      </c>
    </row>
    <row r="43" ht="15.75" customHeight="1">
      <c r="A43" s="161" t="inlineStr">
        <is>
          <t>3315</t>
        </is>
      </c>
      <c r="B43" s="1220" t="inlineStr">
        <is>
          <t>CHARGES ON GODOWNS</t>
        </is>
      </c>
      <c r="C43" s="1539">
        <f>+'ODHAV '!C43+RAKHIAL!C43+CHANGODAR!C43+'NEW SHARDA'!C43+ISANPUR!C43+MANINAGAR!C43+'SHANTI COMM'!C43+MASKATI!C43+VEJALPUR!C43+'JODHPUR-SATELLITE'!C43+PANJRAPOLE!C43+'ASHRAM ROAD'!C43+NARAYANNAGAR!C43+NARANPURA!C43+'DRIVE IN'!C43+'VASANA '!C43+SURAT!C43+'LAW GARDEN'!C43+'NEW CLOTH'!C43+BAPUNAGAR!C43+BOPAL!C43+THALTEJ!C43+CHANDKHEDA!C43+VASTRAL!C43</f>
        <v/>
      </c>
      <c r="D43" s="1497">
        <f>+C43*9%</f>
        <v/>
      </c>
      <c r="E43" s="1497">
        <f>+D43</f>
        <v/>
      </c>
      <c r="F43" s="1497" t="n">
        <v>0</v>
      </c>
      <c r="G43" s="1539">
        <f>+'ODHAV '!G44+RAKHIAL!G44+CHANGODAR!G45+'NEW SHARDA'!G44+ISANPUR!G44+MANINAGAR!G44+'SHANTI COMM'!G44+MASKATI!G44+VEJALPUR!G44+'JODHPUR-SATELLITE'!G44+PANJRAPOLE!G44+'ASHRAM ROAD'!G44+NARAYANNAGAR!G44+NARANPURA!G44+'DRIVE IN'!G44+'VASANA '!G44+SURAT!G44+'LAW GARDEN'!G44+'NEW CLOTH'!G44+BAPUNAGAR!G44+BOPAL!G44+THALTEJ!G44</f>
        <v/>
      </c>
      <c r="H43" s="1539">
        <f>+'ODHAV '!H44+RAKHIAL!H44+CHANGODAR!H45+'NEW SHARDA'!H44+ISANPUR!H44+MANINAGAR!H44+'SHANTI COMM'!H44+MASKATI!H44+VEJALPUR!H44+'JODHPUR-SATELLITE'!H44+PANJRAPOLE!H44+'ASHRAM ROAD'!H44+NARAYANNAGAR!H44+NARANPURA!H44+'DRIVE IN'!H44+'VASANA '!H44+SURAT!H44+'LAW GARDEN'!H44+'NEW CLOTH'!H44+BAPUNAGAR!H44+BOPAL!H44+THALTEJ!H44</f>
        <v/>
      </c>
      <c r="I43" s="1539">
        <f>+C43</f>
        <v/>
      </c>
      <c r="J43" s="1228" t="n">
        <v>10550</v>
      </c>
      <c r="K43" s="1228" t="n">
        <v>10300</v>
      </c>
      <c r="L43" s="1228">
        <f>+J43-K43</f>
        <v/>
      </c>
      <c r="M43" s="1510">
        <f>+I43-L43</f>
        <v/>
      </c>
    </row>
    <row r="44" ht="15.75" customHeight="1">
      <c r="A44" s="161" t="inlineStr">
        <is>
          <t>3316</t>
        </is>
      </c>
      <c r="B44" s="1220" t="inlineStr">
        <is>
          <t>CASH CHARGES</t>
        </is>
      </c>
      <c r="C44" s="1539">
        <f>+'ODHAV '!C44+RAKHIAL!C44+CHANGODAR!C44+'NEW SHARDA'!C44+ISANPUR!C44+MANINAGAR!C44+'SHANTI COMM'!C44+MASKATI!C44+VEJALPUR!C44+'JODHPUR-SATELLITE'!C44+PANJRAPOLE!C44+'ASHRAM ROAD'!C44+NARAYANNAGAR!C44+NARANPURA!C44+'DRIVE IN'!C44+'VASANA '!C44+SURAT!C44+'LAW GARDEN'!C44+'NEW CLOTH'!C44+BAPUNAGAR!C44+BOPAL!C44+THALTEJ!C44+CHANDKHEDA!C44+VASTRAL!C44</f>
        <v/>
      </c>
      <c r="D44" s="1497">
        <f>+C44*9%</f>
        <v/>
      </c>
      <c r="E44" s="1497">
        <f>+D44</f>
        <v/>
      </c>
      <c r="F44" s="1497" t="n">
        <v>0</v>
      </c>
      <c r="G44" s="1539">
        <f>+'ODHAV '!G45+RAKHIAL!G45+CHANGODAR!G46+'NEW SHARDA'!G45+ISANPUR!G45+MANINAGAR!G45+'SHANTI COMM'!G45+MASKATI!G45+VEJALPUR!G45+'JODHPUR-SATELLITE'!G45+PANJRAPOLE!G45+'ASHRAM ROAD'!G45+NARAYANNAGAR!G45+NARANPURA!G45+'DRIVE IN'!G45+'VASANA '!G45+SURAT!G45+'LAW GARDEN'!G45+'NEW CLOTH'!G45+BAPUNAGAR!G45+BOPAL!G45+THALTEJ!G45</f>
        <v/>
      </c>
      <c r="H44" s="1539">
        <f>+'ODHAV '!H45+RAKHIAL!H45+CHANGODAR!H46+'NEW SHARDA'!H45+ISANPUR!H45+MANINAGAR!H45+'SHANTI COMM'!H45+MASKATI!H45+VEJALPUR!H45+'JODHPUR-SATELLITE'!H45+PANJRAPOLE!H45+'ASHRAM ROAD'!H45+NARAYANNAGAR!H45+NARANPURA!H45+'DRIVE IN'!H45+'VASANA '!H45+SURAT!H45+'LAW GARDEN'!H45+'NEW CLOTH'!H45+BAPUNAGAR!H45+BOPAL!H45+THALTEJ!H45</f>
        <v/>
      </c>
      <c r="I44" s="1539">
        <f>+C44</f>
        <v/>
      </c>
      <c r="J44" s="1228" t="n">
        <v>236994</v>
      </c>
      <c r="K44" s="1228" t="n">
        <v>189361</v>
      </c>
      <c r="L44" s="1228">
        <f>+J44-K44</f>
        <v/>
      </c>
      <c r="M44" s="1510">
        <f>+I44-L44</f>
        <v/>
      </c>
    </row>
    <row r="45" ht="15.75" customHeight="1">
      <c r="A45" s="161" t="n">
        <v>3317</v>
      </c>
      <c r="B45" s="1220" t="inlineStr">
        <is>
          <t>THE P&amp;T CHARGES FOR LC/BG</t>
        </is>
      </c>
      <c r="C45" s="1539">
        <f>+'ODHAV '!C45+RAKHIAL!C45+CHANGODAR!C45+'NEW SHARDA'!C45+ISANPUR!C45+MANINAGAR!C45+'SHANTI COMM'!C45+MASKATI!C45+VEJALPUR!C45+'JODHPUR-SATELLITE'!C45+PANJRAPOLE!C45+'ASHRAM ROAD'!C45+NARAYANNAGAR!C45+NARANPURA!C45+'DRIVE IN'!C45+'VASANA '!C45+SURAT!C45+'LAW GARDEN'!C45+'NEW CLOTH'!C45+BAPUNAGAR!C45+BOPAL!C45+THALTEJ!C45+CHANDKHEDA!C45+VASTRAL!C45</f>
        <v/>
      </c>
      <c r="D45" s="1497">
        <f>+C45*9%</f>
        <v/>
      </c>
      <c r="E45" s="1497">
        <f>+D45</f>
        <v/>
      </c>
      <c r="F45" s="1497" t="n">
        <v>0</v>
      </c>
      <c r="G45" s="1539">
        <f>+'ODHAV '!G46+RAKHIAL!G46+CHANGODAR!G47+'NEW SHARDA'!G46+ISANPUR!G46+MANINAGAR!G46+'SHANTI COMM'!G46+MASKATI!G46+VEJALPUR!G46+'JODHPUR-SATELLITE'!G46+PANJRAPOLE!G46+'ASHRAM ROAD'!G46+NARAYANNAGAR!G46+NARANPURA!G46+'DRIVE IN'!G46+'VASANA '!G46+SURAT!G46+'LAW GARDEN'!G46+'NEW CLOTH'!G46+BAPUNAGAR!G46+BOPAL!G46+THALTEJ!G46</f>
        <v/>
      </c>
      <c r="H45" s="1539">
        <f>+'ODHAV '!H46+RAKHIAL!H46+CHANGODAR!H47+'NEW SHARDA'!H46+ISANPUR!H46+MANINAGAR!H46+'SHANTI COMM'!H46+MASKATI!H46+VEJALPUR!H46+'JODHPUR-SATELLITE'!H46+PANJRAPOLE!H46+'ASHRAM ROAD'!H46+NARAYANNAGAR!H46+NARANPURA!H46+'DRIVE IN'!H46+'VASANA '!H46+SURAT!H46+'LAW GARDEN'!H46+'NEW CLOTH'!H46+BAPUNAGAR!H46+BOPAL!H46+THALTEJ!H46</f>
        <v/>
      </c>
      <c r="I45" s="1539">
        <f>+C45</f>
        <v/>
      </c>
      <c r="J45" s="1228" t="n"/>
      <c r="K45" s="1228" t="n"/>
      <c r="L45" s="1228">
        <f>+J45-K45</f>
        <v/>
      </c>
      <c r="M45" s="1510">
        <f>+I45-L45</f>
        <v/>
      </c>
    </row>
    <row r="46" ht="15.75" customHeight="1">
      <c r="A46" s="161" t="inlineStr">
        <is>
          <t>3318</t>
        </is>
      </c>
      <c r="B46" s="1220" t="inlineStr">
        <is>
          <t>OBC POSTAGE CHARGES</t>
        </is>
      </c>
      <c r="C46" s="1539">
        <f>+'ODHAV '!C46+RAKHIAL!C46+CHANGODAR!C46+'NEW SHARDA'!C46+ISANPUR!C46+MANINAGAR!C46+'SHANTI COMM'!C46+MASKATI!C46+VEJALPUR!C46+'JODHPUR-SATELLITE'!C46+PANJRAPOLE!C46+'ASHRAM ROAD'!C46+NARAYANNAGAR!C46+NARANPURA!C46+'DRIVE IN'!C46+'VASANA '!C46+SURAT!C46+'LAW GARDEN'!C46+'NEW CLOTH'!C46+BAPUNAGAR!C46+BOPAL!C46+THALTEJ!C46+CHANDKHEDA!C46+VASTRAL!C46</f>
        <v/>
      </c>
      <c r="D46" s="1497">
        <f>+C46*9%</f>
        <v/>
      </c>
      <c r="E46" s="1497">
        <f>+D46</f>
        <v/>
      </c>
      <c r="F46" s="1497" t="n">
        <v>0</v>
      </c>
      <c r="G46" s="1539" t="n">
        <v>0</v>
      </c>
      <c r="H46" s="1539" t="n">
        <v>0</v>
      </c>
      <c r="I46" s="1539">
        <f>+C46</f>
        <v/>
      </c>
      <c r="J46" s="1228" t="n"/>
      <c r="K46" s="1228" t="n"/>
      <c r="L46" s="1228">
        <f>+J46-K46</f>
        <v/>
      </c>
      <c r="M46" s="1510">
        <f>+I46-L46</f>
        <v/>
      </c>
    </row>
    <row r="47" ht="15.75" customHeight="1">
      <c r="A47" s="161" t="n">
        <v>3320</v>
      </c>
      <c r="B47" s="1220" t="inlineStr">
        <is>
          <t>RENT ON LOCKER</t>
        </is>
      </c>
      <c r="C47" s="1539">
        <f>+'ODHAV '!C47+RAKHIAL!C47+CHANGODAR!C47+'NEW SHARDA'!C47+ISANPUR!C47+MANINAGAR!C47+'SHANTI COMM'!C47+MASKATI!C47+VEJALPUR!C47+'JODHPUR-SATELLITE'!C47+PANJRAPOLE!C47+'ASHRAM ROAD'!C47+NARAYANNAGAR!C47+NARANPURA!C47+'DRIVE IN'!C47+'VASANA '!C47+SURAT!C47+'LAW GARDEN'!C47+'NEW CLOTH'!C47+BAPUNAGAR!C47+BOPAL!C47+THALTEJ!C47+CHANDKHEDA!C47+VASTRAL!C47</f>
        <v/>
      </c>
      <c r="D47" s="1497">
        <f>+C47*9%</f>
        <v/>
      </c>
      <c r="E47" s="1497">
        <f>+D47</f>
        <v/>
      </c>
      <c r="F47" s="1497" t="n"/>
      <c r="G47" s="1539">
        <f>+'ODHAV '!G47+RAKHIAL!G47+CHANGODAR!G47+'NEW SHARDA'!G47+ISANPUR!G47+MANINAGAR!G47+'SHANTI COMM'!G47+MASKATI!G47+VEJALPUR!G47+'JODHPUR-SATELLITE'!G47+PANJRAPOLE!G47+'ASHRAM ROAD'!G47+NARAYANNAGAR!G47+NARANPURA!G47+'DRIVE IN'!G47+'VASANA '!G47+SURAT!G47+'LAW GARDEN'!G47+'NEW CLOTH'!G47+BAPUNAGAR!G47+BOPAL!G47+THALTEJ!G47</f>
        <v/>
      </c>
      <c r="H47" s="1539">
        <f>+'ODHAV '!H47+RAKHIAL!H47+CHANGODAR!H47+'NEW SHARDA'!H47+ISANPUR!H47+MANINAGAR!H47+'SHANTI COMM'!H47+MASKATI!H47+VEJALPUR!H47+'JODHPUR-SATELLITE'!H47+PANJRAPOLE!H47+'ASHRAM ROAD'!H47+NARAYANNAGAR!H47+NARANPURA!H47+'DRIVE IN'!H47+'VASANA '!H47+SURAT!H47+'LAW GARDEN'!H47+'NEW CLOTH'!H47+BAPUNAGAR!H47+BOPAL!H47+THALTEJ!H47</f>
        <v/>
      </c>
      <c r="I47" s="1539">
        <f>+C47</f>
        <v/>
      </c>
      <c r="J47" s="1228" t="n">
        <v>203387.76</v>
      </c>
      <c r="K47" s="1228" t="n">
        <v>138130.06</v>
      </c>
      <c r="L47" s="1228">
        <f>+J47-K47</f>
        <v/>
      </c>
      <c r="M47" s="1601">
        <f>+I47-L47</f>
        <v/>
      </c>
    </row>
    <row r="48" ht="15.75" customHeight="1">
      <c r="A48" s="161" t="n">
        <v>3321</v>
      </c>
      <c r="B48" s="1220" t="inlineStr">
        <is>
          <t>ADHOC LIMIT CHARGES</t>
        </is>
      </c>
      <c r="C48" s="1539">
        <f>+'ODHAV '!C48+RAKHIAL!C48+CHANGODAR!C48+'NEW SHARDA'!C48+ISANPUR!C48+MANINAGAR!C48+'SHANTI COMM'!C48+MASKATI!C48+VEJALPUR!C48+'JODHPUR-SATELLITE'!C48+PANJRAPOLE!C48+'ASHRAM ROAD'!C48+NARAYANNAGAR!C48+NARANPURA!C48+'DRIVE IN'!C48+'VASANA '!C48+SURAT!C48+'LAW GARDEN'!C48+'NEW CLOTH'!C48+BAPUNAGAR!C48+BOPAL!C48+THALTEJ!C48+CHANDKHEDA!C48+VASTRAL!C48</f>
        <v/>
      </c>
      <c r="D48" s="1497">
        <f>+C48*9%</f>
        <v/>
      </c>
      <c r="E48" s="1497">
        <f>+D48</f>
        <v/>
      </c>
      <c r="F48" s="1497" t="n">
        <v>0</v>
      </c>
      <c r="G48" s="1539">
        <f>+'ODHAV '!G49+RAKHIAL!G49+CHANGODAR!G50+'NEW SHARDA'!G49+ISANPUR!G49+MANINAGAR!G49+'SHANTI COMM'!G49+MASKATI!G49+VEJALPUR!G49+'JODHPUR-SATELLITE'!G49+PANJRAPOLE!G49+'ASHRAM ROAD'!G49+NARAYANNAGAR!G49+NARANPURA!G49+'DRIVE IN'!G49+'VASANA '!G49+SURAT!G49+'LAW GARDEN'!G49+'NEW CLOTH'!G49+BAPUNAGAR!G49+BOPAL!G49+THALTEJ!G49</f>
        <v/>
      </c>
      <c r="H48" s="1539">
        <f>+'ODHAV '!H49+RAKHIAL!H49+CHANGODAR!H50+'NEW SHARDA'!H49+ISANPUR!H49+MANINAGAR!H49+'SHANTI COMM'!H49+MASKATI!H49+VEJALPUR!H49+'JODHPUR-SATELLITE'!H49+PANJRAPOLE!H49+'ASHRAM ROAD'!H49+NARAYANNAGAR!H49+NARANPURA!H49+'DRIVE IN'!H49+'VASANA '!H49+SURAT!H49+'LAW GARDEN'!H49+'NEW CLOTH'!H49+BAPUNAGAR!H49+BOPAL!H49+THALTEJ!H49</f>
        <v/>
      </c>
      <c r="I48" s="1539">
        <f>+C48</f>
        <v/>
      </c>
      <c r="J48" s="1228" t="n">
        <v>269043</v>
      </c>
      <c r="K48" s="1228" t="n">
        <v>257793</v>
      </c>
      <c r="L48" s="1228">
        <f>+J48-K48</f>
        <v/>
      </c>
      <c r="M48" s="1510">
        <f>+I48-L48</f>
        <v/>
      </c>
    </row>
    <row r="49" ht="15.75" customHeight="1">
      <c r="A49" s="161" t="n">
        <v>3322</v>
      </c>
      <c r="B49" s="1220" t="inlineStr">
        <is>
          <t>INCOME FROM SALE OF OLD NEWS PAPERS</t>
        </is>
      </c>
      <c r="C49" s="1539">
        <f>+'ODHAV '!C49+RAKHIAL!C49+CHANGODAR!C49+'NEW SHARDA'!C49+ISANPUR!C49+MANINAGAR!C49+'SHANTI COMM'!C49+MASKATI!C49+VEJALPUR!C49+'JODHPUR-SATELLITE'!C49+PANJRAPOLE!C49+'ASHRAM ROAD'!C49+NARAYANNAGAR!C49+NARANPURA!C49+'DRIVE IN'!C49+'VASANA '!C49+SURAT!C49+'LAW GARDEN'!C49+'NEW CLOTH'!C49+BAPUNAGAR!C49+BOPAL!C49+THALTEJ!C49+CHANDKHEDA!C49+VASTRAL!C49</f>
        <v/>
      </c>
      <c r="D49" s="1497">
        <f>+C49*9%</f>
        <v/>
      </c>
      <c r="E49" s="1497">
        <f>+D49</f>
        <v/>
      </c>
      <c r="F49" s="1497" t="n"/>
      <c r="G49" s="1539">
        <f>+'ODHAV '!G50+RAKHIAL!G50+CHANGODAR!G51+'NEW SHARDA'!G50+ISANPUR!G50+MANINAGAR!G50+'SHANTI COMM'!G50+MASKATI!G50+VEJALPUR!G50+'JODHPUR-SATELLITE'!G50+PANJRAPOLE!G50+'ASHRAM ROAD'!G50+NARAYANNAGAR!G50+NARANPURA!G50+'DRIVE IN'!G50+'VASANA '!G50+SURAT!G50+'LAW GARDEN'!G50+'NEW CLOTH'!G50+BAPUNAGAR!G50+BOPAL!G50+THALTEJ!G50</f>
        <v/>
      </c>
      <c r="H49" s="1539">
        <f>+'ODHAV '!H50+RAKHIAL!H50+CHANGODAR!H51+'NEW SHARDA'!H50+ISANPUR!H50+MANINAGAR!H50+'SHANTI COMM'!H50+MASKATI!H50+VEJALPUR!H50+'JODHPUR-SATELLITE'!H50+PANJRAPOLE!H50+'ASHRAM ROAD'!H50+NARAYANNAGAR!H50+NARANPURA!H50+'DRIVE IN'!H50+'VASANA '!H50+SURAT!H50+'LAW GARDEN'!H50+'NEW CLOTH'!H50+BAPUNAGAR!H50+BOPAL!H50+THALTEJ!H50</f>
        <v/>
      </c>
      <c r="I49" s="1539">
        <f>+C49</f>
        <v/>
      </c>
      <c r="J49" s="1228" t="n">
        <v>150</v>
      </c>
      <c r="K49" s="1228" t="n">
        <v>150</v>
      </c>
      <c r="L49" s="1228">
        <f>+J49-K49</f>
        <v/>
      </c>
      <c r="M49" s="1601">
        <f>+I49-L49</f>
        <v/>
      </c>
    </row>
    <row r="50" ht="15.75" customHeight="1">
      <c r="A50" s="161" t="n">
        <v>3324</v>
      </c>
      <c r="B50" s="1220" t="inlineStr">
        <is>
          <t>PENALTY ON OVERDUE LOCKER RENT</t>
        </is>
      </c>
      <c r="C50" s="1539">
        <f>+'ODHAV '!C50+RAKHIAL!C50+CHANGODAR!C50+'NEW SHARDA'!C50+ISANPUR!C50+MANINAGAR!C50+'SHANTI COMM'!C50+MASKATI!C50+VEJALPUR!C50+'JODHPUR-SATELLITE'!C50+PANJRAPOLE!C50+'ASHRAM ROAD'!C50+NARAYANNAGAR!C50+NARANPURA!C50+'DRIVE IN'!C50+'VASANA '!C50+SURAT!C50+'LAW GARDEN'!C50+'NEW CLOTH'!C50+BAPUNAGAR!C50+BOPAL!C50+THALTEJ!C50+CHANDKHEDA!C50+VASTRAL!C50</f>
        <v/>
      </c>
      <c r="D50" s="1497">
        <f>+C50*9%</f>
        <v/>
      </c>
      <c r="E50" s="1497">
        <f>+D50</f>
        <v/>
      </c>
      <c r="F50" s="1497" t="n"/>
      <c r="G50" s="1539">
        <f>+'ODHAV '!G51+RAKHIAL!G51+CHANGODAR!G52+'NEW SHARDA'!G51+ISANPUR!G51+MANINAGAR!G51+'SHANTI COMM'!G51+MASKATI!G51+VEJALPUR!G51+'JODHPUR-SATELLITE'!G51+PANJRAPOLE!G51+'ASHRAM ROAD'!G51+NARAYANNAGAR!G51+NARANPURA!G51+'DRIVE IN'!G51+'VASANA '!G51+SURAT!G51+'LAW GARDEN'!G51+'NEW CLOTH'!G51+BAPUNAGAR!G51+BOPAL!G51+THALTEJ!G51</f>
        <v/>
      </c>
      <c r="H50" s="1539">
        <f>+'ODHAV '!H51+RAKHIAL!H51+CHANGODAR!H52+'NEW SHARDA'!H51+ISANPUR!H51+MANINAGAR!H51+'SHANTI COMM'!H51+MASKATI!H51+VEJALPUR!H51+'JODHPUR-SATELLITE'!H51+PANJRAPOLE!H51+'ASHRAM ROAD'!H51+NARAYANNAGAR!H51+NARANPURA!H51+'DRIVE IN'!H51+'VASANA '!H51+SURAT!H51+'LAW GARDEN'!H51+'NEW CLOTH'!H51+BAPUNAGAR!H51+BOPAL!H51+THALTEJ!H51</f>
        <v/>
      </c>
      <c r="I50" s="1539">
        <f>+C50</f>
        <v/>
      </c>
      <c r="J50" s="1228" t="n">
        <v>59966.6</v>
      </c>
      <c r="K50" s="1228" t="n">
        <v>47008.33</v>
      </c>
      <c r="L50" s="1228">
        <f>+J50-K50</f>
        <v/>
      </c>
      <c r="M50" s="1510">
        <f>+I50-L50</f>
        <v/>
      </c>
    </row>
    <row r="51" ht="15.75" customHeight="1">
      <c r="A51" s="1187" t="n">
        <v>3325</v>
      </c>
      <c r="B51" s="1220" t="inlineStr">
        <is>
          <t>MICR CLEARING CHARGES</t>
        </is>
      </c>
      <c r="C51" s="1539">
        <f>+'ODHAV '!C51+RAKHIAL!C51+CHANGODAR!C51+'NEW SHARDA'!C51+ISANPUR!C51+MANINAGAR!C51+'SHANTI COMM'!C51+MASKATI!C51+VEJALPUR!C51+'JODHPUR-SATELLITE'!C51+PANJRAPOLE!C51+'ASHRAM ROAD'!C51+NARAYANNAGAR!C51+NARANPURA!C51+'DRIVE IN'!C51+'VASANA '!C51+SURAT!C51+'LAW GARDEN'!C51+'NEW CLOTH'!C51+BAPUNAGAR!C51+BOPAL!C51+THALTEJ!C51+CHANDKHEDA!C51+VASTRAL!C51</f>
        <v/>
      </c>
      <c r="D51" s="1497">
        <f>+C51*9%</f>
        <v/>
      </c>
      <c r="E51" s="1497">
        <f>+D51</f>
        <v/>
      </c>
      <c r="F51" s="1497" t="n"/>
      <c r="G51" s="1539">
        <f>+'ODHAV '!G52+RAKHIAL!G52+CHANGODAR!G52+'NEW SHARDA'!G52+ISANPUR!G52+MANINAGAR!G52+'SHANTI COMM'!G52+MASKATI!G52+VEJALPUR!G52+'JODHPUR-SATELLITE'!G52+PANJRAPOLE!G52+'ASHRAM ROAD'!G52+NARAYANNAGAR!G52+NARANPURA!G52+'DRIVE IN'!G53+'VASANA '!G52+SURAT!G52+'LAW GARDEN'!G52+'NEW CLOTH'!G52+BAPUNAGAR!G52+BOPAL!G52+THALTEJ!G52</f>
        <v/>
      </c>
      <c r="H51" s="1539" t="n"/>
      <c r="I51" s="1539">
        <f>+C51</f>
        <v/>
      </c>
      <c r="J51" s="1228" t="n"/>
      <c r="K51" s="1228" t="n"/>
      <c r="L51" s="1228">
        <f>+J51-K51</f>
        <v/>
      </c>
      <c r="M51" s="1510">
        <f>+I51-L51</f>
        <v/>
      </c>
    </row>
    <row r="52" ht="15.75" customHeight="1">
      <c r="A52" s="161" t="n">
        <v>3391</v>
      </c>
      <c r="B52" s="1220" t="inlineStr">
        <is>
          <t>SMS CHARGES INCOME RECEIVED</t>
        </is>
      </c>
      <c r="C52" s="1539">
        <f>+'ODHAV '!C52+RAKHIAL!C52+CHANGODAR!C52+'NEW SHARDA'!C52+ISANPUR!C52+MANINAGAR!C52+'SHANTI COMM'!C52+MASKATI!C52+VEJALPUR!C52+'JODHPUR-SATELLITE'!C52+PANJRAPOLE!C52+'ASHRAM ROAD'!C52+NARAYANNAGAR!C52+NARANPURA!C52+'DRIVE IN'!C52+'VASANA '!C52+SURAT!C52+'LAW GARDEN'!C52+'NEW CLOTH'!C52+BAPUNAGAR!C52+BOPAL!C52+THALTEJ!C52+CHANDKHEDA!C52+VASTRAL!C52</f>
        <v/>
      </c>
      <c r="D52" s="1497">
        <f>+C52*9%</f>
        <v/>
      </c>
      <c r="E52" s="1497">
        <f>+D52</f>
        <v/>
      </c>
      <c r="F52" s="1497" t="n">
        <v>0</v>
      </c>
      <c r="G52" s="1539">
        <f>+'ODHAV '!G52+RAKHIAL!G52+CHANGODAR!G52+'NEW SHARDA'!G52+ISANPUR!G52+MANINAGAR!G52+'SHANTI COMM'!G52+MASKATI!G52+VEJALPUR!G52+'JODHPUR-SATELLITE'!G52+PANJRAPOLE!G52+'ASHRAM ROAD'!G52+NARAYANNAGAR!G52+NARANPURA!G52+'DRIVE IN'!G53+'VASANA '!G52+SURAT!G52+'LAW GARDEN'!G52+'NEW CLOTH'!G52+BAPUNAGAR!G52+BOPAL!G52+THALTEJ!G52</f>
        <v/>
      </c>
      <c r="H52" s="1539">
        <f>+'ODHAV '!H52+RAKHIAL!H52+CHANGODAR!H52+'NEW SHARDA'!H52+ISANPUR!H52+MANINAGAR!H52+'SHANTI COMM'!H52+MASKATI!H52+VEJALPUR!H52+'JODHPUR-SATELLITE'!H52+PANJRAPOLE!H52+'ASHRAM ROAD'!H52+NARAYANNAGAR!H52+NARANPURA!H52+'DRIVE IN'!H53+'VASANA '!H52+SURAT!H52+'LAW GARDEN'!H52+'NEW CLOTH'!H52+BAPUNAGAR!H52+BOPAL!H52+THALTEJ!H52</f>
        <v/>
      </c>
      <c r="I52" s="1539">
        <f>+C52</f>
        <v/>
      </c>
      <c r="J52" s="1228" t="n">
        <v>114.2</v>
      </c>
      <c r="K52" s="1228" t="n">
        <v>54.2</v>
      </c>
      <c r="L52" s="1228">
        <f>+J52-K52</f>
        <v/>
      </c>
      <c r="M52" s="1510">
        <f>+I52-L52</f>
        <v/>
      </c>
    </row>
    <row r="53" ht="15.75" customHeight="1">
      <c r="A53" s="161" t="n">
        <v>3359</v>
      </c>
      <c r="B53" s="1220" t="inlineStr">
        <is>
          <t>COMMITEMENT CHARGES</t>
        </is>
      </c>
      <c r="C53" s="1539">
        <f>+'ODHAV '!C53+RAKHIAL!C53+'NEW SHARDA'!C53+CHANGODAR!C53+ISANPUR!C53+MANINAGAR!C53+'SHANTI COMM'!C53+MASKATI!C53+VEJALPUR!C53+'JODHPUR-SATELLITE'!C53+PANJRAPOLE!C53+'ASHRAM ROAD'!C53+NARAYANNAGAR!C53+NARANPURA!C53+'DRIVE IN'!C54+'VASANA '!C53+SURAT!C53+'LAW GARDEN'!C53+'NEW CLOTH'!C53+BAPUNAGAR!C53+BOPAL!C54+THALTEJ!C53+CHANDKHEDA!C53+VASTRAL!C53</f>
        <v/>
      </c>
      <c r="D53" s="1497">
        <f>+C53*9%</f>
        <v/>
      </c>
      <c r="E53" s="1497">
        <f>+D53</f>
        <v/>
      </c>
      <c r="F53" s="1497" t="n"/>
      <c r="G53" s="1539">
        <f>+'ODHAV '!G53+RAKHIAL!G53+CHANGODAR!G53+'NEW SHARDA'!G53+ISANPUR!G53+MANINAGAR!G53+'SHANTI COMM'!G53+MASKATI!G53+VEJALPUR!G53+'JODHPUR-SATELLITE'!G53+PANJRAPOLE!G53+'ASHRAM ROAD'!G53+NARAYANNAGAR!G53+NARANPURA!G53+'DRIVE IN'!G54+'VASANA '!G53+SURAT!G53+'LAW GARDEN'!G53+'NEW CLOTH'!G53+BAPUNAGAR!G53+BOPAL!G53+THALTEJ!G53</f>
        <v/>
      </c>
      <c r="H53" s="1539">
        <f>+'ODHAV '!H53+RAKHIAL!H53+CHANGODAR!H53+'NEW SHARDA'!H53+ISANPUR!H53+MANINAGAR!H53+'SHANTI COMM'!H53+MASKATI!H53+VEJALPUR!H53+'JODHPUR-SATELLITE'!H53+PANJRAPOLE!H53+'ASHRAM ROAD'!H53+NARAYANNAGAR!H53+NARANPURA!H53+'DRIVE IN'!H54+'VASANA '!H53+SURAT!H53+'LAW GARDEN'!H53+'NEW CLOTH'!H53+BAPUNAGAR!H53+BOPAL!H53+THALTEJ!H53</f>
        <v/>
      </c>
      <c r="I53" s="1539">
        <f>+C53</f>
        <v/>
      </c>
      <c r="J53" s="1228" t="n">
        <v>315202</v>
      </c>
      <c r="K53" s="1228" t="n">
        <v>333692</v>
      </c>
      <c r="L53" s="1228">
        <f>+J53-K53</f>
        <v/>
      </c>
      <c r="M53" s="1512">
        <f>+I53-L53</f>
        <v/>
      </c>
    </row>
    <row r="54" ht="15.75" customHeight="1">
      <c r="A54" s="161" t="n">
        <v>3380</v>
      </c>
      <c r="B54" s="1220" t="inlineStr">
        <is>
          <t>STATMENT CHARGES</t>
        </is>
      </c>
      <c r="C54" s="1539">
        <f>+CHANGODAR!C54+'DRIVE IN'!C52+BOPAL!C52</f>
        <v/>
      </c>
      <c r="D54" s="1497">
        <f>+C54*9%</f>
        <v/>
      </c>
      <c r="E54" s="1497">
        <f>+D54</f>
        <v/>
      </c>
      <c r="F54" s="1497" t="n"/>
      <c r="G54" s="1539" t="n"/>
      <c r="H54" s="1539" t="n"/>
      <c r="I54" s="1539">
        <f>+C54</f>
        <v/>
      </c>
      <c r="J54" s="1228" t="n">
        <v>345</v>
      </c>
      <c r="K54" s="1228" t="n">
        <v>345</v>
      </c>
      <c r="L54" s="1228">
        <f>+J54-K54</f>
        <v/>
      </c>
      <c r="M54" s="1512">
        <f>+I54-L54</f>
        <v/>
      </c>
    </row>
    <row r="55" ht="15.75" customHeight="1">
      <c r="A55" s="161" t="n">
        <v>3825</v>
      </c>
      <c r="B55" s="1220" t="inlineStr">
        <is>
          <t>EXTERNAL AUDIT FEES</t>
        </is>
      </c>
      <c r="C55" s="1539">
        <f>+'ODHAV '!C54+RAKHIAL!C54+'NEW SHARDA'!C54+CHANGODAR!C55+ISANPUR!C54+MANINAGAR!C54+'SHANTI COMM'!C54+MASKATI!C54+VEJALPUR!C54+'JODHPUR-SATELLITE'!C54+PANJRAPOLE!C54+'ASHRAM ROAD'!C54+NARAYANNAGAR!C54+NARANPURA!C54+'DRIVE IN'!C55+'VASANA '!C54+SURAT!C54+'LAW GARDEN'!C54+'NEW CLOTH'!C54+BAPUNAGAR!C54+THALTEJ!C54+CHANDKHEDA!C54+VASTRAL!C54</f>
        <v/>
      </c>
      <c r="D55" s="1497">
        <f>+C55*9%</f>
        <v/>
      </c>
      <c r="E55" s="1497">
        <f>+D55</f>
        <v/>
      </c>
      <c r="F55" s="1497" t="n"/>
      <c r="G55" s="1605" t="n"/>
      <c r="H55" s="1539" t="n"/>
      <c r="I55" s="1539">
        <f>+C55</f>
        <v/>
      </c>
      <c r="J55" s="1228" t="n"/>
      <c r="K55" s="1228" t="n"/>
      <c r="L55" s="1228">
        <f>+J55-K55</f>
        <v/>
      </c>
      <c r="M55" s="1510">
        <f>+I55-L55</f>
        <v/>
      </c>
    </row>
    <row r="56" ht="15.75" customHeight="1">
      <c r="A56" s="161" t="n">
        <v>3362</v>
      </c>
      <c r="B56" s="1220" t="inlineStr">
        <is>
          <t>FORECLOSURE CHARGES</t>
        </is>
      </c>
      <c r="C56" s="1539">
        <f>+'ODHAV '!C55+RAKHIAL!C55+'NEW SHARDA'!C55+CHANGODAR!C55+ISANPUR!C55+MANINAGAR!C55+'SHANTI COMM'!C55+MASKATI!C55+VEJALPUR!C55+'JODHPUR-SATELLITE'!C55+PANJRAPOLE!C55+'ASHRAM ROAD'!C55+NARAYANNAGAR!C55+NARANPURA!C55+'DRIVE IN'!C56+'VASANA '!C55+SURAT!C55+'LAW GARDEN'!C55+'NEW CLOTH'!C55+BAPUNAGAR!C55+THALTEJ!C55+CHANDKHEDA!C55+VASTRAL!C55</f>
        <v/>
      </c>
      <c r="D56" s="1497">
        <f>+C56*9%</f>
        <v/>
      </c>
      <c r="E56" s="1497">
        <f>+D56</f>
        <v/>
      </c>
      <c r="F56" s="1497" t="n"/>
      <c r="G56" s="1605" t="n"/>
      <c r="H56" s="1539" t="n"/>
      <c r="I56" s="1539">
        <f>+C56</f>
        <v/>
      </c>
      <c r="J56" s="1228" t="n">
        <v>714934</v>
      </c>
      <c r="K56" s="1228" t="n">
        <v>714934</v>
      </c>
      <c r="L56" s="1228">
        <f>+J56-K56</f>
        <v/>
      </c>
      <c r="M56" s="1510">
        <f>+I56-L56</f>
        <v/>
      </c>
    </row>
    <row r="57" ht="15.75" customHeight="1">
      <c r="A57" s="1187" t="n">
        <v>3340</v>
      </c>
      <c r="B57" s="1220" t="inlineStr">
        <is>
          <t>LOAN PROCESSING FEES</t>
        </is>
      </c>
      <c r="C57" s="1539">
        <f>+'ODHAV '!C56+RAKHIAL!C56+'NEW SHARDA'!C56+CHANGODAR!C56+ISANPUR!C56+MANINAGAR!C56+'SHANTI COMM'!C56+MASKATI!C56+VEJALPUR!C56+'JODHPUR-SATELLITE'!C56+PANJRAPOLE!C56+'ASHRAM ROAD'!C56+NARAYANNAGAR!C56+NARANPURA!C56+'DRIVE IN'!C57+'VASANA '!C56+SURAT!C56+'LAW GARDEN'!C56+'NEW CLOTH'!C56+BAPUNAGAR!C56+THALTEJ!C56+CHANDKHEDA!C56+VASTRAL!C56</f>
        <v/>
      </c>
      <c r="D57" s="1497">
        <f>+C57*9%</f>
        <v/>
      </c>
      <c r="E57" s="1497">
        <f>+D57</f>
        <v/>
      </c>
      <c r="F57" s="1497">
        <f>IF(D57&gt;0," ",C57*18%)</f>
        <v/>
      </c>
      <c r="G57" s="1605" t="n"/>
      <c r="H57" s="1539" t="n"/>
      <c r="I57" s="1539">
        <f>+C57</f>
        <v/>
      </c>
      <c r="J57" s="629" t="n">
        <v>0</v>
      </c>
      <c r="K57" s="629" t="n">
        <v>0</v>
      </c>
      <c r="L57" s="1228">
        <f>+J57-K57</f>
        <v/>
      </c>
      <c r="M57" s="1510">
        <f>+I57-L57</f>
        <v/>
      </c>
    </row>
    <row r="58" ht="15.75" customHeight="1">
      <c r="A58" s="162" t="inlineStr">
        <is>
          <t>GL</t>
        </is>
      </c>
      <c r="B58" s="1220" t="n"/>
      <c r="C58" s="1497" t="n"/>
      <c r="D58" s="1497" t="n"/>
      <c r="E58" s="1497" t="n"/>
      <c r="F58" s="1497" t="n">
        <v>0</v>
      </c>
      <c r="G58" s="1605">
        <f>+'ODHAV '!G57+RAKHIAL!G57+CHANGODAR!G58+'NEW SHARDA'!G57+ISANPUR!G57+MANINAGAR!G57+'SHANTI COMM'!G57+MASKATI!G57+VEJALPUR!G57+'JODHPUR-SATELLITE'!G57+PANJRAPOLE!G57+'ASHRAM ROAD'!G57+NARAYANNAGAR!G57+NARANPURA!G57+'DRIVE IN'!G58+'VASANA '!G57+SURAT!G57+'LAW GARDEN'!G57+'NEW CLOTH'!G57+BAPUNAGAR!G57+BOPAL!G58+THALTEJ!G57</f>
        <v/>
      </c>
      <c r="H58" s="1539">
        <f>+'ODHAV '!H57+RAKHIAL!H57+CHANGODAR!H58+'NEW SHARDA'!H57+ISANPUR!H57+MANINAGAR!H57+'SHANTI COMM'!H57+MASKATI!H57+VEJALPUR!H57+'JODHPUR-SATELLITE'!H57+PANJRAPOLE!H57+'ASHRAM ROAD'!H57+NARAYANNAGAR!H57+NARANPURA!H57+'DRIVE IN'!H58+'VASANA '!H57+SURAT!H57+'LAW GARDEN'!H57+'NEW CLOTH'!H57+BAPUNAGAR!H57+BOPAL!H58+THALTEJ!H57</f>
        <v/>
      </c>
      <c r="I58" s="755" t="inlineStr">
        <is>
          <t>TOTAL ADVANCES</t>
        </is>
      </c>
      <c r="J58" s="629">
        <f>+C59+C60</f>
        <v/>
      </c>
      <c r="T58" s="1084">
        <f>+C58*18%</f>
        <v/>
      </c>
      <c r="U58" s="1084">
        <f>+D58+E58</f>
        <v/>
      </c>
      <c r="V58" s="1084">
        <f>+T58-U58</f>
        <v/>
      </c>
    </row>
    <row r="59" ht="15.75" customHeight="1">
      <c r="A59" s="161" t="inlineStr">
        <is>
          <t>1720</t>
        </is>
      </c>
      <c r="B59" s="1220" t="inlineStr">
        <is>
          <t>COMM. RECD. BUT NOT ACCRUED</t>
        </is>
      </c>
      <c r="C59" s="1539">
        <f>+'ODHAV '!C58+RAKHIAL!C58+CHANGODAR!C59+'NEW SHARDA'!C58+ISANPUR!C58+MANINAGAR!C58+'SHANTI COMM'!C58+MASKATI!C58+VEJALPUR!C58+'JODHPUR-SATELLITE'!C58+PANJRAPOLE!C58+'ASHRAM ROAD'!C58+NARAYANNAGAR!C58+NARANPURA!C58+'DRIVE IN'!C59+'VASANA '!C58+SURAT!C58+'LAW GARDEN'!C58+'NEW CLOTH'!C58+BAPUNAGAR!C58+BOPAL!C59+THALTEJ!C58+CHANDKHEDA!C58+VASTRAL!C58</f>
        <v/>
      </c>
      <c r="D59" s="1497">
        <f>+C59*9%</f>
        <v/>
      </c>
      <c r="E59" s="1497">
        <f>+D59</f>
        <v/>
      </c>
      <c r="F59" s="1497" t="n">
        <v>0</v>
      </c>
      <c r="G59" s="1539">
        <f>+'ODHAV '!G58+RAKHIAL!G58+CHANGODAR!G59+'NEW SHARDA'!G58+ISANPUR!G58+MANINAGAR!G58+'SHANTI COMM'!G58+MASKATI!G58+VEJALPUR!G58+'JODHPUR-SATELLITE'!G58+PANJRAPOLE!G58+'ASHRAM ROAD'!G58+NARAYANNAGAR!G58+NARANPURA!G58+'DRIVE IN'!G59+'VASANA '!G58+SURAT!G58+'LAW GARDEN'!G58+'NEW CLOTH'!G58+BAPUNAGAR!G58+BOPAL!G59+THALTEJ!G58+'SUMMARY SHEET GST'!S133</f>
        <v/>
      </c>
      <c r="H59" s="1539">
        <f>+'ODHAV '!H58+RAKHIAL!H58+CHANGODAR!H59+'NEW SHARDA'!H58+ISANPUR!H58+MANINAGAR!H58+'SHANTI COMM'!H58+MASKATI!H58+VEJALPUR!H58+'JODHPUR-SATELLITE'!H58+PANJRAPOLE!H58+'ASHRAM ROAD'!H58+NARAYANNAGAR!H58+NARANPURA!H58+'DRIVE IN'!H59+'VASANA '!H58+SURAT!H58+'LAW GARDEN'!H58+'NEW CLOTH'!H58+BAPUNAGAR!H58+BOPAL!H59+THALTEJ!H58</f>
        <v/>
      </c>
      <c r="I59" s="171" t="inlineStr">
        <is>
          <t>CGST</t>
        </is>
      </c>
      <c r="J59" s="156">
        <f>+D59+D60</f>
        <v/>
      </c>
      <c r="T59" s="1084">
        <f>+C59*18%</f>
        <v/>
      </c>
      <c r="U59" s="1084">
        <f>+D59+E59</f>
        <v/>
      </c>
      <c r="V59" s="1084">
        <f>+T59-U59</f>
        <v/>
      </c>
    </row>
    <row r="60" ht="15.75" customHeight="1">
      <c r="A60" s="1080" t="inlineStr">
        <is>
          <t>1836</t>
        </is>
      </c>
      <c r="B60" s="1220" t="inlineStr">
        <is>
          <t>RENT ON LOCKER RECEIVED BUT</t>
        </is>
      </c>
      <c r="C60" s="1606">
        <f>+'ODHAV '!C59+RAKHIAL!C59+CHANGODAR!C60+'NEW SHARDA'!C59+ISANPUR!C59+MANINAGAR!C59+'SHANTI COMM'!C59+MASKATI!C59+VEJALPUR!C59+'JODHPUR-SATELLITE'!C59+PANJRAPOLE!C59+'ASHRAM ROAD'!C59+NARAYANNAGAR!C59+NARANPURA!C59+'DRIVE IN'!C60+'VASANA '!C59+SURAT!C59+'LAW GARDEN'!C59+'NEW CLOTH'!C59+BAPUNAGAR!C59+BOPAL!C60+THALTEJ!C59+CHANDKHEDA!C59+VASTRAL!C59</f>
        <v/>
      </c>
      <c r="D60" s="1607">
        <f>+C60*9%</f>
        <v/>
      </c>
      <c r="E60" s="1607">
        <f>+D60</f>
        <v/>
      </c>
      <c r="F60" s="1607" t="n">
        <v>0</v>
      </c>
      <c r="G60" s="1606">
        <f>+'ODHAV '!G59+RAKHIAL!G59+CHANGODAR!G60+'NEW SHARDA'!G59+ISANPUR!G59+MANINAGAR!G59+'SHANTI COMM'!G59+MASKATI!G59+VEJALPUR!G59+'JODHPUR-SATELLITE'!G59+PANJRAPOLE!G59+'ASHRAM ROAD'!G59+NARAYANNAGAR!G59+NARANPURA!G59+'DRIVE IN'!G60+'VASANA '!G59+SURAT!G59+'LAW GARDEN'!G59+'NEW CLOTH'!G59+BAPUNAGAR!G59+BOPAL!G60+THALTEJ!G59</f>
        <v/>
      </c>
      <c r="H60" s="1606">
        <f>+'ODHAV '!H59+RAKHIAL!H59+CHANGODAR!H60+'NEW SHARDA'!H59+ISANPUR!H59+MANINAGAR!H59+'SHANTI COMM'!H59+MASKATI!H59+VEJALPUR!H59+'JODHPUR-SATELLITE'!H59+PANJRAPOLE!H59+'ASHRAM ROAD'!H59+NARAYANNAGAR!H59+NARANPURA!H59+'DRIVE IN'!H60+'VASANA '!H59+SURAT!H59+'LAW GARDEN'!H59+'NEW CLOTH'!H59+BAPUNAGAR!H59+BOPAL!H60+THALTEJ!H59</f>
        <v/>
      </c>
      <c r="I60" s="171" t="inlineStr">
        <is>
          <t>SGST</t>
        </is>
      </c>
      <c r="J60" s="156">
        <f>+E59+E60</f>
        <v/>
      </c>
      <c r="T60" s="1084">
        <f>+C60*18%</f>
        <v/>
      </c>
      <c r="U60" s="1084">
        <f>+D60+E60</f>
        <v/>
      </c>
      <c r="V60" s="1084">
        <f>+T60-U60</f>
        <v/>
      </c>
    </row>
    <row r="61" ht="15.75" customHeight="1">
      <c r="A61" s="163" t="inlineStr">
        <is>
          <t xml:space="preserve"> </t>
        </is>
      </c>
      <c r="B61" s="1220" t="inlineStr">
        <is>
          <t>NOT ACCRUED</t>
        </is>
      </c>
      <c r="C61" s="1539" t="n"/>
      <c r="D61" s="1497" t="n"/>
      <c r="E61" s="1497" t="n"/>
      <c r="F61" s="1497" t="n"/>
      <c r="G61" s="1539">
        <f>+'ODHAV '!G60+RAKHIAL!G60+CHANGODAR!G61+'NEW SHARDA'!G60+ISANPUR!G60+MANINAGAR!G60+'SHANTI COMM'!G60+MASKATI!G60+VEJALPUR!G60+'JODHPUR-SATELLITE'!G60+PANJRAPOLE!G60+'ASHRAM ROAD'!G60+NARAYANNAGAR!G60+NARANPURA!G60+'DRIVE IN'!G61+'VASANA '!G60+SURAT!G60+'LAW GARDEN'!G60+'NEW CLOTH'!G60+BAPUNAGAR!G60+BOPAL!G61+THALTEJ!G60</f>
        <v/>
      </c>
      <c r="H61" s="1539">
        <f>+'ODHAV '!H60+RAKHIAL!H60+CHANGODAR!H61+'NEW SHARDA'!H60+ISANPUR!H60+MANINAGAR!H60+'SHANTI COMM'!H60+MASKATI!H60+VEJALPUR!H60+'JODHPUR-SATELLITE'!H60+PANJRAPOLE!H60+'ASHRAM ROAD'!H60+NARAYANNAGAR!H60+NARANPURA!H60+'DRIVE IN'!H61+'VASANA '!H60+SURAT!H60+'LAW GARDEN'!H60+'NEW CLOTH'!H60+BAPUNAGAR!H60+BOPAL!H61+THALTEJ!H60</f>
        <v/>
      </c>
      <c r="I61" s="1084">
        <f>+C64*0.09</f>
        <v/>
      </c>
      <c r="J61" s="32" t="n"/>
      <c r="T61" s="1084">
        <f>+C61*18%</f>
        <v/>
      </c>
      <c r="U61" s="1084">
        <f>+D61+E61</f>
        <v/>
      </c>
      <c r="V61" s="1084">
        <f>+T61-U61</f>
        <v/>
      </c>
    </row>
    <row r="62" ht="15.75" customHeight="1">
      <c r="A62" s="13" t="inlineStr">
        <is>
          <t>GL 8600/1/41</t>
        </is>
      </c>
      <c r="B62" s="1220" t="inlineStr">
        <is>
          <t>SALE OF OLD CHAIRS</t>
        </is>
      </c>
      <c r="C62" s="1539" t="n">
        <v>0</v>
      </c>
      <c r="D62" s="1497">
        <f>+C62*9%</f>
        <v/>
      </c>
      <c r="E62" s="1497">
        <f>+D62</f>
        <v/>
      </c>
      <c r="F62" s="1503" t="n">
        <v>0</v>
      </c>
      <c r="G62" s="1228">
        <f>+SUM(G9:G61)</f>
        <v/>
      </c>
      <c r="H62" s="1228">
        <f>+SUM(H9:H61)</f>
        <v/>
      </c>
      <c r="I62" s="32" t="n"/>
      <c r="T62" s="1084">
        <f>+C62*18%</f>
        <v/>
      </c>
      <c r="U62" s="1084">
        <f>+D62+E62</f>
        <v/>
      </c>
      <c r="V62" s="1084">
        <f>+T62-U62</f>
        <v/>
      </c>
    </row>
    <row r="63" ht="15.75" customHeight="1">
      <c r="A63" s="630" t="n"/>
      <c r="B63" s="433" t="inlineStr">
        <is>
          <t>SALE OF ASSET</t>
        </is>
      </c>
      <c r="C63" s="1500">
        <f>+'ODHAV '!C61+RAKHIAL!C61+CHANGODAR!C62+'NEW SHARDA'!C61+ISANPUR!C61+MANINAGAR!C61+'SHANTI COMM'!C61+MASKATI!C61+VEJALPUR!C61+'JODHPUR-SATELLITE'!C61+PANJRAPOLE!C61+'ASHRAM ROAD'!C61+NARAYANNAGAR!C61+NARANPURA!C61+'DRIVE IN'!C62+'VASANA '!C61+SURAT!C61+'LAW GARDEN'!C61+'NEW CLOTH'!C61+BAPUNAGAR!C61+BOPAL!C62+THALTEJ!C61</f>
        <v/>
      </c>
      <c r="D63" s="1497">
        <f>+C63*9%</f>
        <v/>
      </c>
      <c r="E63" s="1497">
        <f>+D63</f>
        <v/>
      </c>
      <c r="F63" s="1608" t="n"/>
      <c r="G63" s="73">
        <f>+'ODHAV '!G62+RAKHIAL!G62+CHANGODAR!G63+'NEW SHARDA'!G62+ISANPUR!G62+MANINAGAR!G62+'SHANTI COMM'!G62+MASKATI!G62+VEJALPUR!G62+'JODHPUR-SATELLITE'!G62+PANJRAPOLE!G62+'ASHRAM ROAD'!G62+NARAYANNAGAR!G62+NARANPURA!G62+'DRIVE IN'!G63+'VASANA '!G62+SURAT!G62+'LAW GARDEN'!G62+'NEW CLOTH'!G62+BAPUNAGAR!G62+BOPAL!G63+THALTEJ!G62</f>
        <v/>
      </c>
      <c r="H63" s="73">
        <f>+'ODHAV '!H62+RAKHIAL!H62+CHANGODAR!H63+'NEW SHARDA'!H62+ISANPUR!H62+MANINAGAR!H62+'SHANTI COMM'!H62+MASKATI!H62+VEJALPUR!H62+'JODHPUR-SATELLITE'!H62+PANJRAPOLE!H62+'ASHRAM ROAD'!H62+NARAYANNAGAR!H62+NARANPURA!H62+'DRIVE IN'!H63+'VASANA '!H62+SURAT!H62+'LAW GARDEN'!H62+'NEW CLOTH'!H62+BAPUNAGAR!H62+BOPAL!H63+THALTEJ!H62</f>
        <v/>
      </c>
      <c r="I63" s="32" t="n"/>
      <c r="T63" s="1084">
        <f>+C63*18%</f>
        <v/>
      </c>
      <c r="U63" s="1084">
        <f>+D63+E63</f>
        <v/>
      </c>
      <c r="V63" s="1084">
        <f>+T63-U63</f>
        <v/>
      </c>
    </row>
    <row r="64" ht="16.5" customHeight="1" thickBot="1">
      <c r="A64" s="12" t="n"/>
      <c r="B64" s="11" t="inlineStr">
        <is>
          <t>TOTAL :</t>
        </is>
      </c>
      <c r="C64" s="1501">
        <f>SUM(C9:C63)</f>
        <v/>
      </c>
      <c r="D64" s="1501">
        <f>SUM(D9:D63)</f>
        <v/>
      </c>
      <c r="E64" s="1501">
        <f>SUM(E9:E63)</f>
        <v/>
      </c>
      <c r="F64" s="1501">
        <f>SUM(F9:F62)</f>
        <v/>
      </c>
      <c r="G64" s="73">
        <f>+'ODHAV '!C62+RAKHIAL!C62+CHANGODAR!C63+'NEW SHARDA'!C62+ISANPUR!C62+MANINAGAR!C62+'SHANTI COMM'!C62+MASKATI!C62+VEJALPUR!C62+'JODHPUR-SATELLITE'!C62+PANJRAPOLE!C62+'ASHRAM ROAD'!C62+NARAYANNAGAR!C62+NARANPURA!C62+'DRIVE IN'!C63+'VASANA '!C62+SURAT!C62+'LAW GARDEN'!C62+'NEW CLOTH'!C62+BAPUNAGAR!C62+BOPAL!C63+THALTEJ!C62</f>
        <v/>
      </c>
      <c r="H64" s="627">
        <f>+C64-G64</f>
        <v/>
      </c>
      <c r="I64" s="32" t="inlineStr">
        <is>
          <t xml:space="preserve"> </t>
        </is>
      </c>
      <c r="T64" s="1084">
        <f>+C64*18%</f>
        <v/>
      </c>
      <c r="U64" s="1084">
        <f>+D64+E64</f>
        <v/>
      </c>
      <c r="V64" s="1084">
        <f>+T64-U64</f>
        <v/>
      </c>
    </row>
    <row r="65" ht="16.5" customHeight="1" thickTop="1">
      <c r="A65" s="9" t="inlineStr">
        <is>
          <t>RCM</t>
        </is>
      </c>
      <c r="B65" s="8" t="n"/>
      <c r="C65" s="1502" t="n"/>
      <c r="D65" s="1502" t="n"/>
      <c r="E65" s="1502" t="n"/>
      <c r="F65" s="6" t="n"/>
      <c r="G65" s="1609" t="n"/>
      <c r="I65" s="32">
        <f>+G62-G63</f>
        <v/>
      </c>
      <c r="T65" s="1084">
        <f>+C65*18%</f>
        <v/>
      </c>
      <c r="U65" s="1084">
        <f>+D65+E65</f>
        <v/>
      </c>
      <c r="V65" s="1084">
        <f>+T65-U65</f>
        <v/>
      </c>
    </row>
    <row r="66" ht="15.75" customHeight="1">
      <c r="A66" s="1448" t="inlineStr">
        <is>
          <t>PL 3750</t>
        </is>
      </c>
      <c r="B66" s="1243" t="inlineStr">
        <is>
          <t>LAW CHARGES (EXCLUSIVE)</t>
        </is>
      </c>
      <c r="C66" s="1539">
        <f>+'ODHAV '!C64+RAKHIAL!C64+CHANGODAR!C65+'NEW SHARDA'!C64+ISANPUR!C64+MANINAGAR!C64+'SHANTI COMM'!C64+MASKATI!C64+VEJALPUR!C64+'JODHPUR-SATELLITE'!C64+PANJRAPOLE!C64+'ASHRAM ROAD'!C64+NARAYANNAGAR!C64+NARANPURA!C64+'DRIVE IN'!C65+'VASANA '!C64+SURAT!C64+'LAW GARDEN'!C64+'NEW CLOTH'!C64+BAPUNAGAR!C64+BOPAL!C65+THALTEJ!C65</f>
        <v/>
      </c>
      <c r="D66" s="1497">
        <f>+C66*9%</f>
        <v/>
      </c>
      <c r="E66" s="1497">
        <f>+D66</f>
        <v/>
      </c>
      <c r="F66" s="1503" t="n">
        <v>0</v>
      </c>
      <c r="I66" s="32" t="n"/>
    </row>
    <row r="67" ht="15.75" customHeight="1">
      <c r="A67" s="1448" t="inlineStr">
        <is>
          <t>PL 3751</t>
        </is>
      </c>
      <c r="B67" s="1243" t="inlineStr">
        <is>
          <t>INCIDENTAL LAW CHARGES (EXCLUSIVE)</t>
        </is>
      </c>
      <c r="C67" s="1539">
        <f>+'ODHAV '!C65+RAKHIAL!C65+CHANGODAR!C66+'NEW SHARDA'!C65+ISANPUR!C65+MANINAGAR!C65+'SHANTI COMM'!C65+MASKATI!C65+VEJALPUR!C65+'JODHPUR-SATELLITE'!C65+PANJRAPOLE!C65+'ASHRAM ROAD'!C65+NARAYANNAGAR!C65+NARANPURA!C65+'DRIVE IN'!C66+'VASANA '!C65+SURAT!C65+'LAW GARDEN'!C65+'NEW CLOTH'!C65+BAPUNAGAR!C65+BOPAL!C66+THALTEJ!C66</f>
        <v/>
      </c>
      <c r="D67" s="1497">
        <f>+C67*9%</f>
        <v/>
      </c>
      <c r="E67" s="1497">
        <f>+D67</f>
        <v/>
      </c>
      <c r="F67" s="1503">
        <f>IF(D67&gt;0," ",C67*18%)</f>
        <v/>
      </c>
      <c r="I67" s="32" t="n"/>
    </row>
    <row r="68" ht="15.75" customHeight="1">
      <c r="A68" s="1210" t="inlineStr">
        <is>
          <t xml:space="preserve">SUMMARY </t>
        </is>
      </c>
      <c r="I68" s="32" t="n"/>
    </row>
    <row r="69" ht="15.75" customHeight="1">
      <c r="A69" s="1214" t="n"/>
      <c r="B69" s="1214" t="n"/>
      <c r="C69" s="1214" t="n"/>
      <c r="D69" s="1214" t="inlineStr">
        <is>
          <t xml:space="preserve"> </t>
        </is>
      </c>
      <c r="E69" s="1214" t="n"/>
      <c r="F69" s="1214" t="n"/>
      <c r="I69" s="32" t="n"/>
    </row>
    <row r="70" ht="15.75" customHeight="1">
      <c r="A70" s="29" t="inlineStr">
        <is>
          <t>(1) INCOME</t>
        </is>
      </c>
      <c r="B70" s="29" t="n"/>
      <c r="C70" s="3" t="n"/>
      <c r="D70" s="1610" t="n"/>
      <c r="E70" s="3" t="n"/>
      <c r="F70" s="3" t="n"/>
      <c r="I70" s="32" t="n"/>
    </row>
    <row r="71">
      <c r="A71" s="1213" t="inlineStr">
        <is>
          <t>PARTICULARS</t>
        </is>
      </c>
      <c r="B71" s="1504" t="n"/>
      <c r="C71" s="1505" t="n"/>
      <c r="D71" s="1213" t="inlineStr">
        <is>
          <t>GGST</t>
        </is>
      </c>
      <c r="E71" s="1213" t="inlineStr">
        <is>
          <t>CGST</t>
        </is>
      </c>
      <c r="F71" s="1213" t="inlineStr">
        <is>
          <t>IGST</t>
        </is>
      </c>
      <c r="I71" s="32" t="n"/>
    </row>
    <row r="72">
      <c r="A72" s="1506" t="n"/>
      <c r="B72" s="1041" t="n"/>
      <c r="C72" s="1507" t="n"/>
      <c r="D72" s="1494" t="n"/>
      <c r="E72" s="1494" t="n"/>
      <c r="F72" s="1494" t="n"/>
      <c r="I72" s="32" t="n"/>
    </row>
    <row r="73" ht="15.75" customHeight="1">
      <c r="A73" s="59" t="inlineStr">
        <is>
          <t>(1) INCOME AS PER LEDGERWISE CALCULATION</t>
        </is>
      </c>
      <c r="B73" s="60" t="n"/>
      <c r="C73" s="1539">
        <f>+C64</f>
        <v/>
      </c>
      <c r="D73" s="1529">
        <f>+'ODHAV '!D71+RAKHIAL!D71+'NEW SHARDA'!D71+CHANGODAR!D71+ISANPUR!D71+MANINAGAR!D71+'SHANTI COMM'!D71+MASKATI!D71+VEJALPUR!D71+'JODHPUR-SATELLITE'!D71+PANJRAPOLE!D71+'ASHRAM ROAD'!D71+NARAYANNAGAR!D71+NARANPURA!D71+'DRIVE IN'!D71+'VASANA '!D71+SURAT!D71+'LAW GARDEN'!D71+'NEW CLOTH'!D71+BOPAL!D72+THALTEJ!D72+BAPUNAGAR!D71+CHANDKHEDA!D71+VASTRAL!D71</f>
        <v/>
      </c>
      <c r="E73" s="1529">
        <f>+'ODHAV '!E71+RAKHIAL!E71+'NEW SHARDA'!E71+CHANGODAR!E71+ISANPUR!E71+MANINAGAR!E71+'SHANTI COMM'!E71+MASKATI!E71+VEJALPUR!E71+'JODHPUR-SATELLITE'!E71+PANJRAPOLE!E71+'ASHRAM ROAD'!E71+NARAYANNAGAR!E71+NARANPURA!E71+'DRIVE IN'!E71+'VASANA '!E71+SURAT!E71+'LAW GARDEN'!E71+'NEW CLOTH'!E71+BOPAL!E72+THALTEJ!E72+BAPUNAGAR!E71+CHANDKHEDA!E71+VASTRAL!E71</f>
        <v/>
      </c>
      <c r="F73" s="1529">
        <f>+F64</f>
        <v/>
      </c>
      <c r="G73" s="1084">
        <f>+C73*9%</f>
        <v/>
      </c>
      <c r="H73" s="32">
        <f>+G73-D73</f>
        <v/>
      </c>
      <c r="I73" s="32" t="n"/>
    </row>
    <row r="74" ht="15.75" customHeight="1">
      <c r="A74" s="1243" t="inlineStr">
        <is>
          <t>(2) REFUND GIVEN BUT GST REFUND NOT GIVEN</t>
        </is>
      </c>
      <c r="B74" s="1243" t="n"/>
      <c r="C74" s="1539">
        <f>+'ODHAV '!C72+RAKHIAL!C72+'NEW SHARDA'!C72+CHANGODAR!C72+ISANPUR!C72+MANINAGAR!C72+'SHANTI COMM'!C72+MASKATI!C72+VEJALPUR!C72+'JODHPUR-SATELLITE'!C72+PANJRAPOLE!C72+'ASHRAM ROAD'!C72+NARAYANNAGAR!C72+NARANPURA!C72+'DRIVE IN'!C72+'VASANA '!C72+SURAT!C72+'LAW GARDEN'!C72+'NEW CLOTH'!C72+BAPUNAGAR!C72+BOPAL!C73+THALTEJ!C73</f>
        <v/>
      </c>
      <c r="D74" s="1529">
        <f>+'ODHAV '!D72+RAKHIAL!D72+'NEW SHARDA'!D72+CHANGODAR!D72+ISANPUR!D72+MANINAGAR!D72+'SHANTI COMM'!D72+MASKATI!D72+VEJALPUR!D72+'JODHPUR-SATELLITE'!D72+PANJRAPOLE!D72+'ASHRAM ROAD'!D72+NARAYANNAGAR!D72+NARANPURA!D72+'DRIVE IN'!D72+'VASANA '!D72+SURAT!D72+'LAW GARDEN'!D72+'NEW CLOTH'!D72+BOPAL!D73+THALTEJ!D73+BAPUNAGAR!D72+CHANDKHEDA!D72+VASTRAL!D72</f>
        <v/>
      </c>
      <c r="E74" s="1529">
        <f>+'ODHAV '!E72+RAKHIAL!E72+'NEW SHARDA'!E72+CHANGODAR!E72+ISANPUR!E72+MANINAGAR!E72+'SHANTI COMM'!E72+MASKATI!E72+VEJALPUR!E72+'JODHPUR-SATELLITE'!E72+PANJRAPOLE!E72+'ASHRAM ROAD'!E72+NARAYANNAGAR!E72+NARANPURA!E72+'DRIVE IN'!E72+'VASANA '!E72+SURAT!E72+'LAW GARDEN'!E72+'NEW CLOTH'!E72+BOPAL!E73+THALTEJ!E73+BAPUNAGAR!E72+CHANDKHEDA!E72+VASTRAL!E72</f>
        <v/>
      </c>
      <c r="F74" s="1529" t="n">
        <v>0</v>
      </c>
      <c r="G74" s="1084">
        <f>+C75*9%</f>
        <v/>
      </c>
      <c r="I74" s="32" t="n"/>
    </row>
    <row r="75" ht="15.75" customHeight="1">
      <c r="A75" s="1243" t="n"/>
      <c r="B75" s="1243" t="n"/>
      <c r="C75" s="1539">
        <f>+C73+C74</f>
        <v/>
      </c>
      <c r="D75" s="1529">
        <f>SUM(D73:D74)</f>
        <v/>
      </c>
      <c r="E75" s="1529">
        <f>SUM(E73:E74)</f>
        <v/>
      </c>
      <c r="F75" s="1529">
        <f>+F73+F74</f>
        <v/>
      </c>
      <c r="H75" s="1084" t="n"/>
      <c r="I75" s="32" t="n"/>
    </row>
    <row r="76" ht="15.75" customHeight="1">
      <c r="A76" s="1611" t="inlineStr">
        <is>
          <t>(3) PAYABLE AS PER LEDGER</t>
        </is>
      </c>
      <c r="B76" s="1042" t="n"/>
      <c r="C76" s="1508" t="n"/>
      <c r="D76" s="1528">
        <f>+'ODHAV '!D74+RAKHIAL!D74+'NEW SHARDA'!D74+CHANGODAR!D74+ISANPUR!D74+MANINAGAR!D74+'SHANTI COMM'!D74+MASKATI!D74+VEJALPUR!D74+'JODHPUR-SATELLITE'!D74+PANJRAPOLE!D74+'ASHRAM ROAD'!D74+NARAYANNAGAR!D74+NARANPURA!D74+'DRIVE IN'!D74+'VASANA '!D74+SURAT!D74+'LAW GARDEN'!D74+'NEW CLOTH'!D74+BAPUNAGAR!D74+BOPAL!D75+THALTEJ!D75+CHANDKHEDA!D74+VASTRAL!D74</f>
        <v/>
      </c>
      <c r="E76" s="1528">
        <f>+'ODHAV '!E74+RAKHIAL!E74+'NEW SHARDA'!E74+CHANGODAR!E74+ISANPUR!E74+MANINAGAR!E74+'SHANTI COMM'!E74+MASKATI!E74+VEJALPUR!E74+'JODHPUR-SATELLITE'!E74+PANJRAPOLE!E74+'ASHRAM ROAD'!E74+NARAYANNAGAR!E74+NARANPURA!E74+'DRIVE IN'!E74+'VASANA '!E74+SURAT!E74+'LAW GARDEN'!E74+'NEW CLOTH'!E74+BAPUNAGAR!E74+BOPAL!E75+THALTEJ!E75+CHANDKHEDA!E74+VASTRAL!E74</f>
        <v/>
      </c>
      <c r="F76" s="1528">
        <f>+'ODHAV '!F74+RAKHIAL!F74+CHANGODAR!F74+'NEW SHARDA'!F74+ISANPUR!F74+MANINAGAR!F74+'SHANTI COMM'!F74+MASKATI!F74+VEJALPUR!F74+'JODHPUR-SATELLITE'!F74+PANJRAPOLE!F74+'ASHRAM ROAD'!F74+NARAYANNAGAR!F74+NARANPURA!F74+'DRIVE IN'!F74+'VASANA '!F74+SURAT!F74+'LAW GARDEN'!F74+'NEW CLOTH'!F74+BAPUNAGAR!F74+BOPAL!F75+THALTEJ!F75</f>
        <v/>
      </c>
      <c r="G76" s="1084">
        <f>+D76+HO!D60</f>
        <v/>
      </c>
      <c r="H76" s="1084">
        <f>+E76+HO!E60</f>
        <v/>
      </c>
      <c r="I76" s="32">
        <f>+D76-D75</f>
        <v/>
      </c>
    </row>
    <row r="77" ht="15.75" customHeight="1">
      <c r="A77" s="1221" t="inlineStr">
        <is>
          <t>DIFFERENCE</t>
        </is>
      </c>
      <c r="B77" s="1042" t="n"/>
      <c r="C77" s="1508" t="n"/>
      <c r="D77" s="1529">
        <f>+'ODHAV '!D75+RAKHIAL!D75+'NEW SHARDA'!D75+CHANGODAR!D75+ISANPUR!D75+MANINAGAR!D75+'SHANTI COMM'!D75+MASKATI!D75+VEJALPUR!D75+'JODHPUR-SATELLITE'!D75+PANJRAPOLE!D75+'ASHRAM ROAD'!D75+NARAYANNAGAR!D75+NARANPURA!D75+'DRIVE IN'!D75+'VASANA '!D75+SURAT!D75+'LAW GARDEN'!D75+'NEW CLOTH'!D75+BAPUNAGAR!D75+BOPAL!D76+THALTEJ!D76</f>
        <v/>
      </c>
      <c r="E77" s="1529">
        <f>+'ODHAV '!E75+RAKHIAL!E75+CHANGODAR!E75+'NEW SHARDA'!E75+ISANPUR!E75+MANINAGAR!E75+'SHANTI COMM'!E75+MASKATI!E75+VEJALPUR!E75+'JODHPUR-SATELLITE'!E75+PANJRAPOLE!E75+'ASHRAM ROAD'!E75+NARAYANNAGAR!E75+NARANPURA!E75+'DRIVE IN'!E75+'VASANA '!E75+SURAT!E75+'LAW GARDEN'!E75+'NEW CLOTH'!E75+BAPUNAGAR!E75+BOPAL!E76+THALTEJ!E76</f>
        <v/>
      </c>
      <c r="F77" s="1529">
        <f>+F75-F76</f>
        <v/>
      </c>
      <c r="G77" s="1084">
        <f>+HO!D60</f>
        <v/>
      </c>
      <c r="H77" s="1084">
        <f>+HO!E60</f>
        <v/>
      </c>
      <c r="I77" s="32" t="n"/>
    </row>
    <row r="78" ht="15.75" customHeight="1">
      <c r="A78" s="3" t="n"/>
      <c r="B78" s="2" t="n"/>
      <c r="C78" s="3" t="n"/>
      <c r="D78" s="3" t="n"/>
      <c r="E78" s="3" t="n"/>
      <c r="F78" s="3" t="n"/>
      <c r="G78" s="1084">
        <f>+G76+G77</f>
        <v/>
      </c>
      <c r="H78" s="1084">
        <f>+H76+H77</f>
        <v/>
      </c>
      <c r="I78" s="32" t="n"/>
    </row>
    <row r="79" ht="15.75" customHeight="1">
      <c r="A79" s="27" t="inlineStr">
        <is>
          <t>(2) INPUT TAX CREDIT</t>
        </is>
      </c>
      <c r="B79" s="2" t="n"/>
      <c r="C79" s="199" t="n"/>
      <c r="D79" s="3" t="n"/>
      <c r="E79" s="3" t="n"/>
      <c r="F79" s="3" t="n"/>
      <c r="I79" s="32" t="n"/>
    </row>
    <row r="80">
      <c r="A80" s="1421" t="inlineStr">
        <is>
          <t>PARTICULARS</t>
        </is>
      </c>
      <c r="B80" s="1504" t="n"/>
      <c r="C80" s="1505" t="n"/>
      <c r="D80" s="1421" t="inlineStr">
        <is>
          <t>GL 8546 GGST</t>
        </is>
      </c>
      <c r="E80" s="1343" t="inlineStr">
        <is>
          <t>GL 8547 CGST</t>
        </is>
      </c>
      <c r="F80" s="1343" t="inlineStr">
        <is>
          <t>GL 8548 IGST</t>
        </is>
      </c>
      <c r="G80" s="1554" t="inlineStr">
        <is>
          <t xml:space="preserve"> </t>
        </is>
      </c>
      <c r="I80" s="32" t="n"/>
    </row>
    <row r="81">
      <c r="A81" s="1506" t="n"/>
      <c r="B81" s="1041" t="n"/>
      <c r="C81" s="1507" t="n"/>
      <c r="D81" s="1494" t="n"/>
      <c r="E81" s="1494" t="n"/>
      <c r="F81" s="1494" t="n"/>
      <c r="I81" s="32" t="n"/>
    </row>
    <row r="82">
      <c r="A82" s="1228" t="n"/>
      <c r="B82" s="1042" t="n"/>
      <c r="C82" s="1508" t="n"/>
      <c r="D82" s="1228" t="n"/>
      <c r="E82" s="1228" t="n"/>
      <c r="F82" s="1228" t="n"/>
      <c r="I82" s="32" t="n"/>
    </row>
    <row r="83" ht="20.25" customHeight="1">
      <c r="A83" s="1220" t="inlineStr">
        <is>
          <t>CURRENT MONTH INPUT TAX CREDIT AVAILABLE</t>
        </is>
      </c>
      <c r="B83" s="1042" t="n"/>
      <c r="C83" s="1508" t="n"/>
      <c r="D83" s="1529">
        <f>+'ODHAV '!D81+RAKHIAL!D81+CHANGODAR!D81+'NEW SHARDA'!D81+ISANPUR!D81+MANINAGAR!D81+'SHANTI COMM'!D81+MASKATI!D81+VEJALPUR!D81+'JODHPUR-SATELLITE'!D81+PANJRAPOLE!D81+'ASHRAM ROAD'!D81+NARAYANNAGAR!D82+NARANPURA!D82+'DRIVE IN'!D81+'VASANA '!D81+SURAT!D81+'LAW GARDEN'!D81+'NEW CLOTH'!D81+BAPUNAGAR!D81+BOPAL!D82+THALTEJ!D82+CHANDKHEDA!D81+VASTRAL!D81</f>
        <v/>
      </c>
      <c r="E83" s="1529">
        <f>+'ODHAV '!E81+RAKHIAL!E81+CHANGODAR!E81+'NEW SHARDA'!E81+ISANPUR!E81+MANINAGAR!E81+'SHANTI COMM'!E81+MASKATI!E81+VEJALPUR!E81+'JODHPUR-SATELLITE'!E81+PANJRAPOLE!E81+'ASHRAM ROAD'!E81+NARAYANNAGAR!E82+NARANPURA!E82+'DRIVE IN'!E81+'VASANA '!E81+SURAT!E81+'LAW GARDEN'!E81+'NEW CLOTH'!E81+BAPUNAGAR!E81+BOPAL!E82+THALTEJ!E82+CHANDKHEDA!E81+VASTRAL!E81</f>
        <v/>
      </c>
      <c r="F83" s="1529">
        <f>+'ODHAV '!F81+RAKHIAL!F81+CHANGODAR!F81+'NEW SHARDA'!F81+ISANPUR!F81+MANINAGAR!F81+'SHANTI COMM'!F81+MASKATI!F81+VEJALPUR!F81+'JODHPUR-SATELLITE'!F81+PANJRAPOLE!F81+'ASHRAM ROAD'!F81+NARAYANNAGAR!F82+NARANPURA!F82+'DRIVE IN'!F81+'VASANA '!F81+SURAT!F81+'LAW GARDEN'!F81+'NEW CLOTH'!F81+BAPUNAGAR!F81+BOPAL!F82+THALTEJ!F82+CHANDKHEDA!F81+VASTRAL!F81</f>
        <v/>
      </c>
      <c r="G83" s="1084">
        <f>+D83+HO!D67+DEMAT!D51</f>
        <v/>
      </c>
      <c r="H83" s="32">
        <f>+F83+HO!F67+DEMAT!F51</f>
        <v/>
      </c>
      <c r="I83" s="32" t="n"/>
    </row>
    <row r="84" ht="15.75" customHeight="1">
      <c r="A84" s="1228" t="inlineStr">
        <is>
          <t>LESS : CREDIT CANNOT BE UTILISED (BCUZ GST NO NOT AVAILABLE IN BILL)</t>
        </is>
      </c>
      <c r="B84" s="1042" t="n"/>
      <c r="C84" s="1508" t="n"/>
      <c r="D84" s="1529">
        <f>+'ODHAV '!D82+RAKHIAL!D82+CHANGODAR!D82+'NEW SHARDA'!D82+ISANPUR!D82+MANINAGAR!D82+'SHANTI COMM'!D82+MASKATI!D82+VEJALPUR!D82+'JODHPUR-SATELLITE'!D82+PANJRAPOLE!D82+'ASHRAM ROAD'!D82+NARAYANNAGAR!D83+NARANPURA!D83+'DRIVE IN'!D82+'VASANA '!D82+SURAT!D82+'LAW GARDEN'!D82+'NEW CLOTH'!D82+BAPUNAGAR!D82+BOPAL!D83+THALTEJ!D83+CHANDKHEDA!D82+VASTRAL!D82</f>
        <v/>
      </c>
      <c r="E84" s="1529">
        <f>+'ODHAV '!E82+RAKHIAL!E82+CHANGODAR!E82+'NEW SHARDA'!E82+ISANPUR!E82+MANINAGAR!E82+'SHANTI COMM'!E82+MASKATI!E82+VEJALPUR!E82+'JODHPUR-SATELLITE'!E82+PANJRAPOLE!E82+'ASHRAM ROAD'!E82+NARAYANNAGAR!E83+NARANPURA!E83+'DRIVE IN'!E82+'VASANA '!E82+SURAT!E82+'LAW GARDEN'!E82+'NEW CLOTH'!E82+BAPUNAGAR!E82+BOPAL!E83+THALTEJ!E83+CHANDKHEDA!E82+VASTRAL!E82</f>
        <v/>
      </c>
      <c r="F84" s="1529">
        <f>+'ODHAV '!F82+RAKHIAL!F82+CHANGODAR!F82+'NEW SHARDA'!F82+ISANPUR!F82+MANINAGAR!F82+'SHANTI COMM'!F82+MASKATI!F82+VEJALPUR!F82+'JODHPUR-SATELLITE'!F82+PANJRAPOLE!F82+'ASHRAM ROAD'!F82+NARAYANNAGAR!F83+NARANPURA!F83+'DRIVE IN'!F82+'VASANA '!F82+SURAT!F82+'LAW GARDEN'!F82+'NEW CLOTH'!F82+BAPUNAGAR!F82+BOPAL!F83+THALTEJ!F83+CHANDKHEDA!F82+VASTRAL!F82</f>
        <v/>
      </c>
      <c r="I84" s="32" t="n"/>
    </row>
    <row r="85" ht="15.75" customHeight="1">
      <c r="A85" s="1219" t="inlineStr">
        <is>
          <t>ELIGIBLE CREDIT</t>
        </is>
      </c>
      <c r="B85" s="1042" t="n"/>
      <c r="C85" s="1508" t="n"/>
      <c r="D85" s="1529">
        <f>+D83-D84</f>
        <v/>
      </c>
      <c r="E85" s="1529">
        <f>+E83-E84</f>
        <v/>
      </c>
      <c r="F85" s="1529">
        <f>+F83-F84</f>
        <v/>
      </c>
      <c r="I85" s="32" t="n"/>
    </row>
    <row r="86" ht="15.75" customHeight="1">
      <c r="A86" s="75" t="n"/>
      <c r="B86" s="75" t="n"/>
      <c r="C86" s="75" t="n"/>
      <c r="D86" s="1550" t="n"/>
      <c r="E86" s="1550" t="n"/>
      <c r="F86" s="1550" t="n"/>
      <c r="I86" s="32" t="n"/>
    </row>
    <row r="87">
      <c r="A87" s="212" t="n"/>
    </row>
    <row r="90" ht="15" customHeight="1">
      <c r="B90" s="1084" t="inlineStr">
        <is>
          <t xml:space="preserve"> </t>
        </is>
      </c>
    </row>
    <row r="94">
      <c r="K94" s="1084">
        <f>+C27+C28</f>
        <v/>
      </c>
    </row>
    <row r="117">
      <c r="K117" s="1084">
        <f>1673199.61-45-23924</f>
        <v/>
      </c>
    </row>
  </sheetData>
  <mergeCells count="28">
    <mergeCell ref="F80:F81"/>
    <mergeCell ref="A84:C84"/>
    <mergeCell ref="A7:A8"/>
    <mergeCell ref="G7:G8"/>
    <mergeCell ref="D80:D81"/>
    <mergeCell ref="I7:I8"/>
    <mergeCell ref="A3:F3"/>
    <mergeCell ref="D6:E6"/>
    <mergeCell ref="A76:C76"/>
    <mergeCell ref="A85:C85"/>
    <mergeCell ref="A5:F5"/>
    <mergeCell ref="D7:D8"/>
    <mergeCell ref="H7:H8"/>
    <mergeCell ref="D71:D72"/>
    <mergeCell ref="F71:F72"/>
    <mergeCell ref="A68:F68"/>
    <mergeCell ref="A80:C81"/>
    <mergeCell ref="A71:C72"/>
    <mergeCell ref="E80:E81"/>
    <mergeCell ref="C7:C8"/>
    <mergeCell ref="E7:E8"/>
    <mergeCell ref="A77:C77"/>
    <mergeCell ref="A83:C83"/>
    <mergeCell ref="A82:C82"/>
    <mergeCell ref="E71:E72"/>
    <mergeCell ref="A1:F1"/>
    <mergeCell ref="B7:B8"/>
    <mergeCell ref="F7:F8"/>
  </mergeCells>
  <conditionalFormatting sqref="A28:B34">
    <cfRule type="containsText" priority="89" operator="containsText" dxfId="0" text="LESS COLLECTED">
      <formula>NOT(ISERROR(SEARCH("LESS COLLECTED",A28)))</formula>
    </cfRule>
  </conditionalFormatting>
  <conditionalFormatting sqref="A35:B35">
    <cfRule type="containsText" priority="84" operator="containsText" dxfId="1" text="EXCESS COLLECTED">
      <formula>NOT(ISERROR(SEARCH("EXCESS COLLECTED",A35)))</formula>
    </cfRule>
    <cfRule type="containsText" priority="85" operator="containsText" dxfId="0" text="LESS COLLECTED">
      <formula>NOT(ISERROR(SEARCH("LESS COLLECTED",A35)))</formula>
    </cfRule>
  </conditionalFormatting>
  <conditionalFormatting sqref="A54:B54">
    <cfRule type="containsText" priority="4" operator="containsText" dxfId="0" text="LESS COLLECTED">
      <formula>NOT(ISERROR(SEARCH("LESS COLLECTED",A54)))</formula>
    </cfRule>
  </conditionalFormatting>
  <conditionalFormatting sqref="A55:B57">
    <cfRule type="containsText" priority="9" operator="containsText" dxfId="0" text="LESS COLLECTED">
      <formula>NOT(ISERROR(SEARCH("LESS COLLECTED",A55)))</formula>
    </cfRule>
  </conditionalFormatting>
  <conditionalFormatting sqref="A57:B57">
    <cfRule type="containsText" priority="8" operator="containsText" dxfId="1" text="EXCESS COLLECTED">
      <formula>NOT(ISERROR(SEARCH("EXCESS COLLECTED",A57)))</formula>
    </cfRule>
  </conditionalFormatting>
  <conditionalFormatting sqref="A1:XFD6 A7:F7 A58:F61 B8 B87:F87 D8:F8 H87:XFD1048576 I82:I86 J7:XFD7 J58:S65 J66:XFD86 M8:O8 M9:P9 N10:P15 N16:S22 O23:S23 R48:S51">
    <cfRule type="containsText" priority="463" operator="containsText" dxfId="0" text="LESS COLLECTED">
      <formula>NOT(ISERROR(SEARCH("LESS COLLECTED",A1)))</formula>
    </cfRule>
  </conditionalFormatting>
  <conditionalFormatting sqref="C10:C54">
    <cfRule type="containsText" priority="6" operator="containsText" dxfId="0" text="LESS COLLECTED">
      <formula>NOT(ISERROR(SEARCH("LESS COLLECTED",C10)))</formula>
    </cfRule>
  </conditionalFormatting>
  <conditionalFormatting sqref="C59:C62">
    <cfRule type="containsText" priority="94" operator="containsText" dxfId="1" text="EXCESS COLLECTED">
      <formula>NOT(ISERROR(SEARCH("EXCESS COLLECTED",C59)))</formula>
    </cfRule>
    <cfRule type="containsText" priority="95" operator="containsText" dxfId="0" text="LESS COLLECTED">
      <formula>NOT(ISERROR(SEARCH("LESS COLLECTED",C59)))</formula>
    </cfRule>
  </conditionalFormatting>
  <conditionalFormatting sqref="C55:F57">
    <cfRule type="containsText" priority="13" operator="containsText" dxfId="0" text="LESS COLLECTED">
      <formula>NOT(ISERROR(SEARCH("LESS COLLECTED",C55)))</formula>
    </cfRule>
  </conditionalFormatting>
  <conditionalFormatting sqref="A10:B27 A36:B53 A88:F88 A89 A90:F1048576 C89:F89 D36:F53 G62:G64 M52:S57 U8:XFD65">
    <cfRule type="containsText" priority="62" operator="containsText" dxfId="0" text="LESS COLLECTED">
      <formula>NOT(ISERROR(SEARCH("LESS COLLECTED",A8)))</formula>
    </cfRule>
  </conditionalFormatting>
  <conditionalFormatting sqref="D48:F53">
    <cfRule type="containsText" priority="45" operator="containsText" dxfId="1" text="EXCESS COLLECTED">
      <formula>NOT(ISERROR(SEARCH("EXCESS COLLECTED",D48)))</formula>
    </cfRule>
  </conditionalFormatting>
  <conditionalFormatting sqref="D51:F51">
    <cfRule type="containsText" priority="41" operator="containsText" dxfId="1" text="EXCESS COLLECTED">
      <formula>NOT(ISERROR(SEARCH("EXCESS COLLECTED",D51)))</formula>
    </cfRule>
    <cfRule type="containsText" priority="42" operator="containsText" dxfId="0" text="LESS COLLECTED">
      <formula>NOT(ISERROR(SEARCH("LESS COLLECTED",D51)))</formula>
    </cfRule>
  </conditionalFormatting>
  <conditionalFormatting sqref="A48:B54 D54:F54">
    <cfRule type="containsText" priority="7" operator="containsText" dxfId="1" text="EXCESS COLLECTED">
      <formula>NOT(ISERROR(SEARCH("EXCESS COLLECTED",A48)))</formula>
    </cfRule>
  </conditionalFormatting>
  <conditionalFormatting sqref="D54:F54">
    <cfRule type="containsText" priority="5" operator="containsText" dxfId="0" text="LESS COLLECTED">
      <formula>NOT(ISERROR(SEARCH("LESS COLLECTED",D54)))</formula>
    </cfRule>
  </conditionalFormatting>
  <conditionalFormatting sqref="A28:B32 A55:B56 D55:F56">
    <cfRule type="containsText" priority="88" operator="containsText" dxfId="1" text="EXCESS COLLECTED">
      <formula>NOT(ISERROR(SEARCH("EXCESS COLLECTED",A28)))</formula>
    </cfRule>
  </conditionalFormatting>
  <conditionalFormatting sqref="D57:F57">
    <cfRule type="containsText" priority="10" operator="containsText" dxfId="1" text="EXCESS COLLECTED">
      <formula>NOT(ISERROR(SEARCH("EXCESS COLLECTED",D57)))</formula>
    </cfRule>
  </conditionalFormatting>
  <conditionalFormatting sqref="G10:H61">
    <cfRule type="containsText" priority="3" operator="containsText" dxfId="0" text="LESS COLLECTED">
      <formula>NOT(ISERROR(SEARCH("LESS COLLECTED",G10)))</formula>
    </cfRule>
  </conditionalFormatting>
  <conditionalFormatting sqref="G75:H75">
    <cfRule type="containsText" priority="110" operator="containsText" dxfId="1" text="EXC">
      <formula>NOT(ISERROR(SEARCH("EXC",G75)))</formula>
    </cfRule>
    <cfRule type="containsText" priority="111" operator="containsText" dxfId="1" text="LESS">
      <formula>NOT(ISERROR(SEARCH("LESS",G75)))</formula>
    </cfRule>
    <cfRule type="containsText" priority="112" operator="containsText" dxfId="27" text="EXC">
      <formula>NOT(ISERROR(SEARCH("EXC",G75)))</formula>
    </cfRule>
  </conditionalFormatting>
  <conditionalFormatting sqref="A64:F86 I59:I80">
    <cfRule type="containsText" priority="456" operator="containsText" dxfId="0" text="LESS COLLECTED">
      <formula>NOT(ISERROR(SEARCH("LESS COLLECTED",A59)))</formula>
    </cfRule>
  </conditionalFormatting>
  <conditionalFormatting sqref="A74:F75 C66:C67 D71:E72 D76:E77 D83:F84 I61">
    <cfRule type="containsText" priority="455" operator="containsText" dxfId="1" text="EXCESS COLLECTED">
      <formula>NOT(ISERROR(SEARCH("EXCESS COLLECTED",A61)))</formula>
    </cfRule>
  </conditionalFormatting>
  <conditionalFormatting sqref="M10:M51 N33:S47">
    <cfRule type="containsText" priority="87" operator="containsText" dxfId="0" text="LESS COLLECTED">
      <formula>NOT(ISERROR(SEARCH("LESS COLLECTED",M10)))</formula>
    </cfRule>
  </conditionalFormatting>
  <conditionalFormatting sqref="Q9:Q14">
    <cfRule type="containsText" priority="1" operator="containsText" dxfId="0" text="LESS COLLECTED">
      <formula>NOT(ISERROR(SEARCH("LESS COLLECTED",Q9)))</formula>
    </cfRule>
  </conditionalFormatting>
  <pageMargins left="1.405511811" right="0.118110236220472" top="0" bottom="0" header="0.31496062992126" footer="0.31496062992126"/>
  <pageSetup orientation="portrait" paperSize="9" scale="37"/>
</worksheet>
</file>

<file path=xl/worksheets/sheet26.xml><?xml version="1.0" encoding="utf-8"?>
<worksheet xmlns="http://schemas.openxmlformats.org/spreadsheetml/2006/main">
  <sheetPr codeName="Sheet24">
    <outlinePr summaryBelow="1" summaryRight="1"/>
    <pageSetUpPr/>
  </sheetPr>
  <dimension ref="A1:K103"/>
  <sheetViews>
    <sheetView topLeftCell="A22" workbookViewId="0">
      <selection activeCell="F12" sqref="F12"/>
    </sheetView>
  </sheetViews>
  <sheetFormatPr baseColWidth="8" defaultColWidth="9.140625" defaultRowHeight="15"/>
  <cols>
    <col width="13.28515625" customWidth="1" style="1612" min="1" max="1"/>
    <col width="52" customWidth="1" style="1612" min="2" max="2"/>
    <col width="15.5703125" bestFit="1" customWidth="1" style="1612" min="3" max="3"/>
    <col width="16.5703125" customWidth="1" style="1612" min="4" max="4"/>
    <col width="14.5703125" customWidth="1" style="1612" min="5" max="5"/>
    <col width="17.140625" customWidth="1" style="1612" min="6" max="6"/>
    <col width="18.28515625" customWidth="1" style="1612" min="7" max="7"/>
    <col width="17.5703125" customWidth="1" style="1612" min="8" max="8"/>
    <col width="27.7109375" bestFit="1" customWidth="1" style="1612" min="9" max="9"/>
    <col width="29.5703125" bestFit="1" customWidth="1" style="1612" min="10" max="10"/>
    <col width="14.28515625" bestFit="1" customWidth="1" style="1612" min="11" max="11"/>
    <col width="9.140625" customWidth="1" style="1612" min="12" max="16384"/>
  </cols>
  <sheetData>
    <row r="1" ht="18" customHeight="1">
      <c r="A1" s="1613" t="inlineStr">
        <is>
          <t>NUTAN NAGARIK SAHAKARI BANK LTD., HEAD OFFICE</t>
        </is>
      </c>
      <c r="G1" s="1614" t="n"/>
    </row>
    <row r="2" ht="15.75" customHeight="1">
      <c r="A2" s="1615" t="inlineStr">
        <is>
          <t>BRANCH CODE: 01</t>
        </is>
      </c>
    </row>
    <row r="3" ht="15.75" customHeight="1">
      <c r="A3" s="1210">
        <f>+DEMAT!A3</f>
        <v/>
      </c>
      <c r="G3" s="1210" t="n"/>
    </row>
    <row r="4">
      <c r="A4" s="1616" t="inlineStr">
        <is>
          <t xml:space="preserve"> </t>
        </is>
      </c>
      <c r="G4" s="1612" t="n"/>
      <c r="H4" s="1612" t="n"/>
    </row>
    <row r="5" ht="15.75" customHeight="1">
      <c r="A5" s="1493" t="inlineStr">
        <is>
          <t>CODE NO.</t>
        </is>
      </c>
      <c r="B5" s="1617" t="inlineStr">
        <is>
          <t>PARTICULARS</t>
        </is>
      </c>
      <c r="C5" s="1493" t="inlineStr">
        <is>
          <t xml:space="preserve">TOTAL </t>
        </is>
      </c>
      <c r="D5" s="1213" t="inlineStr">
        <is>
          <t>GGST</t>
        </is>
      </c>
      <c r="E5" s="1213" t="inlineStr">
        <is>
          <t>CGST</t>
        </is>
      </c>
      <c r="F5" s="1618" t="inlineStr">
        <is>
          <t>IGST</t>
        </is>
      </c>
      <c r="G5" s="1343" t="inlineStr">
        <is>
          <t>REFUND WITHOUT GST</t>
        </is>
      </c>
      <c r="H5" s="1344" t="inlineStr">
        <is>
          <t>REFUND WITH GST</t>
        </is>
      </c>
    </row>
    <row r="6" ht="15.75" customHeight="1">
      <c r="A6" s="1495" t="inlineStr">
        <is>
          <t>PL</t>
        </is>
      </c>
      <c r="B6" s="1619" t="n"/>
      <c r="C6" s="1495" t="inlineStr">
        <is>
          <t>INCOME</t>
        </is>
      </c>
      <c r="D6" s="1494" t="n"/>
      <c r="E6" s="1494" t="n"/>
      <c r="F6" s="1506" t="n"/>
      <c r="G6" s="1494" t="n"/>
      <c r="H6" s="1494" t="n"/>
    </row>
    <row r="7">
      <c r="A7" s="1620" t="n"/>
      <c r="B7" s="1621" t="inlineStr">
        <is>
          <t xml:space="preserve"> </t>
        </is>
      </c>
      <c r="C7" s="1621" t="n">
        <v>0</v>
      </c>
      <c r="D7" s="1496" t="n"/>
      <c r="E7" s="1496" t="n"/>
      <c r="F7" s="1622" t="n">
        <v>0</v>
      </c>
      <c r="G7" s="1496" t="n"/>
      <c r="H7" s="1623" t="n"/>
    </row>
    <row r="8">
      <c r="A8" s="51" t="n">
        <v>3200</v>
      </c>
      <c r="B8" s="1220" t="inlineStr">
        <is>
          <t>COMMISION ON BILLS</t>
        </is>
      </c>
      <c r="C8" s="1497" t="n">
        <v>0</v>
      </c>
      <c r="D8" s="1497">
        <f>+C8*9%</f>
        <v/>
      </c>
      <c r="E8" s="1497">
        <f>+D8</f>
        <v/>
      </c>
      <c r="F8" s="1624" t="n">
        <v>0</v>
      </c>
      <c r="G8" s="1623" t="n"/>
      <c r="H8" s="1623" t="n"/>
    </row>
    <row r="9">
      <c r="A9" s="51" t="n">
        <v>3215</v>
      </c>
      <c r="B9" s="1220" t="inlineStr">
        <is>
          <t>COMMISION ON PAYORDER</t>
        </is>
      </c>
      <c r="C9" s="1497" t="n"/>
      <c r="D9" s="1497">
        <f>+C9*9%</f>
        <v/>
      </c>
      <c r="E9" s="1497">
        <f>+D9</f>
        <v/>
      </c>
      <c r="F9" s="1624" t="n">
        <v>0</v>
      </c>
      <c r="G9" s="1497" t="n"/>
      <c r="H9" s="1623" t="n"/>
    </row>
    <row r="10">
      <c r="A10" s="51" t="n">
        <v>3225</v>
      </c>
      <c r="B10" s="1220" t="inlineStr">
        <is>
          <t>COMMISION I.B.C.</t>
        </is>
      </c>
      <c r="C10" s="1497" t="n"/>
      <c r="D10" s="1497">
        <f>+C10*9%</f>
        <v/>
      </c>
      <c r="E10" s="1497">
        <f>+D10</f>
        <v/>
      </c>
      <c r="F10" s="1624" t="n">
        <v>0</v>
      </c>
      <c r="G10" s="1497" t="n"/>
      <c r="H10" s="1623" t="n"/>
    </row>
    <row r="11">
      <c r="A11" s="51" t="n">
        <v>3230</v>
      </c>
      <c r="B11" s="1220" t="inlineStr">
        <is>
          <t>COMMISION ON GUARANTEE</t>
        </is>
      </c>
      <c r="C11" s="1497" t="n"/>
      <c r="D11" s="1497">
        <f>+C11*9%</f>
        <v/>
      </c>
      <c r="E11" s="1497">
        <f>+D11</f>
        <v/>
      </c>
      <c r="F11" s="1624" t="n">
        <v>0</v>
      </c>
      <c r="G11" s="1497" t="n"/>
      <c r="H11" s="1623" t="n"/>
    </row>
    <row r="12">
      <c r="A12" s="51" t="n">
        <v>3235</v>
      </c>
      <c r="B12" s="1220" t="inlineStr">
        <is>
          <t>COMMISION ON DEMAND DRAFT</t>
        </is>
      </c>
      <c r="C12" s="1497" t="n"/>
      <c r="D12" s="1497">
        <f>+C12*9%</f>
        <v/>
      </c>
      <c r="E12" s="1497">
        <f>+D12</f>
        <v/>
      </c>
      <c r="F12" s="1624" t="n">
        <v>0</v>
      </c>
      <c r="G12" s="1497" t="n">
        <v>0</v>
      </c>
      <c r="H12" s="1623" t="n"/>
    </row>
    <row r="13">
      <c r="A13" s="51" t="n">
        <v>3250</v>
      </c>
      <c r="B13" s="1220" t="inlineStr">
        <is>
          <t>LETTERS OF GUARANTEE</t>
        </is>
      </c>
      <c r="C13" s="1497" t="n"/>
      <c r="D13" s="1497">
        <f>+C13*9%</f>
        <v/>
      </c>
      <c r="E13" s="1497">
        <f>+D13</f>
        <v/>
      </c>
      <c r="F13" s="1624" t="n">
        <v>0</v>
      </c>
      <c r="G13" s="1497" t="n"/>
      <c r="H13" s="1623" t="n"/>
    </row>
    <row r="14">
      <c r="A14" s="51" t="n">
        <v>3270</v>
      </c>
      <c r="B14" s="1220" t="inlineStr">
        <is>
          <t>PROCESSING CHARGE</t>
        </is>
      </c>
      <c r="C14" s="1497" t="n"/>
      <c r="D14" s="1497">
        <f>+(C14-F14/18%)*9%</f>
        <v/>
      </c>
      <c r="E14" s="1497">
        <f>+D14</f>
        <v/>
      </c>
      <c r="F14" s="1624" t="n"/>
      <c r="G14" s="1497" t="n"/>
      <c r="H14" s="1623" t="n"/>
      <c r="I14" s="1612" t="n"/>
      <c r="J14" s="1612" t="n"/>
      <c r="K14" s="1612" t="n"/>
    </row>
    <row r="15">
      <c r="A15" s="51" t="n">
        <v>3274</v>
      </c>
      <c r="B15" s="1220" t="inlineStr">
        <is>
          <t xml:space="preserve">INCOME FROM E-STAMPING     </t>
        </is>
      </c>
      <c r="C15" s="1531" t="n"/>
      <c r="D15" s="1497">
        <f>+(C15-F15/18%)*9%</f>
        <v/>
      </c>
      <c r="E15" s="1497">
        <f>+D15</f>
        <v/>
      </c>
      <c r="F15" s="1624" t="n">
        <v>0</v>
      </c>
      <c r="G15" s="1497" t="n"/>
      <c r="H15" s="1623" t="n"/>
      <c r="I15" s="1612" t="n"/>
      <c r="J15" s="1612" t="n"/>
      <c r="K15" s="1612" t="n"/>
    </row>
    <row r="16">
      <c r="A16" s="51" t="n">
        <v>3281</v>
      </c>
      <c r="B16" s="1220" t="inlineStr">
        <is>
          <t>ATM CHARGES  (NFS)</t>
        </is>
      </c>
      <c r="C16" s="1531" t="n"/>
      <c r="D16" s="1497">
        <f>+C16*9%</f>
        <v/>
      </c>
      <c r="E16" s="1497">
        <f>+D16</f>
        <v/>
      </c>
      <c r="F16" s="1624" t="n">
        <v>0</v>
      </c>
      <c r="G16" s="1497" t="n">
        <v>0</v>
      </c>
      <c r="H16" s="1623" t="n"/>
      <c r="I16" s="1612" t="n"/>
      <c r="J16" s="1612" t="n"/>
      <c r="K16" s="1612" t="n"/>
    </row>
    <row r="17">
      <c r="A17" s="51" t="n">
        <v>3282</v>
      </c>
      <c r="B17" s="1220" t="inlineStr">
        <is>
          <t>DEBIT CARD CHARGES INCOME</t>
        </is>
      </c>
      <c r="C17" s="1531" t="n"/>
      <c r="D17" s="1497">
        <f>+C17*9%</f>
        <v/>
      </c>
      <c r="E17" s="1497">
        <f>+D17</f>
        <v/>
      </c>
      <c r="F17" s="1624" t="n">
        <v>0</v>
      </c>
      <c r="G17" s="1497" t="n">
        <v>0</v>
      </c>
      <c r="H17" s="1623" t="n"/>
      <c r="I17" s="1612" t="n"/>
      <c r="J17" s="1612" t="n"/>
      <c r="K17" s="1612" t="n"/>
    </row>
    <row r="18">
      <c r="A18" s="51" t="n">
        <v>3284</v>
      </c>
      <c r="B18" s="1220" t="inlineStr">
        <is>
          <t>IMPS CHARGES INCOME</t>
        </is>
      </c>
      <c r="C18" s="1531" t="n"/>
      <c r="D18" s="1497">
        <f>+(C18-F18/18%)*9%</f>
        <v/>
      </c>
      <c r="E18" s="1497">
        <f>+D18</f>
        <v/>
      </c>
      <c r="F18" s="1624" t="n"/>
      <c r="G18" s="1497" t="n">
        <v>0</v>
      </c>
      <c r="H18" s="1623" t="n"/>
      <c r="I18" s="1625" t="n"/>
      <c r="J18" s="1612" t="n"/>
      <c r="K18" s="1612" t="n"/>
    </row>
    <row r="19">
      <c r="A19" s="51" t="inlineStr">
        <is>
          <t>3285</t>
        </is>
      </c>
      <c r="B19" s="1220" t="inlineStr">
        <is>
          <t>COMMISSION ON RTGS</t>
        </is>
      </c>
      <c r="C19" s="1531" t="n"/>
      <c r="D19" s="1497">
        <f>+C19*9%</f>
        <v/>
      </c>
      <c r="E19" s="1497">
        <f>+D19</f>
        <v/>
      </c>
      <c r="F19" s="1624" t="n">
        <v>0</v>
      </c>
      <c r="G19" s="1497" t="n">
        <v>0</v>
      </c>
      <c r="H19" s="1623" t="n"/>
      <c r="I19" s="1625" t="n"/>
      <c r="J19" s="1612" t="n"/>
      <c r="K19" s="1612" t="n"/>
    </row>
    <row r="20">
      <c r="A20" s="51" t="inlineStr">
        <is>
          <t>3286</t>
        </is>
      </c>
      <c r="B20" s="1220" t="inlineStr">
        <is>
          <t>COMM. ON PMJJBY LIC</t>
        </is>
      </c>
      <c r="C20" s="1531" t="n"/>
      <c r="D20" s="1497">
        <f>+(C20-F20/18%)*9%</f>
        <v/>
      </c>
      <c r="E20" s="1497">
        <f>D20</f>
        <v/>
      </c>
      <c r="F20" s="1624" t="n">
        <v>0</v>
      </c>
      <c r="G20" s="1497" t="n">
        <v>0</v>
      </c>
      <c r="H20" s="1623" t="n">
        <v>0</v>
      </c>
      <c r="I20" s="1625" t="n"/>
      <c r="J20" s="1612" t="n"/>
      <c r="K20" s="1612" t="n"/>
    </row>
    <row r="21">
      <c r="A21" s="51" t="n">
        <v>3287</v>
      </c>
      <c r="B21" s="1220" t="inlineStr">
        <is>
          <t>COMM. ON PMJJBY LIC</t>
        </is>
      </c>
      <c r="C21" s="1531" t="n"/>
      <c r="D21" s="1497">
        <f>+(C21-F21/18%)*9%</f>
        <v/>
      </c>
      <c r="E21" s="1497">
        <f>+D21</f>
        <v/>
      </c>
      <c r="F21" s="1624" t="n">
        <v>0</v>
      </c>
      <c r="G21" s="1497" t="n">
        <v>0</v>
      </c>
      <c r="H21" s="1623" t="n"/>
      <c r="I21" s="1625" t="n"/>
      <c r="J21" s="1612" t="n"/>
      <c r="K21" s="1612" t="n"/>
    </row>
    <row r="22">
      <c r="A22" s="51" t="n">
        <v>3288</v>
      </c>
      <c r="B22" s="1220" t="inlineStr">
        <is>
          <t>NPCI SETTLEMENT</t>
        </is>
      </c>
      <c r="C22" s="1531" t="n"/>
      <c r="D22" s="1497">
        <f>+(C22-F22/18%)*9%</f>
        <v/>
      </c>
      <c r="E22" s="1497">
        <f>+D22</f>
        <v/>
      </c>
      <c r="F22" s="1624" t="n">
        <v>0</v>
      </c>
      <c r="G22" s="1497" t="n"/>
      <c r="H22" s="1623" t="n"/>
      <c r="I22" s="1625" t="n"/>
      <c r="J22" s="1612" t="n"/>
      <c r="K22" s="1612" t="n"/>
    </row>
    <row r="23">
      <c r="A23" s="51" t="n">
        <v>3289</v>
      </c>
      <c r="B23" s="1220" t="inlineStr">
        <is>
          <t>COMMISION ON APY-NPS</t>
        </is>
      </c>
      <c r="C23" s="1531" t="n"/>
      <c r="D23" s="1497">
        <f>+C23*9%</f>
        <v/>
      </c>
      <c r="E23" s="1497">
        <f>+D23</f>
        <v/>
      </c>
      <c r="F23" s="1624" t="n">
        <v>0</v>
      </c>
      <c r="G23" s="1497" t="n">
        <v>0</v>
      </c>
      <c r="H23" s="1623" t="n"/>
      <c r="I23" s="1625" t="n"/>
      <c r="J23" s="1612" t="n"/>
      <c r="K23" s="1612" t="n"/>
    </row>
    <row r="24">
      <c r="A24" s="158" t="inlineStr">
        <is>
          <t>3292</t>
        </is>
      </c>
      <c r="B24" s="1220" t="inlineStr">
        <is>
          <t>BILL DESK COMMISSION</t>
        </is>
      </c>
      <c r="C24" s="1531" t="n"/>
      <c r="D24" s="1497">
        <f>+(C24-F24/18%)*9%</f>
        <v/>
      </c>
      <c r="E24" s="1497">
        <f>+D24</f>
        <v/>
      </c>
      <c r="F24" s="1624" t="n">
        <v>0</v>
      </c>
      <c r="G24" s="1497" t="n">
        <v>0</v>
      </c>
      <c r="H24" s="1623" t="n"/>
      <c r="I24" s="1625" t="n"/>
      <c r="J24" s="1612" t="n"/>
      <c r="K24" s="1612" t="n"/>
    </row>
    <row r="25">
      <c r="A25" s="158" t="n">
        <v>3293</v>
      </c>
      <c r="B25" s="1220" t="inlineStr">
        <is>
          <t>MOBILE BILL DISK COMM. (BBPS)</t>
        </is>
      </c>
      <c r="C25" s="1531" t="n"/>
      <c r="D25" s="1497">
        <f>+(C25-F25/18%)*9%</f>
        <v/>
      </c>
      <c r="E25" s="1497">
        <f>+D25</f>
        <v/>
      </c>
      <c r="F25" s="1624" t="n"/>
      <c r="G25" s="1497" t="n">
        <v>0</v>
      </c>
      <c r="H25" s="1623" t="n"/>
      <c r="I25" s="1625" t="n"/>
      <c r="J25" s="1612" t="n"/>
      <c r="K25" s="1612" t="n"/>
    </row>
    <row r="26">
      <c r="A26" s="158" t="n">
        <v>3294</v>
      </c>
      <c r="B26" s="1220" t="inlineStr">
        <is>
          <t xml:space="preserve"> A/C (MEITY) INCENTIVE REC FROM NPCI(UPI/POS)</t>
        </is>
      </c>
      <c r="C26" s="1531" t="n"/>
      <c r="D26" s="1497">
        <f>+(C26-F26/18%)*9%</f>
        <v/>
      </c>
      <c r="E26" s="1497">
        <f>+D26</f>
        <v/>
      </c>
      <c r="F26" s="1624" t="n">
        <v>0</v>
      </c>
      <c r="G26" s="1497" t="n">
        <v>0</v>
      </c>
      <c r="H26" s="1626" t="n"/>
      <c r="I26" s="1625" t="n"/>
      <c r="J26" s="1612" t="n"/>
      <c r="K26" s="1612" t="n"/>
    </row>
    <row r="27" ht="15.75" customHeight="1">
      <c r="A27" s="51" t="inlineStr">
        <is>
          <t>3300</t>
        </is>
      </c>
      <c r="B27" s="1220" t="inlineStr">
        <is>
          <t>INCIDENTAL CHARGES</t>
        </is>
      </c>
      <c r="C27" s="1531" t="n"/>
      <c r="D27" s="1497">
        <f>+C27*9%</f>
        <v/>
      </c>
      <c r="E27" s="1497">
        <f>+D27</f>
        <v/>
      </c>
      <c r="F27" s="1624" t="n">
        <v>0</v>
      </c>
      <c r="G27" s="1497" t="n">
        <v>0</v>
      </c>
      <c r="H27" s="1627" t="n"/>
      <c r="I27" s="1625" t="n"/>
      <c r="J27" s="1628" t="n"/>
      <c r="K27" s="1628" t="n"/>
    </row>
    <row r="28" ht="15" customHeight="1">
      <c r="A28" s="51" t="inlineStr">
        <is>
          <t>3305</t>
        </is>
      </c>
      <c r="B28" s="1220" t="inlineStr">
        <is>
          <t>SHARE TRANSFER FEES</t>
        </is>
      </c>
      <c r="C28" s="1531" t="n"/>
      <c r="D28" s="1497">
        <f>+(C28-F28/18%)*9%</f>
        <v/>
      </c>
      <c r="E28" s="1497">
        <f>D28</f>
        <v/>
      </c>
      <c r="F28" s="1624" t="n">
        <v>0</v>
      </c>
      <c r="G28" s="1497" t="n"/>
      <c r="H28" s="1623" t="n"/>
      <c r="I28" s="1625" t="n"/>
      <c r="J28" s="1628" t="n"/>
      <c r="K28" s="1628" t="n"/>
    </row>
    <row r="29" ht="15" customHeight="1">
      <c r="A29" s="51" t="n">
        <v>3308</v>
      </c>
      <c r="B29" s="988" t="inlineStr">
        <is>
          <t xml:space="preserve"> A/C COMMITMENT AMT FORFEITED  </t>
        </is>
      </c>
      <c r="C29" s="1531" t="n"/>
      <c r="D29" s="1497">
        <f>+(C29-F29/18%)*9%</f>
        <v/>
      </c>
      <c r="E29" s="1497">
        <f>D29</f>
        <v/>
      </c>
      <c r="F29" s="1624" t="n">
        <v>0</v>
      </c>
      <c r="G29" s="1497" t="n">
        <v>0</v>
      </c>
      <c r="H29" s="1623" t="n"/>
      <c r="I29" s="1625" t="n"/>
      <c r="J29" s="1628" t="n"/>
      <c r="K29" s="1628" t="n"/>
    </row>
    <row r="30" ht="15.75" customHeight="1">
      <c r="A30" s="51" t="inlineStr">
        <is>
          <t>3309</t>
        </is>
      </c>
      <c r="B30" s="1220" t="inlineStr">
        <is>
          <t xml:space="preserve">MIS. INCOME WITH GST </t>
        </is>
      </c>
      <c r="C30" s="1531" t="n"/>
      <c r="D30" s="1497">
        <f>+(C30-F30/18%)*9%</f>
        <v/>
      </c>
      <c r="E30" s="1497">
        <f>D30</f>
        <v/>
      </c>
      <c r="F30" s="1624" t="n"/>
      <c r="G30" s="1497" t="n">
        <v>0</v>
      </c>
      <c r="H30" s="1623" t="n"/>
      <c r="I30" s="1625" t="n"/>
      <c r="J30" s="1628" t="n"/>
      <c r="K30" s="1628" t="n"/>
    </row>
    <row r="31" ht="15.75" customHeight="1">
      <c r="A31" s="51" t="n">
        <v>3309</v>
      </c>
      <c r="B31" s="1220" t="inlineStr">
        <is>
          <t>MIS. INCOME WITH GST 5%</t>
        </is>
      </c>
      <c r="C31" s="1531" t="n"/>
      <c r="D31" s="1497">
        <f>+C31*2.5%</f>
        <v/>
      </c>
      <c r="E31" s="1497">
        <f>D31</f>
        <v/>
      </c>
      <c r="F31" s="1624" t="n">
        <v>0</v>
      </c>
      <c r="G31" s="1497" t="n">
        <v>0</v>
      </c>
      <c r="H31" s="1623" t="n"/>
      <c r="I31" s="1625" t="n"/>
      <c r="J31" s="1628" t="n"/>
      <c r="K31" s="1628" t="n"/>
    </row>
    <row r="32">
      <c r="A32" s="51" t="inlineStr">
        <is>
          <t>3310</t>
        </is>
      </c>
      <c r="B32" s="1220" t="inlineStr">
        <is>
          <t>MIS. INCOME</t>
        </is>
      </c>
      <c r="C32" s="1531" t="n"/>
      <c r="D32" s="1497">
        <f>+C32*9%</f>
        <v/>
      </c>
      <c r="E32" s="1497">
        <f>+D32</f>
        <v/>
      </c>
      <c r="F32" s="1624" t="n">
        <v>0</v>
      </c>
      <c r="G32" s="1497" t="n">
        <v>0</v>
      </c>
      <c r="H32" s="1623" t="n">
        <v>0</v>
      </c>
      <c r="I32" s="1625" t="n"/>
      <c r="J32" s="1629" t="n"/>
      <c r="K32" s="1612" t="n"/>
    </row>
    <row r="33">
      <c r="A33" s="51" t="inlineStr">
        <is>
          <t>3311</t>
        </is>
      </c>
      <c r="B33" s="1220" t="inlineStr">
        <is>
          <t>I/W CHQ. RET. CHARGES</t>
        </is>
      </c>
      <c r="C33" s="1531" t="n"/>
      <c r="D33" s="1497">
        <f>+C33*9%</f>
        <v/>
      </c>
      <c r="E33" s="1497">
        <f>+D33</f>
        <v/>
      </c>
      <c r="F33" s="1624" t="n">
        <v>0</v>
      </c>
      <c r="G33" s="1497" t="n">
        <v>0</v>
      </c>
      <c r="H33" s="1623" t="n"/>
      <c r="I33" s="1625" t="n"/>
      <c r="J33" s="1629" t="n"/>
      <c r="K33" s="1612" t="n"/>
    </row>
    <row r="34">
      <c r="A34" s="51" t="inlineStr">
        <is>
          <t>3312</t>
        </is>
      </c>
      <c r="B34" s="1220" t="inlineStr">
        <is>
          <t>O/W CHQ. RET. CHARGES</t>
        </is>
      </c>
      <c r="C34" s="1531" t="n"/>
      <c r="D34" s="1497">
        <f>+C34*9%</f>
        <v/>
      </c>
      <c r="E34" s="1497">
        <f>+D34</f>
        <v/>
      </c>
      <c r="F34" s="1624" t="n">
        <v>0</v>
      </c>
      <c r="G34" s="1497" t="n">
        <v>0</v>
      </c>
      <c r="H34" s="1623" t="n">
        <v>0</v>
      </c>
      <c r="I34" s="1625" t="n"/>
      <c r="J34" s="1629" t="n"/>
      <c r="K34" s="1612" t="n"/>
    </row>
    <row r="35" ht="15.75" customHeight="1">
      <c r="A35" s="51" t="inlineStr">
        <is>
          <t>3313</t>
        </is>
      </c>
      <c r="B35" s="1220" t="inlineStr">
        <is>
          <t>ECS RETD. CHARGES</t>
        </is>
      </c>
      <c r="C35" s="1531" t="n"/>
      <c r="D35" s="1497">
        <f>+C35*9%</f>
        <v/>
      </c>
      <c r="E35" s="1497">
        <f>+D35</f>
        <v/>
      </c>
      <c r="F35" s="1624" t="n">
        <v>0</v>
      </c>
      <c r="G35" s="1497" t="n">
        <v>0</v>
      </c>
      <c r="H35" s="1630" t="n"/>
      <c r="I35" s="1625" t="n"/>
      <c r="J35" s="1629" t="n"/>
      <c r="K35" s="1612" t="n"/>
    </row>
    <row r="36" ht="15.75" customHeight="1">
      <c r="A36" s="51" t="inlineStr">
        <is>
          <t>3314</t>
        </is>
      </c>
      <c r="B36" s="1220" t="inlineStr">
        <is>
          <t>CHQ. BOOK ISSUE CHARGES</t>
        </is>
      </c>
      <c r="C36" s="1531" t="n"/>
      <c r="D36" s="1497">
        <f>+C36*9%</f>
        <v/>
      </c>
      <c r="E36" s="1497">
        <f>+D36</f>
        <v/>
      </c>
      <c r="F36" s="1624" t="n">
        <v>0</v>
      </c>
      <c r="G36" s="1497" t="n">
        <v>0</v>
      </c>
      <c r="H36" s="1630" t="n"/>
      <c r="I36" s="1625" t="n"/>
      <c r="K36" s="1612" t="n"/>
    </row>
    <row r="37" ht="15.75" customHeight="1">
      <c r="A37" s="51" t="inlineStr">
        <is>
          <t>3315</t>
        </is>
      </c>
      <c r="B37" s="1220" t="inlineStr">
        <is>
          <t>CHARGES ON GODOWNS</t>
        </is>
      </c>
      <c r="C37" s="1531" t="n"/>
      <c r="D37" s="1497">
        <f>+C37*9%</f>
        <v/>
      </c>
      <c r="E37" s="1497">
        <f>+D37</f>
        <v/>
      </c>
      <c r="F37" s="1624" t="n">
        <v>0</v>
      </c>
      <c r="G37" s="1497" t="n">
        <v>0</v>
      </c>
      <c r="H37" s="1623" t="n">
        <v>0</v>
      </c>
      <c r="I37" s="1625" t="n"/>
      <c r="K37" s="1612" t="n"/>
    </row>
    <row r="38" ht="15.75" customHeight="1">
      <c r="A38" s="51" t="inlineStr">
        <is>
          <t>3316</t>
        </is>
      </c>
      <c r="B38" s="1220" t="inlineStr">
        <is>
          <t>CASH CHARGES</t>
        </is>
      </c>
      <c r="C38" s="1531" t="n"/>
      <c r="D38" s="1497">
        <f>+C38*9%</f>
        <v/>
      </c>
      <c r="E38" s="1497">
        <f>+D38</f>
        <v/>
      </c>
      <c r="F38" s="1624" t="n">
        <v>0</v>
      </c>
      <c r="G38" s="1497" t="n">
        <v>0</v>
      </c>
      <c r="H38" s="1623" t="n"/>
      <c r="I38" s="1625" t="n"/>
      <c r="K38" s="1612" t="n"/>
    </row>
    <row r="39" ht="15.75" customHeight="1">
      <c r="A39" s="51" t="inlineStr">
        <is>
          <t>3318</t>
        </is>
      </c>
      <c r="B39" s="1220" t="inlineStr">
        <is>
          <t>OBC POSTAGE CHARGES</t>
        </is>
      </c>
      <c r="C39" s="1531" t="n"/>
      <c r="D39" s="1497">
        <f>+C39*9%</f>
        <v/>
      </c>
      <c r="E39" s="1497">
        <f>+D39</f>
        <v/>
      </c>
      <c r="F39" s="1624" t="n">
        <v>0</v>
      </c>
      <c r="G39" s="1497" t="n">
        <v>0</v>
      </c>
      <c r="H39" s="1623" t="n"/>
      <c r="I39" s="1625" t="n"/>
      <c r="K39" s="1612" t="n"/>
    </row>
    <row r="40" ht="15.75" customHeight="1">
      <c r="A40" s="51" t="inlineStr">
        <is>
          <t>3338</t>
        </is>
      </c>
      <c r="B40" s="1040" t="inlineStr">
        <is>
          <t>A/C NEFT/RTGS TRANSACTION PROCESSING INCOME</t>
        </is>
      </c>
      <c r="C40" s="1531" t="n"/>
      <c r="D40" s="1497">
        <f>+(C40-F40/18%)*9%</f>
        <v/>
      </c>
      <c r="E40" s="1497">
        <f>+D40</f>
        <v/>
      </c>
      <c r="F40" s="1624" t="n">
        <v>0</v>
      </c>
      <c r="G40" s="1497" t="n">
        <v>0</v>
      </c>
      <c r="H40" s="1623" t="n"/>
      <c r="I40" s="1625" t="n"/>
      <c r="K40" s="1612" t="n"/>
    </row>
    <row r="41">
      <c r="A41" s="51" t="n">
        <v>3335</v>
      </c>
      <c r="B41" s="989" t="inlineStr">
        <is>
          <t>PROFIT ON SALE OF ASSET</t>
        </is>
      </c>
      <c r="C41" s="1531" t="n"/>
      <c r="D41" s="1497">
        <f>+C41*9%</f>
        <v/>
      </c>
      <c r="E41" s="1497">
        <f>+D41</f>
        <v/>
      </c>
      <c r="F41" s="1624" t="n">
        <v>0</v>
      </c>
      <c r="G41" s="1497" t="n">
        <v>0</v>
      </c>
      <c r="H41" s="1623" t="n"/>
      <c r="I41" s="1625" t="n"/>
      <c r="J41" s="1629" t="n"/>
      <c r="K41" s="1612" t="n"/>
    </row>
    <row r="42">
      <c r="A42" s="51" t="n">
        <v>3322</v>
      </c>
      <c r="B42" s="989" t="inlineStr">
        <is>
          <t>SALE OF OLD NEWSPAPERS</t>
        </is>
      </c>
      <c r="C42" s="1531" t="n"/>
      <c r="D42" s="1497">
        <f>+C42*9%</f>
        <v/>
      </c>
      <c r="E42" s="1497">
        <f>+D42</f>
        <v/>
      </c>
      <c r="F42" s="1624" t="n">
        <v>0</v>
      </c>
      <c r="G42" s="1497" t="n"/>
      <c r="H42" s="1621" t="n"/>
      <c r="I42" s="1625" t="n"/>
      <c r="J42" s="1629" t="n"/>
      <c r="K42" s="1612" t="n"/>
    </row>
    <row r="43">
      <c r="A43" s="51" t="n">
        <v>3940</v>
      </c>
      <c r="B43" s="989" t="inlineStr">
        <is>
          <t>A/C COMPUTER SYSTEMS</t>
        </is>
      </c>
      <c r="C43" s="1531" t="n"/>
      <c r="D43" s="1497">
        <f>+C43*9%</f>
        <v/>
      </c>
      <c r="E43" s="1497">
        <f>+D43</f>
        <v/>
      </c>
      <c r="F43" s="1624" t="n">
        <v>0</v>
      </c>
      <c r="G43" s="1497" t="n"/>
      <c r="H43" s="1621" t="n"/>
      <c r="I43" s="1625" t="n"/>
      <c r="J43" s="1629" t="n"/>
      <c r="K43" s="1612" t="n"/>
    </row>
    <row r="44" ht="18" customHeight="1">
      <c r="A44" s="51" t="n">
        <v>3290</v>
      </c>
      <c r="B44" s="989" t="inlineStr">
        <is>
          <t>UPI CHARGES INCOME</t>
        </is>
      </c>
      <c r="C44" s="1531" t="n"/>
      <c r="D44" s="1497">
        <f>+(C44-F44/18%)*9%</f>
        <v/>
      </c>
      <c r="E44" s="1497">
        <f>+D44</f>
        <v/>
      </c>
      <c r="F44" s="1624" t="n"/>
      <c r="G44" s="1497" t="n"/>
      <c r="H44" s="1497" t="n"/>
      <c r="I44" s="1625" t="n"/>
      <c r="J44" s="1631" t="n"/>
      <c r="K44" s="1632" t="n"/>
    </row>
    <row r="45" ht="15.75" customHeight="1">
      <c r="A45" s="1633" t="inlineStr">
        <is>
          <t>GL</t>
        </is>
      </c>
      <c r="B45" s="1220" t="n"/>
      <c r="C45" s="1531" t="n"/>
      <c r="D45" s="1497" t="n"/>
      <c r="E45" s="1497" t="n"/>
      <c r="F45" s="1624" t="n">
        <v>0</v>
      </c>
      <c r="G45" s="1497" t="n"/>
      <c r="H45" s="1623" t="n"/>
      <c r="I45" s="1625" t="n"/>
      <c r="J45" s="1634" t="n"/>
    </row>
    <row r="46" ht="15.75" customHeight="1">
      <c r="A46" s="1496" t="inlineStr">
        <is>
          <t>1720</t>
        </is>
      </c>
      <c r="B46" s="1220" t="inlineStr">
        <is>
          <t>COMMISSION RECD. BUT NOT ACCRUED</t>
        </is>
      </c>
      <c r="C46" s="1531" t="n"/>
      <c r="D46" s="1497">
        <f>+C46*9%</f>
        <v/>
      </c>
      <c r="E46" s="1497">
        <f>+D46</f>
        <v/>
      </c>
      <c r="F46" s="1624" t="n">
        <v>0</v>
      </c>
      <c r="G46" s="1497" t="n"/>
      <c r="H46" s="1623" t="n"/>
      <c r="I46" s="1625" t="n"/>
      <c r="J46" s="1635" t="n"/>
    </row>
    <row r="47">
      <c r="A47" s="1496" t="inlineStr">
        <is>
          <t>1836</t>
        </is>
      </c>
      <c r="B47" s="1220" t="inlineStr">
        <is>
          <t>RENT ON LOCKER RECEIVED BUT</t>
        </is>
      </c>
      <c r="C47" s="1497" t="n"/>
      <c r="D47" s="1497">
        <f>+C47*9%</f>
        <v/>
      </c>
      <c r="E47" s="1497">
        <f>+D47</f>
        <v/>
      </c>
      <c r="F47" s="1624" t="n">
        <v>0</v>
      </c>
      <c r="G47" s="1497" t="n"/>
      <c r="H47" s="1636" t="n"/>
      <c r="I47" s="1625" t="n"/>
    </row>
    <row r="48">
      <c r="A48" s="1637" t="inlineStr">
        <is>
          <t xml:space="preserve"> </t>
        </is>
      </c>
      <c r="B48" s="1220" t="inlineStr">
        <is>
          <t>NOT ACCRUED</t>
        </is>
      </c>
      <c r="C48" s="1497" t="n"/>
      <c r="D48" s="1497" t="n"/>
      <c r="E48" s="1497" t="n"/>
      <c r="F48" s="1624" t="n">
        <v>0</v>
      </c>
      <c r="G48" s="1623" t="n"/>
      <c r="H48" s="1623" t="n"/>
      <c r="I48" s="1625" t="n"/>
    </row>
    <row r="49" ht="15.75" customHeight="1">
      <c r="A49" s="1633" t="inlineStr">
        <is>
          <t>RCM</t>
        </is>
      </c>
      <c r="B49" s="1638" t="n"/>
      <c r="C49" s="1497" t="n">
        <v>0</v>
      </c>
      <c r="D49" s="1639" t="n"/>
      <c r="E49" s="1639" t="n"/>
      <c r="F49" s="1624" t="n">
        <v>0</v>
      </c>
      <c r="G49" s="1623" t="n"/>
      <c r="H49" s="1623" t="n"/>
      <c r="I49" s="1625" t="n"/>
    </row>
    <row r="50">
      <c r="A50" s="1620" t="inlineStr">
        <is>
          <t>PL 3750</t>
        </is>
      </c>
      <c r="B50" s="1220" t="inlineStr">
        <is>
          <t>LAW CHARGES</t>
        </is>
      </c>
      <c r="C50" s="1497" t="n"/>
      <c r="D50" s="1639">
        <f>+C50*9%</f>
        <v/>
      </c>
      <c r="E50" s="1639">
        <f>+D50</f>
        <v/>
      </c>
      <c r="F50" s="1624" t="n">
        <v>0</v>
      </c>
      <c r="G50" s="1623" t="n"/>
      <c r="H50" s="1623" t="n"/>
      <c r="I50" s="1625" t="n"/>
    </row>
    <row r="51">
      <c r="A51" s="1620" t="inlineStr">
        <is>
          <t>PL 3751</t>
        </is>
      </c>
      <c r="B51" s="1243" t="inlineStr">
        <is>
          <t>INCIDENTAL LAW CHARGES</t>
        </is>
      </c>
      <c r="C51" s="1497" t="n">
        <v>0</v>
      </c>
      <c r="D51" s="1639">
        <f>+C51*9%</f>
        <v/>
      </c>
      <c r="E51" s="1639">
        <f>+D51</f>
        <v/>
      </c>
      <c r="F51" s="1624" t="n">
        <v>0</v>
      </c>
      <c r="G51" s="1623" t="n"/>
      <c r="H51" s="1623" t="n"/>
      <c r="I51" s="1625" t="n"/>
    </row>
    <row r="52" ht="15.75" customHeight="1">
      <c r="A52" s="1630" t="n"/>
      <c r="B52" s="1640" t="inlineStr">
        <is>
          <t>TOTAL :</t>
        </is>
      </c>
      <c r="C52" s="1630">
        <f>SUM(C8:C48)</f>
        <v/>
      </c>
      <c r="D52" s="1630">
        <f>SUM(D8:D48)</f>
        <v/>
      </c>
      <c r="E52" s="1630">
        <f>SUM(E8:E48)</f>
        <v/>
      </c>
      <c r="F52" s="1641">
        <f>SUM(F8:F48)</f>
        <v/>
      </c>
      <c r="G52" s="1630">
        <f>SUM(G8:G48)</f>
        <v/>
      </c>
      <c r="H52" s="1630">
        <f>SUM(H8:H48)</f>
        <v/>
      </c>
      <c r="I52" s="1625" t="n"/>
    </row>
    <row r="53" ht="15.75" customHeight="1">
      <c r="A53" s="1635" t="n"/>
      <c r="B53" s="1642" t="n"/>
      <c r="C53" s="1635" t="n"/>
      <c r="D53" s="1643" t="inlineStr">
        <is>
          <t xml:space="preserve"> </t>
        </is>
      </c>
      <c r="E53" s="1635" t="n"/>
      <c r="F53" s="1635" t="n"/>
      <c r="G53" s="1644" t="n"/>
    </row>
    <row r="54" ht="15.75" customHeight="1">
      <c r="A54" s="29" t="inlineStr">
        <is>
          <t>(1) INCOME</t>
        </is>
      </c>
      <c r="B54" s="29" t="n"/>
      <c r="C54" s="3" t="n"/>
      <c r="D54" s="3" t="n"/>
      <c r="E54" s="3" t="n"/>
      <c r="F54" s="3" t="n"/>
      <c r="G54" s="1635">
        <f>+C52*18%</f>
        <v/>
      </c>
      <c r="H54" s="1612">
        <f>+F52+E52+D52</f>
        <v/>
      </c>
    </row>
    <row r="55" ht="15.75" customHeight="1">
      <c r="A55" s="1213" t="inlineStr">
        <is>
          <t>PARTICULARS</t>
        </is>
      </c>
      <c r="B55" s="1504" t="n"/>
      <c r="C55" s="1505" t="n"/>
      <c r="D55" s="1213" t="inlineStr">
        <is>
          <t>GGST</t>
        </is>
      </c>
      <c r="E55" s="1213" t="inlineStr">
        <is>
          <t>CGST</t>
        </is>
      </c>
      <c r="F55" s="1213" t="inlineStr">
        <is>
          <t>IGST</t>
        </is>
      </c>
      <c r="G55" s="990" t="n"/>
    </row>
    <row r="56" ht="15.75" customHeight="1">
      <c r="A56" s="1506" t="n"/>
      <c r="B56" s="1041" t="n"/>
      <c r="C56" s="1507" t="n"/>
      <c r="D56" s="1494" t="n"/>
      <c r="E56" s="1494" t="n"/>
      <c r="F56" s="1494" t="n"/>
      <c r="G56" s="990" t="n"/>
    </row>
    <row r="57">
      <c r="A57" s="59" t="inlineStr">
        <is>
          <t>(1) INCOME AS PER LEDGERWISE CALCULATION</t>
        </is>
      </c>
      <c r="B57" s="60" t="n"/>
      <c r="C57" s="63">
        <f>+C52</f>
        <v/>
      </c>
      <c r="D57" s="105">
        <f>+D52</f>
        <v/>
      </c>
      <c r="E57" s="105">
        <f>+E52</f>
        <v/>
      </c>
      <c r="F57" s="105">
        <f>+F52</f>
        <v/>
      </c>
      <c r="G57" s="3" t="n"/>
      <c r="H57" s="1612">
        <f>+D57-D60</f>
        <v/>
      </c>
    </row>
    <row r="58">
      <c r="A58" s="1243" t="inlineStr">
        <is>
          <t>(2) REFUND GIVEN BUT GST REFUND NOT GIVEN</t>
        </is>
      </c>
      <c r="B58" s="1243" t="n"/>
      <c r="C58" s="1036">
        <f>+G52</f>
        <v/>
      </c>
      <c r="D58" s="106">
        <f>+C58*0.09</f>
        <v/>
      </c>
      <c r="E58" s="106">
        <f>+C58*0.09</f>
        <v/>
      </c>
      <c r="F58" s="106">
        <f>G30*18%</f>
        <v/>
      </c>
      <c r="H58" s="488" t="n"/>
      <c r="K58" s="1645" t="n"/>
    </row>
    <row r="59">
      <c r="A59" s="1243" t="n"/>
      <c r="B59" s="1243" t="n"/>
      <c r="C59" s="1037">
        <f>SUM(C57:C58)</f>
        <v/>
      </c>
      <c r="D59" s="1035">
        <f>+D57+D58</f>
        <v/>
      </c>
      <c r="E59" s="105">
        <f>+E57+E58</f>
        <v/>
      </c>
      <c r="F59" s="105">
        <f>+F57+F58</f>
        <v/>
      </c>
      <c r="G59" s="3" t="n"/>
      <c r="H59" s="1645" t="n"/>
    </row>
    <row r="60" ht="15.75" customHeight="1">
      <c r="A60" s="1220" t="inlineStr">
        <is>
          <t>(3) PAYABLE AS PER LEDGER</t>
        </is>
      </c>
      <c r="B60" s="1042" t="n"/>
      <c r="C60" s="1508" t="n"/>
      <c r="D60" s="108" t="n"/>
      <c r="E60" s="108">
        <f>+D60</f>
        <v/>
      </c>
      <c r="F60" s="108" t="n"/>
      <c r="G60" s="3" t="n"/>
    </row>
    <row r="61" ht="15.75" customHeight="1">
      <c r="A61" s="1221" t="inlineStr">
        <is>
          <t>DIFFERENCE</t>
        </is>
      </c>
      <c r="B61" s="1042" t="n"/>
      <c r="C61" s="1508" t="n"/>
      <c r="D61" s="800">
        <f>+D59-D60</f>
        <v/>
      </c>
      <c r="E61" s="800">
        <f>+E59-E60</f>
        <v/>
      </c>
      <c r="F61" s="800">
        <f>+F59-F60</f>
        <v/>
      </c>
      <c r="G61" s="1612">
        <f>+D61/9*100</f>
        <v/>
      </c>
      <c r="H61" s="1645" t="n"/>
      <c r="I61" s="1612">
        <f>1214.11-1222.61</f>
        <v/>
      </c>
    </row>
    <row r="62" ht="15.75" customHeight="1">
      <c r="A62" s="62" t="n"/>
      <c r="B62" s="62" t="n"/>
      <c r="C62" s="62" t="n"/>
      <c r="D62" s="1014" t="n"/>
      <c r="E62" s="1014" t="n"/>
      <c r="F62" s="1014" t="n"/>
      <c r="H62" s="1645" t="n"/>
    </row>
    <row r="63" ht="15.75" customHeight="1">
      <c r="A63" s="27" t="inlineStr">
        <is>
          <t>(2) INPUT TAX CREDIT</t>
        </is>
      </c>
      <c r="B63" s="2" t="n"/>
      <c r="C63" s="3" t="n"/>
      <c r="D63" s="1646" t="n"/>
      <c r="E63" s="3" t="n"/>
      <c r="F63" s="3" t="n"/>
      <c r="G63" s="942" t="n"/>
      <c r="H63" s="942" t="n"/>
      <c r="J63" s="1647" t="n"/>
    </row>
    <row r="64" ht="15.75" customHeight="1">
      <c r="A64" s="1421" t="inlineStr">
        <is>
          <t>PARTICULARS</t>
        </is>
      </c>
      <c r="B64" s="1504" t="n"/>
      <c r="C64" s="1505" t="n"/>
      <c r="D64" s="1648" t="inlineStr">
        <is>
          <t>GL 8546 GGST</t>
        </is>
      </c>
      <c r="E64" s="1648" t="inlineStr">
        <is>
          <t>GL 8547 CGST</t>
        </is>
      </c>
      <c r="F64" s="1343" t="inlineStr">
        <is>
          <t>GL 8548 IGST</t>
        </is>
      </c>
      <c r="J64" s="331" t="n"/>
    </row>
    <row r="65" ht="15.75" customHeight="1">
      <c r="A65" s="1506" t="n"/>
      <c r="B65" s="1041" t="n"/>
      <c r="C65" s="1507" t="n"/>
      <c r="D65" s="1506" t="n"/>
      <c r="E65" s="1506" t="n"/>
      <c r="F65" s="1494" t="n"/>
      <c r="G65" s="992" t="n"/>
      <c r="H65" s="992" t="n"/>
      <c r="I65" s="992" t="n"/>
      <c r="J65" s="1647" t="n"/>
    </row>
    <row r="66" ht="15.75" customHeight="1">
      <c r="A66" s="1228" t="n"/>
      <c r="B66" s="1042" t="n"/>
      <c r="C66" s="1508" t="n"/>
      <c r="D66" s="1228" t="n"/>
      <c r="E66" s="1229" t="n"/>
      <c r="F66" s="1228" t="n"/>
      <c r="H66" s="208" t="n"/>
      <c r="I66" s="209" t="n"/>
      <c r="J66" s="1647" t="n"/>
    </row>
    <row r="67" ht="15.75" customHeight="1">
      <c r="A67" s="1220" t="inlineStr">
        <is>
          <t>CURRENT MONTH INPUT TAX CREDIT AVAILABLE</t>
        </is>
      </c>
      <c r="B67" s="1042" t="n"/>
      <c r="C67" s="1508" t="n"/>
      <c r="D67" s="108" t="n"/>
      <c r="E67" s="108">
        <f>+D67</f>
        <v/>
      </c>
      <c r="F67" s="108" t="n"/>
      <c r="G67" s="560">
        <f>+D67/2</f>
        <v/>
      </c>
      <c r="H67" s="560">
        <f>+E67/2</f>
        <v/>
      </c>
      <c r="I67" s="560">
        <f>+F67/2</f>
        <v/>
      </c>
      <c r="J67" s="1634" t="n"/>
      <c r="K67" s="1634" t="n"/>
    </row>
    <row r="68" ht="15.75" customHeight="1">
      <c r="A68" s="1220" t="inlineStr">
        <is>
          <t>LESS:. ISD CREDIT</t>
        </is>
      </c>
      <c r="B68" s="1042" t="n"/>
      <c r="C68" s="1508" t="n"/>
      <c r="D68" s="108">
        <f>+'SUMMARY SHEET GST'!D54</f>
        <v/>
      </c>
      <c r="E68" s="108">
        <f>+'SUMMARY SHEET GST'!E54</f>
        <v/>
      </c>
      <c r="F68" s="108">
        <f>+'SUMMARY SHEET GST'!F54</f>
        <v/>
      </c>
      <c r="G68" s="560" t="n"/>
      <c r="H68" s="560" t="n"/>
      <c r="I68" s="560" t="n"/>
      <c r="J68" s="1634" t="n"/>
      <c r="K68" s="1634" t="n"/>
    </row>
    <row r="69" ht="15.75" customHeight="1">
      <c r="A69" s="1611" t="inlineStr">
        <is>
          <t>NET ITC AFTER ISD CREDIT</t>
        </is>
      </c>
      <c r="B69" s="1042" t="n"/>
      <c r="C69" s="1508" t="n"/>
      <c r="D69" s="108">
        <f>+D67-D68</f>
        <v/>
      </c>
      <c r="E69" s="108">
        <f>+E67-E68</f>
        <v/>
      </c>
      <c r="F69" s="108">
        <f>+F67-F68</f>
        <v/>
      </c>
      <c r="G69" s="560" t="n"/>
      <c r="H69" s="560" t="n"/>
      <c r="I69" s="560" t="n"/>
      <c r="J69" s="1634" t="n"/>
      <c r="K69" s="1634" t="n"/>
    </row>
    <row r="70" ht="15.75" customHeight="1">
      <c r="A70" s="1228" t="inlineStr">
        <is>
          <t>LESS : CREDIT CANNOT BE UTILISED (BCUZ GST NO NOT AVAILABLE IN BILL)</t>
        </is>
      </c>
      <c r="B70" s="1042" t="n"/>
      <c r="C70" s="1508" t="n"/>
      <c r="D70" s="105">
        <f>+C97</f>
        <v/>
      </c>
      <c r="E70" s="114">
        <f>+D97</f>
        <v/>
      </c>
      <c r="F70" s="105">
        <f>+E97</f>
        <v/>
      </c>
      <c r="G70" s="560">
        <f>+D70/2</f>
        <v/>
      </c>
      <c r="H70" s="560">
        <f>+E70/2</f>
        <v/>
      </c>
      <c r="I70" s="560">
        <f>+F70/2</f>
        <v/>
      </c>
      <c r="J70" s="1634" t="n"/>
      <c r="K70" s="1634" t="n"/>
    </row>
    <row r="71" ht="15.75" customHeight="1">
      <c r="A71" s="1219" t="inlineStr">
        <is>
          <t>ELIGIBLE CREDIT</t>
        </is>
      </c>
      <c r="B71" s="1042" t="n"/>
      <c r="C71" s="1508" t="n"/>
      <c r="D71" s="105">
        <f>+D67-D70</f>
        <v/>
      </c>
      <c r="E71" s="114">
        <f>+E67-E70</f>
        <v/>
      </c>
      <c r="F71" s="105">
        <f>+F67-F70</f>
        <v/>
      </c>
      <c r="G71" s="560">
        <f>+D71/2</f>
        <v/>
      </c>
      <c r="H71" s="560">
        <f>+E71/2</f>
        <v/>
      </c>
      <c r="I71" s="560">
        <f>+F71/2</f>
        <v/>
      </c>
      <c r="J71" s="1634" t="n"/>
      <c r="K71" s="1634" t="n"/>
    </row>
    <row r="72" ht="16.5" customHeight="1" thickBot="1">
      <c r="A72" s="75" t="n"/>
      <c r="B72" s="75" t="n"/>
      <c r="C72" s="75" t="n"/>
      <c r="D72" s="199" t="n"/>
      <c r="E72" s="199" t="n"/>
      <c r="F72" s="199" t="n"/>
      <c r="G72" s="560" t="n"/>
      <c r="H72" s="560" t="n"/>
      <c r="I72" s="560" t="n"/>
      <c r="J72" s="1634" t="n"/>
      <c r="K72" s="1634" t="n"/>
    </row>
    <row r="73" ht="15.75" customHeight="1">
      <c r="A73" s="1542" t="n"/>
      <c r="B73" s="1522" t="n"/>
      <c r="C73" s="1522" t="n"/>
      <c r="D73" s="1522" t="n"/>
      <c r="E73" s="1522" t="n"/>
      <c r="F73" s="1523" t="n"/>
      <c r="G73" s="560" t="n"/>
      <c r="H73" s="560" t="n"/>
      <c r="I73" s="560" t="n"/>
      <c r="J73" s="1634" t="n"/>
      <c r="K73" s="1634" t="n"/>
    </row>
    <row r="74" ht="15.75" customHeight="1" thickBot="1">
      <c r="A74" s="1524" t="n"/>
      <c r="B74" s="1525" t="n"/>
      <c r="C74" s="1525" t="n"/>
      <c r="D74" s="1525" t="n"/>
      <c r="E74" s="1525" t="n"/>
      <c r="F74" s="1526" t="n"/>
      <c r="G74" s="560" t="n"/>
      <c r="H74" s="560" t="n"/>
      <c r="I74" s="560" t="n"/>
      <c r="J74" s="1634" t="n"/>
      <c r="K74" s="1634" t="n"/>
    </row>
    <row r="75" ht="16.5" customHeight="1" thickBot="1">
      <c r="A75" s="135" t="n"/>
      <c r="B75" s="1084" t="n"/>
      <c r="C75" s="1084" t="n"/>
      <c r="D75" s="1084" t="n"/>
      <c r="E75" s="1084" t="n"/>
      <c r="F75" s="1084" t="n"/>
      <c r="G75" s="208" t="n"/>
      <c r="H75" s="1634" t="n"/>
      <c r="I75" s="1634" t="n"/>
      <c r="J75" s="1634" t="n"/>
      <c r="K75" s="1634" t="n"/>
    </row>
    <row r="76" ht="15.75" customHeight="1" thickBot="1">
      <c r="A76" s="410" t="inlineStr">
        <is>
          <t>OUR GST NO. NOT REFLECTED ON CENVAT BILLS AND BLOCKED CREDIT U/S 17(5)(100%)</t>
        </is>
      </c>
      <c r="B76" s="1558" t="n"/>
      <c r="C76" s="1558" t="n"/>
      <c r="D76" s="1558" t="n"/>
      <c r="E76" s="1559" t="n"/>
      <c r="F76" s="1084" t="n"/>
      <c r="G76" s="208" t="n"/>
      <c r="H76" s="1634" t="n"/>
      <c r="I76" s="1634" t="n"/>
      <c r="J76" s="1634" t="n"/>
      <c r="K76" s="1634" t="n"/>
    </row>
    <row r="77" ht="16.5" customHeight="1" thickBot="1">
      <c r="A77" s="1649" t="inlineStr">
        <is>
          <t>NAME</t>
        </is>
      </c>
      <c r="B77" s="1526" t="n"/>
      <c r="C77" s="410" t="inlineStr">
        <is>
          <t>GGST</t>
        </is>
      </c>
      <c r="D77" s="410" t="inlineStr">
        <is>
          <t>CGST</t>
        </is>
      </c>
      <c r="E77" s="410" t="inlineStr">
        <is>
          <t>IGST</t>
        </is>
      </c>
      <c r="F77" s="410" t="inlineStr">
        <is>
          <t>remarks</t>
        </is>
      </c>
      <c r="G77" s="208" t="n"/>
      <c r="H77" s="1634" t="n"/>
      <c r="I77" s="1634" t="n"/>
      <c r="J77" s="1634" t="n"/>
      <c r="K77" s="1634" t="n"/>
    </row>
    <row r="78" ht="15.75" customHeight="1">
      <c r="A78" s="526" t="n"/>
      <c r="B78" s="487" t="inlineStr">
        <is>
          <t>BSNL</t>
        </is>
      </c>
      <c r="C78" s="411" t="n"/>
      <c r="D78" s="411">
        <f>+C78</f>
        <v/>
      </c>
      <c r="E78" s="411" t="n"/>
      <c r="F78" s="470" t="inlineStr">
        <is>
          <t>BLOCK CREDIT</t>
        </is>
      </c>
      <c r="G78" s="208" t="n"/>
      <c r="H78" s="1634" t="n"/>
      <c r="I78" s="1634" t="n"/>
      <c r="J78" s="1634" t="n"/>
      <c r="K78" s="1634" t="n"/>
    </row>
    <row r="79" ht="15.75" customHeight="1">
      <c r="A79" s="470" t="n"/>
      <c r="B79" s="487" t="inlineStr">
        <is>
          <t>SATELIITE ELECTRONICS AND CONTROLS</t>
        </is>
      </c>
      <c r="C79" s="411" t="n"/>
      <c r="D79" s="411">
        <f>+C79</f>
        <v/>
      </c>
      <c r="E79" s="411" t="n"/>
      <c r="F79" s="470" t="inlineStr">
        <is>
          <t>BLOCK CREDIT</t>
        </is>
      </c>
      <c r="G79" s="208" t="n"/>
      <c r="H79" s="1634" t="n"/>
      <c r="I79" s="1634" t="n"/>
      <c r="J79" s="1634" t="n"/>
      <c r="K79" s="1634" t="n"/>
    </row>
    <row r="80" ht="15.75" customHeight="1">
      <c r="A80" s="487" t="n"/>
      <c r="B80" s="487" t="inlineStr">
        <is>
          <t>LAXMI JWELLERY EXPORT PVT. LTD.</t>
        </is>
      </c>
      <c r="C80" s="411" t="n"/>
      <c r="D80" s="411">
        <f>+C80</f>
        <v/>
      </c>
      <c r="E80" s="411" t="n"/>
      <c r="F80" s="470" t="inlineStr">
        <is>
          <t>BLOCK CREDIT</t>
        </is>
      </c>
      <c r="G80" s="1084" t="n"/>
      <c r="H80" s="1084" t="n"/>
      <c r="I80" s="1084" t="n"/>
    </row>
    <row r="81" ht="15.75" customHeight="1">
      <c r="A81" s="487" t="n"/>
      <c r="B81" s="487" t="inlineStr">
        <is>
          <t>ADITI ENTERPRISE</t>
        </is>
      </c>
      <c r="C81" s="411" t="n"/>
      <c r="D81" s="411">
        <f>+C81</f>
        <v/>
      </c>
      <c r="E81" s="411" t="n"/>
      <c r="F81" s="470" t="inlineStr">
        <is>
          <t>BLOCK CREDIT</t>
        </is>
      </c>
      <c r="G81" s="1084" t="n">
        <v>2708.16</v>
      </c>
      <c r="H81" s="1084" t="n"/>
      <c r="I81" s="1084" t="n"/>
    </row>
    <row r="82" ht="15.75" customHeight="1">
      <c r="A82" s="487" t="n"/>
      <c r="B82" s="664" t="inlineStr">
        <is>
          <t>KANDOI BHOGILAL MULCHAND</t>
        </is>
      </c>
      <c r="C82" s="411" t="n"/>
      <c r="D82" s="411">
        <f>+C82</f>
        <v/>
      </c>
      <c r="E82" s="411" t="n"/>
      <c r="F82" s="470" t="inlineStr">
        <is>
          <t>BLOCK CREDIT</t>
        </is>
      </c>
      <c r="H82" s="1612">
        <f>7190+2708</f>
        <v/>
      </c>
    </row>
    <row r="83" ht="15.75" customHeight="1">
      <c r="A83" s="487" t="n"/>
      <c r="B83" s="664" t="inlineStr">
        <is>
          <t>MOGRA GLASS CORPORATION</t>
        </is>
      </c>
      <c r="C83" s="411" t="n"/>
      <c r="D83" s="683">
        <f>+C83</f>
        <v/>
      </c>
      <c r="E83" s="411" t="n"/>
      <c r="F83" s="470" t="inlineStr">
        <is>
          <t>BLOCK CREDIT</t>
        </is>
      </c>
    </row>
    <row r="84" ht="15.75" customHeight="1">
      <c r="A84" s="487" t="n"/>
      <c r="B84" s="664" t="inlineStr">
        <is>
          <t>BSNL</t>
        </is>
      </c>
      <c r="C84" s="411" t="n"/>
      <c r="D84" s="411">
        <f>+C84</f>
        <v/>
      </c>
      <c r="E84" s="411" t="n"/>
      <c r="F84" s="470" t="n"/>
    </row>
    <row r="85" ht="15.75" customHeight="1">
      <c r="A85" s="527" t="n"/>
      <c r="B85" s="665" t="inlineStr">
        <is>
          <t>KATARIA AUTOMOBILES PRIVATE LIMITED</t>
        </is>
      </c>
      <c r="C85" s="411" t="n"/>
      <c r="D85" s="411">
        <f>+C85</f>
        <v/>
      </c>
      <c r="E85" s="411" t="n"/>
      <c r="F85" s="470" t="n"/>
    </row>
    <row r="86" ht="15.75" customHeight="1">
      <c r="A86" s="470" t="n"/>
      <c r="B86" s="665" t="inlineStr">
        <is>
          <t>INSTITUTE OF CHARTERED ACCOUNTANTS OF INDIA</t>
        </is>
      </c>
      <c r="C86" s="411" t="n"/>
      <c r="D86" s="411">
        <f>+C86</f>
        <v/>
      </c>
      <c r="E86" s="411" t="n"/>
      <c r="F86" s="470" t="n"/>
    </row>
    <row r="87" ht="15.75" customHeight="1">
      <c r="A87" s="470" t="n"/>
      <c r="B87" s="870" t="inlineStr">
        <is>
          <t>HOTEL BALAJI</t>
        </is>
      </c>
      <c r="C87" s="411" t="n"/>
      <c r="D87" s="411">
        <f>+C87</f>
        <v/>
      </c>
      <c r="E87" s="411" t="n"/>
      <c r="F87" s="470" t="n"/>
    </row>
    <row r="88" ht="15.75" customHeight="1">
      <c r="A88" s="470" t="n"/>
      <c r="B88" s="664" t="inlineStr">
        <is>
          <t>ORION ENTERPRISE</t>
        </is>
      </c>
      <c r="C88" s="411" t="n"/>
      <c r="D88" s="683">
        <f>+C88</f>
        <v/>
      </c>
      <c r="E88" s="411" t="n"/>
      <c r="F88" s="470" t="n"/>
    </row>
    <row r="89" ht="15.75" customHeight="1">
      <c r="A89" s="470" t="n"/>
      <c r="B89" s="487" t="inlineStr">
        <is>
          <t>IFFCO- TOKIO GENERAL INS.CO.LTD.</t>
        </is>
      </c>
      <c r="C89" s="411" t="n"/>
      <c r="D89" s="683">
        <f>+C89</f>
        <v/>
      </c>
      <c r="E89" s="411" t="n"/>
      <c r="F89" s="470" t="n"/>
    </row>
    <row r="90" ht="15.75" customHeight="1">
      <c r="A90" s="470" t="n"/>
      <c r="B90" s="712" t="inlineStr">
        <is>
          <t>VINAYAK AIR TRAVELS</t>
        </is>
      </c>
      <c r="C90" s="411" t="n"/>
      <c r="D90" s="683">
        <f>+C90</f>
        <v/>
      </c>
      <c r="E90" s="411" t="n"/>
      <c r="F90" s="470" t="n"/>
    </row>
    <row r="91" ht="15.75" customHeight="1">
      <c r="A91" s="470" t="n"/>
      <c r="B91" s="487" t="inlineStr">
        <is>
          <t>KOTAK MAHINDRA LIFE INSURANCE COMPANY LTD.</t>
        </is>
      </c>
      <c r="C91" s="411" t="n"/>
      <c r="D91" s="683">
        <f>+C91</f>
        <v/>
      </c>
      <c r="E91" s="411" t="n"/>
      <c r="F91" s="470" t="n"/>
    </row>
    <row r="92" ht="15.75" customHeight="1">
      <c r="A92" s="470" t="n"/>
      <c r="B92" s="487" t="inlineStr">
        <is>
          <t>AHMEDABAD PLASTICS AND GENERAL AGENCY</t>
        </is>
      </c>
      <c r="C92" s="411" t="n"/>
      <c r="D92" s="683">
        <f>+C92</f>
        <v/>
      </c>
      <c r="E92" s="411" t="n"/>
      <c r="F92" s="470" t="n"/>
    </row>
    <row r="93" ht="15.75" customHeight="1">
      <c r="A93" s="470" t="n"/>
      <c r="B93" s="487" t="inlineStr">
        <is>
          <t>SUPER SPICES GLOBAL</t>
        </is>
      </c>
      <c r="C93" s="411" t="n"/>
      <c r="D93" s="683">
        <f>+C93</f>
        <v/>
      </c>
      <c r="E93" s="411" t="n"/>
      <c r="F93" s="470" t="n"/>
    </row>
    <row r="94" ht="15.75" customHeight="1">
      <c r="A94" s="470" t="n"/>
      <c r="B94" s="487" t="inlineStr">
        <is>
          <t>RINKU CORPORATION</t>
        </is>
      </c>
      <c r="C94" s="411" t="n"/>
      <c r="D94" s="683">
        <f>+C94</f>
        <v/>
      </c>
      <c r="E94" s="411" t="n"/>
      <c r="F94" s="470" t="n"/>
    </row>
    <row r="95" ht="15.75" customHeight="1">
      <c r="A95" s="470" t="n"/>
      <c r="B95" s="487" t="inlineStr">
        <is>
          <t>ROHAN AGENCY</t>
        </is>
      </c>
      <c r="C95" s="411" t="n"/>
      <c r="D95" s="683">
        <f>+C95</f>
        <v/>
      </c>
      <c r="E95" s="411" t="n"/>
      <c r="F95" s="470" t="n"/>
    </row>
    <row r="96" ht="16.5" customHeight="1" thickBot="1">
      <c r="A96" s="1345" t="n"/>
      <c r="B96" s="712" t="inlineStr">
        <is>
          <t>VINAYAK AIR TRAVELS</t>
        </is>
      </c>
      <c r="C96" s="411" t="n">
        <v>0</v>
      </c>
      <c r="D96" s="683">
        <f>+C96</f>
        <v/>
      </c>
      <c r="E96" s="411" t="n"/>
      <c r="F96" s="470" t="n"/>
    </row>
    <row r="97" ht="16.5" customHeight="1" thickBot="1">
      <c r="A97" s="410" t="inlineStr">
        <is>
          <t>TOTAL</t>
        </is>
      </c>
      <c r="B97" s="1559" t="n"/>
      <c r="C97" s="412">
        <f>+SUM(C78:C96)</f>
        <v/>
      </c>
      <c r="D97" s="412">
        <f>+SUM(D78:D96)</f>
        <v/>
      </c>
      <c r="E97" s="412">
        <f>+SUM(E78:E96)</f>
        <v/>
      </c>
    </row>
    <row r="98" ht="18" customHeight="1">
      <c r="A98" s="1650" t="n"/>
      <c r="B98" s="1650" t="n"/>
      <c r="C98" s="1650" t="n"/>
      <c r="D98" s="1650" t="n"/>
      <c r="E98" s="1650" t="n"/>
      <c r="F98" s="1650" t="n"/>
    </row>
    <row r="99" ht="15.75" customHeight="1">
      <c r="A99" s="1651" t="n"/>
      <c r="B99" s="1651" t="n"/>
      <c r="C99" s="1651" t="n"/>
      <c r="D99" s="1651" t="n"/>
      <c r="E99" s="1651" t="n"/>
      <c r="F99" s="1651" t="n"/>
    </row>
    <row r="100" ht="15.75" customHeight="1">
      <c r="A100" s="1651" t="n"/>
      <c r="B100" s="1651" t="n"/>
      <c r="C100" s="1651" t="n"/>
      <c r="D100" s="1651" t="n"/>
      <c r="E100" s="1651" t="n"/>
      <c r="F100" s="1651" t="n"/>
    </row>
    <row r="101" ht="15" customHeight="1">
      <c r="A101" s="1342" t="n"/>
      <c r="B101" s="1504" t="n"/>
      <c r="C101" s="1504" t="n"/>
      <c r="D101" s="1504" t="n"/>
      <c r="E101" s="1504" t="n"/>
      <c r="F101" s="1505" t="n"/>
    </row>
    <row r="102" ht="15" customHeight="1">
      <c r="A102" s="1555" t="n"/>
      <c r="F102" s="1652" t="n"/>
    </row>
    <row r="103">
      <c r="A103" s="1506" t="n"/>
      <c r="B103" s="1041" t="n"/>
      <c r="C103" s="1041" t="n"/>
      <c r="D103" s="1041" t="n"/>
      <c r="E103" s="1041" t="n"/>
      <c r="F103" s="1507" t="n"/>
    </row>
  </sheetData>
  <mergeCells count="29">
    <mergeCell ref="E5:E6"/>
    <mergeCell ref="A66:C66"/>
    <mergeCell ref="E55:E56"/>
    <mergeCell ref="E64:E65"/>
    <mergeCell ref="F55:F56"/>
    <mergeCell ref="F5:F6"/>
    <mergeCell ref="A3:F3"/>
    <mergeCell ref="A2:F2"/>
    <mergeCell ref="A64:C65"/>
    <mergeCell ref="A73:F74"/>
    <mergeCell ref="A71:C71"/>
    <mergeCell ref="A101:F103"/>
    <mergeCell ref="G5:G6"/>
    <mergeCell ref="A68:C68"/>
    <mergeCell ref="A76:E76"/>
    <mergeCell ref="D64:D65"/>
    <mergeCell ref="A67:C67"/>
    <mergeCell ref="D55:D56"/>
    <mergeCell ref="F64:F65"/>
    <mergeCell ref="A55:C56"/>
    <mergeCell ref="A97:B97"/>
    <mergeCell ref="D5:D6"/>
    <mergeCell ref="A60:C60"/>
    <mergeCell ref="H5:H6"/>
    <mergeCell ref="A1:F1"/>
    <mergeCell ref="A61:C61"/>
    <mergeCell ref="A70:C70"/>
    <mergeCell ref="A69:C69"/>
    <mergeCell ref="A77:B77"/>
  </mergeCells>
  <conditionalFormatting sqref="A76:A97">
    <cfRule type="containsText" priority="19" operator="containsText" dxfId="1" text="EXCESS COLLECTED">
      <formula>NOT(ISERROR(SEARCH("EXCESS COLLECTED",A76)))</formula>
    </cfRule>
  </conditionalFormatting>
  <conditionalFormatting sqref="A1:M1 A2 A3:M4 A5:H5 A6:F6 A7:M7 A8:F24 A25:B28 A29 A30:B48 A49:F51 A52:D53 A54:G57 A67:I67 A68:A69 A70:I72 A73 A75:G75 A104:XFD1048576 C25:F48 C52:F52 C78:E96 D68:I69 E53:F53 F76:F96 G2:M2 G9:M15 G16:G41 G42:H51 G73:I74 G75:G102 G103:XFD103 H8:M8 H16:M18 H19:H26 H28:H39 H53:I53 H54:H60 H75:I81 H82:XFD102 I5:M6 I19:I52 I54:I62 J19:M26 J32:K32 J33:J35 J41:J44 J45:K57 J59:K65 J67:M81 K34:K44 K58 K66 L36:L53 L54:M66 M30:M53 N1:XFD81">
    <cfRule type="containsText" priority="168" operator="containsText" dxfId="0" text="LESS COLLECTED">
      <formula>NOT(ISERROR(SEARCH("LESS COLLECTED",A1)))</formula>
    </cfRule>
  </conditionalFormatting>
  <conditionalFormatting sqref="A58:F58 A59:G59 A65:I65 A66:F66 C77:D79 C78:F96 D55:E56 D63:E63 G57 G75:G79 H66">
    <cfRule type="containsText" priority="165" operator="containsText" dxfId="1" text="EXCESS COLLECTED">
      <formula>NOT(ISERROR(SEARCH("EXCESS COLLECTED",A55)))</formula>
    </cfRule>
  </conditionalFormatting>
  <conditionalFormatting sqref="A58:F58 A59:G62 A63:H63 A64:F66 A65:I65 C77:F97 D55:E56 G57 H66:I66">
    <cfRule type="containsText" priority="166" operator="containsText" dxfId="0" text="LESS COLLECTED">
      <formula>NOT(ISERROR(SEARCH("LESS COLLECTED",A55)))</formula>
    </cfRule>
  </conditionalFormatting>
  <conditionalFormatting sqref="G52:G54">
    <cfRule type="containsText" priority="4" operator="containsText" dxfId="0" text="LESS COLLECTED">
      <formula>NOT(ISERROR(SEARCH("LESS COLLECTED",G52)))</formula>
    </cfRule>
  </conditionalFormatting>
  <conditionalFormatting sqref="H52">
    <cfRule type="containsText" priority="3" operator="containsText" dxfId="0" text="LESS COLLECTED">
      <formula>NOT(ISERROR(SEARCH("LESS COLLECTED",H52)))</formula>
    </cfRule>
  </conditionalFormatting>
  <pageMargins left="0.5118110236220472" right="0.1968503937007874" top="0.3543307086614174" bottom="0.7480314960629921" header="0.3149606299212598" footer="0.3149606299212598"/>
  <pageSetup orientation="portrait" paperSize="9" scale="46"/>
</worksheet>
</file>

<file path=xl/worksheets/sheet27.xml><?xml version="1.0" encoding="utf-8"?>
<worksheet xmlns="http://schemas.openxmlformats.org/spreadsheetml/2006/main">
  <sheetPr codeName="Sheet25">
    <outlinePr summaryBelow="1" summaryRight="1"/>
    <pageSetUpPr/>
  </sheetPr>
  <dimension ref="A1:N100"/>
  <sheetViews>
    <sheetView topLeftCell="A40" zoomScale="90" zoomScaleNormal="90" workbookViewId="0">
      <selection activeCell="F62" sqref="F62"/>
    </sheetView>
  </sheetViews>
  <sheetFormatPr baseColWidth="8" defaultColWidth="9.140625" defaultRowHeight="15"/>
  <cols>
    <col width="18.140625" customWidth="1" style="1084" min="1" max="1"/>
    <col width="38" customWidth="1" style="1084" min="2" max="2"/>
    <col width="29.42578125" customWidth="1" style="1084" min="3" max="3"/>
    <col width="17.7109375" bestFit="1" customWidth="1" style="1084" min="4" max="4"/>
    <col width="29" customWidth="1" style="1084" min="5" max="5"/>
    <col width="28.42578125" customWidth="1" style="1084" min="6" max="6"/>
    <col width="21.7109375" bestFit="1" customWidth="1" style="1084" min="7" max="7"/>
    <col width="24.42578125" customWidth="1" style="1084" min="8" max="8"/>
    <col width="17" bestFit="1" customWidth="1" style="1084" min="9" max="9"/>
    <col width="12.42578125" bestFit="1" customWidth="1" style="1084" min="10" max="10"/>
    <col width="9.85546875" bestFit="1" customWidth="1" style="1084" min="11" max="11"/>
    <col width="9.140625" customWidth="1" style="1084" min="12" max="16384"/>
  </cols>
  <sheetData>
    <row r="1" ht="15.75" customHeight="1">
      <c r="A1" s="1210" t="inlineStr">
        <is>
          <t>NUTAN NAGARIK SAHAKARI BANK LTD., DEMAT  BRANCH</t>
        </is>
      </c>
    </row>
    <row r="2" ht="15.75" customHeight="1">
      <c r="A2" s="1615" t="inlineStr">
        <is>
          <t>BRANCH CODE: 99</t>
        </is>
      </c>
    </row>
    <row r="3" ht="15.75" customHeight="1">
      <c r="A3" s="1210">
        <f>+THALTEJ!A5</f>
        <v/>
      </c>
      <c r="G3" s="1084" t="n">
        <v>0</v>
      </c>
    </row>
    <row r="4" ht="15.75" customHeight="1">
      <c r="A4" s="24" t="inlineStr">
        <is>
          <t xml:space="preserve"> </t>
        </is>
      </c>
      <c r="B4" s="3" t="n"/>
      <c r="C4" s="44" t="n"/>
      <c r="D4" s="1612" t="n"/>
      <c r="E4" s="3" t="n"/>
      <c r="F4" s="3" t="n"/>
      <c r="G4" s="1084" t="n">
        <v>0</v>
      </c>
    </row>
    <row r="5" ht="26.25" customHeight="1">
      <c r="A5" s="264" t="inlineStr">
        <is>
          <t>CODE NO.</t>
        </is>
      </c>
      <c r="B5" s="47" t="inlineStr">
        <is>
          <t>PARTICULARS</t>
        </is>
      </c>
      <c r="C5" s="1493" t="inlineStr">
        <is>
          <t xml:space="preserve">TOTAL </t>
        </is>
      </c>
      <c r="D5" s="1213" t="inlineStr">
        <is>
          <t>GGST</t>
        </is>
      </c>
      <c r="E5" s="1213" t="inlineStr">
        <is>
          <t>CGST</t>
        </is>
      </c>
      <c r="F5" s="1213" t="inlineStr">
        <is>
          <t>IGST</t>
        </is>
      </c>
      <c r="G5" s="1357" t="inlineStr">
        <is>
          <t>REFUND WITHOUT GST</t>
        </is>
      </c>
      <c r="H5" s="1357" t="inlineStr">
        <is>
          <t>REFUND WITH GST</t>
        </is>
      </c>
      <c r="I5" s="1357" t="inlineStr">
        <is>
          <t>PROVISION MADE</t>
        </is>
      </c>
    </row>
    <row r="6" ht="25.5" customHeight="1">
      <c r="A6" s="48" t="inlineStr">
        <is>
          <t>PL</t>
        </is>
      </c>
      <c r="B6" s="49" t="n"/>
      <c r="C6" s="1495" t="inlineStr">
        <is>
          <t>INCOME</t>
        </is>
      </c>
      <c r="D6" s="1494" t="n"/>
      <c r="E6" s="1494" t="n"/>
      <c r="F6" s="1494" t="n"/>
      <c r="G6" s="1494" t="n"/>
      <c r="H6" s="1494" t="n"/>
      <c r="I6" s="1494" t="n"/>
    </row>
    <row r="7" ht="15.75" customHeight="1">
      <c r="A7" s="660" t="n"/>
      <c r="B7" s="49" t="n"/>
      <c r="C7" s="1497" t="n"/>
      <c r="D7" s="1653" t="n"/>
      <c r="E7" s="1653" t="n"/>
      <c r="F7" s="1217" t="n"/>
      <c r="G7" s="1510" t="n"/>
      <c r="H7" s="1510" t="n"/>
      <c r="I7" s="1510" t="n">
        <v>0</v>
      </c>
      <c r="J7" s="1520" t="n"/>
    </row>
    <row r="8" ht="15.75" customHeight="1">
      <c r="A8" s="1080" t="n">
        <v>3310</v>
      </c>
      <c r="B8" s="1220" t="inlineStr">
        <is>
          <t>MISCELLANEOUS INCOME</t>
        </is>
      </c>
      <c r="C8" s="1497" t="n">
        <v>0.01</v>
      </c>
      <c r="D8" s="1654">
        <f>+C8*0.09</f>
        <v/>
      </c>
      <c r="E8" s="1654">
        <f>+D8</f>
        <v/>
      </c>
      <c r="F8" s="1497" t="n">
        <v>0</v>
      </c>
      <c r="G8" s="1510" t="n"/>
      <c r="H8" s="1510" t="n"/>
      <c r="I8" s="1510" t="n">
        <v>0</v>
      </c>
      <c r="J8" s="1520" t="n"/>
    </row>
    <row r="9" ht="15.75" customHeight="1">
      <c r="A9" s="51" t="n">
        <v>3315</v>
      </c>
      <c r="B9" s="1220" t="inlineStr">
        <is>
          <t>CHARGES ON GODOWNS</t>
        </is>
      </c>
      <c r="C9" s="1497" t="n"/>
      <c r="D9" s="1654">
        <f>+(C9-F9/18%)*9%</f>
        <v/>
      </c>
      <c r="E9" s="1654">
        <f>+D9</f>
        <v/>
      </c>
      <c r="F9" s="1497" t="n">
        <v>0</v>
      </c>
      <c r="G9" s="1510" t="n"/>
      <c r="H9" s="1510" t="n"/>
      <c r="I9" s="1510" t="n">
        <v>0</v>
      </c>
      <c r="J9" s="1520" t="n"/>
    </row>
    <row r="10" ht="15.75" customHeight="1">
      <c r="A10" s="1080" t="n">
        <v>3322</v>
      </c>
      <c r="B10" s="1220" t="inlineStr">
        <is>
          <t>INCOME FROM SALE OF OLD NEWS PAPERS</t>
        </is>
      </c>
      <c r="C10" s="1497" t="n"/>
      <c r="D10" s="1654">
        <f>+(C10-F10/18%)*9%</f>
        <v/>
      </c>
      <c r="E10" s="1654">
        <f>+D10</f>
        <v/>
      </c>
      <c r="F10" s="1497" t="n">
        <v>0</v>
      </c>
      <c r="G10" s="1510" t="n"/>
      <c r="H10" s="1510" t="n"/>
      <c r="I10" s="1510" t="n">
        <v>0</v>
      </c>
      <c r="J10" s="1520" t="n"/>
    </row>
    <row r="11" ht="15.75" customHeight="1">
      <c r="A11" s="51" t="n">
        <v>3332</v>
      </c>
      <c r="B11" s="1220" t="inlineStr">
        <is>
          <t>ASBA COMMISSION</t>
        </is>
      </c>
      <c r="C11" s="1497" t="n"/>
      <c r="D11" s="1654">
        <f>+(C11-F11/18%)*9%</f>
        <v/>
      </c>
      <c r="E11" s="1654">
        <f>+D11</f>
        <v/>
      </c>
      <c r="F11" s="1497" t="n"/>
      <c r="G11" s="1510" t="n">
        <v>0</v>
      </c>
      <c r="H11" s="1510" t="n">
        <v>0</v>
      </c>
      <c r="I11" s="1510" t="n">
        <v>0</v>
      </c>
      <c r="J11" s="1520" t="n"/>
    </row>
    <row r="12" ht="15.75" customHeight="1">
      <c r="A12" s="51" t="inlineStr">
        <is>
          <t>READ NOTE -3</t>
        </is>
      </c>
      <c r="B12" s="1220" t="inlineStr">
        <is>
          <t>ASBA COMMISSION INCOME NOT RECORDED IN BOOKS BUT INOICE ISSUED.</t>
        </is>
      </c>
      <c r="C12" s="1497" t="n"/>
      <c r="D12" s="1654">
        <f>+(C12-F12/18%)*9%</f>
        <v/>
      </c>
      <c r="E12" s="1654">
        <f>+D12</f>
        <v/>
      </c>
      <c r="F12" s="1497" t="n">
        <v>0</v>
      </c>
      <c r="G12" s="1510" t="n"/>
      <c r="H12" s="1510" t="n"/>
      <c r="I12" s="1510" t="n">
        <v>0</v>
      </c>
      <c r="J12" s="1520" t="n"/>
    </row>
    <row r="13" ht="15.75" customHeight="1">
      <c r="A13" s="51" t="n"/>
      <c r="B13" s="1220" t="inlineStr">
        <is>
          <t>ASBA COMMISSION</t>
        </is>
      </c>
      <c r="C13" s="1497" t="n"/>
      <c r="D13" s="1654">
        <f>+(C13-F13/18%)*9%</f>
        <v/>
      </c>
      <c r="E13" s="1654">
        <f>+D13</f>
        <v/>
      </c>
      <c r="F13" s="1497" t="n">
        <v>0</v>
      </c>
      <c r="G13" s="1510" t="n"/>
      <c r="H13" s="1510" t="n"/>
      <c r="I13" s="1510" t="n">
        <v>0</v>
      </c>
      <c r="J13" s="1520" t="n"/>
    </row>
    <row r="14" ht="15.75" customHeight="1">
      <c r="A14" s="51" t="n">
        <v>3334</v>
      </c>
      <c r="B14" s="1220" t="inlineStr">
        <is>
          <t>REFERAL INCOME</t>
        </is>
      </c>
      <c r="C14" s="1497" t="n"/>
      <c r="D14" s="1654">
        <f>+(C14-F14/18%)*9%</f>
        <v/>
      </c>
      <c r="E14" s="1654">
        <f>+D14</f>
        <v/>
      </c>
      <c r="F14" s="1497" t="n">
        <v>0</v>
      </c>
      <c r="G14" s="1510" t="n"/>
      <c r="H14" s="1510" t="n"/>
      <c r="I14" s="1510" t="n">
        <v>0</v>
      </c>
      <c r="J14" s="1520" t="n"/>
    </row>
    <row r="15" ht="15.75" customHeight="1">
      <c r="A15" s="51" t="n">
        <v>3341</v>
      </c>
      <c r="B15" s="1220" t="inlineStr">
        <is>
          <t>ACCOUNT OPENING FORM  CHARGES</t>
        </is>
      </c>
      <c r="C15" s="1497" t="n"/>
      <c r="D15" s="1654">
        <f>+(C15-F15/18%)*9%</f>
        <v/>
      </c>
      <c r="E15" s="1654">
        <f>+D15</f>
        <v/>
      </c>
      <c r="F15" s="1497" t="n">
        <v>0</v>
      </c>
      <c r="G15" s="1510" t="n"/>
      <c r="H15" s="1510" t="n"/>
      <c r="I15" s="1510" t="n">
        <v>0</v>
      </c>
      <c r="J15" s="1520" t="n"/>
    </row>
    <row r="16" ht="15.75" customHeight="1">
      <c r="A16" s="51" t="n">
        <v>3345</v>
      </c>
      <c r="B16" s="1220" t="inlineStr">
        <is>
          <t>DEMATERIALISATION CHARGES</t>
        </is>
      </c>
      <c r="C16" s="1497" t="n"/>
      <c r="D16" s="1654">
        <f>+(C16-F16/18%)*9%</f>
        <v/>
      </c>
      <c r="E16" s="1654">
        <f>+D16</f>
        <v/>
      </c>
      <c r="F16" s="1497" t="n"/>
      <c r="G16" s="1510" t="n"/>
      <c r="H16" s="1510" t="n"/>
      <c r="I16" s="1510" t="n">
        <v>0</v>
      </c>
      <c r="J16" s="1520" t="n"/>
    </row>
    <row r="17" ht="15.75" customHeight="1">
      <c r="A17" s="51" t="n">
        <v>3346</v>
      </c>
      <c r="B17" s="1220" t="inlineStr">
        <is>
          <t>KRA UPLOAD CHARGES</t>
        </is>
      </c>
      <c r="C17" s="1497" t="n"/>
      <c r="D17" s="1654">
        <f>+(C17-F17/18%)*9%</f>
        <v/>
      </c>
      <c r="E17" s="1654">
        <f>+D17</f>
        <v/>
      </c>
      <c r="F17" s="1497" t="n">
        <v>0</v>
      </c>
      <c r="G17" s="1510" t="n">
        <v>0</v>
      </c>
      <c r="H17" s="1510" t="n"/>
      <c r="I17" s="1510" t="n">
        <v>0</v>
      </c>
      <c r="J17" s="1520" t="n"/>
    </row>
    <row r="18" ht="15.75" customHeight="1">
      <c r="A18" s="51" t="n">
        <v>3350</v>
      </c>
      <c r="B18" s="1220" t="inlineStr">
        <is>
          <t>ANNUAL MAINTANCE CHARGES</t>
        </is>
      </c>
      <c r="C18" s="1497" t="n"/>
      <c r="D18" s="1654">
        <f>+(C18-F18/18%)*9%</f>
        <v/>
      </c>
      <c r="E18" s="1654">
        <f>+D18</f>
        <v/>
      </c>
      <c r="F18" s="1497" t="n">
        <v>0</v>
      </c>
      <c r="G18" s="1510" t="n"/>
      <c r="H18" s="1510" t="n">
        <v>0</v>
      </c>
      <c r="I18" s="1510" t="n">
        <v>0</v>
      </c>
      <c r="J18" s="1520" t="n"/>
    </row>
    <row r="19" ht="15.75" customHeight="1">
      <c r="A19" s="51" t="n">
        <v>3358</v>
      </c>
      <c r="B19" s="1220" t="inlineStr">
        <is>
          <t>DEMAT MODIFICATION CHARGES</t>
        </is>
      </c>
      <c r="C19" s="1497" t="n"/>
      <c r="D19" s="1654">
        <f>+(C19-F19/18%)*9%</f>
        <v/>
      </c>
      <c r="E19" s="1654">
        <f>+D19</f>
        <v/>
      </c>
      <c r="F19" s="1497" t="n">
        <v>0</v>
      </c>
      <c r="G19" s="1510" t="n">
        <v>0</v>
      </c>
      <c r="H19" s="1510" t="n"/>
      <c r="I19" s="1510" t="n">
        <v>0</v>
      </c>
      <c r="J19" s="1520" t="n"/>
    </row>
    <row r="20" ht="15" customHeight="1">
      <c r="A20" s="51" t="n">
        <v>3360</v>
      </c>
      <c r="B20" s="1220" t="inlineStr">
        <is>
          <t>SELL TRANSACTION CHARGES</t>
        </is>
      </c>
      <c r="C20" s="1497" t="n"/>
      <c r="D20" s="1654">
        <f>+(C20-F20/18%)*9%</f>
        <v/>
      </c>
      <c r="E20" s="1654">
        <f>+D20</f>
        <v/>
      </c>
      <c r="F20" s="1497" t="n">
        <v>0</v>
      </c>
      <c r="G20" s="1510" t="n"/>
      <c r="H20" s="1510" t="n"/>
      <c r="I20" s="1510" t="n">
        <v>0</v>
      </c>
      <c r="J20" s="1520" t="n"/>
    </row>
    <row r="21" ht="15.75" customHeight="1">
      <c r="A21" s="51" t="n">
        <v>3361</v>
      </c>
      <c r="B21" s="1220" t="inlineStr">
        <is>
          <t>DELIVERY SLIP BOOK CHARGES</t>
        </is>
      </c>
      <c r="C21" s="1497" t="n"/>
      <c r="D21" s="1654">
        <f>+(C21-F21/18%)*9%</f>
        <v/>
      </c>
      <c r="E21" s="1654">
        <f>+D21</f>
        <v/>
      </c>
      <c r="F21" s="1497" t="n">
        <v>0</v>
      </c>
      <c r="G21" s="1510" t="n"/>
      <c r="H21" s="1510" t="n"/>
      <c r="I21" s="1510" t="n">
        <v>0</v>
      </c>
      <c r="J21" s="1520" t="n"/>
    </row>
    <row r="22" ht="15.75" customHeight="1">
      <c r="A22" s="51" t="n">
        <v>3370</v>
      </c>
      <c r="B22" s="1220" t="inlineStr">
        <is>
          <t>PEDGE CHARGES</t>
        </is>
      </c>
      <c r="C22" s="1497" t="n"/>
      <c r="D22" s="1654">
        <f>+(C22-F22/18%)*9%</f>
        <v/>
      </c>
      <c r="E22" s="1654">
        <f>+D22</f>
        <v/>
      </c>
      <c r="F22" s="1497" t="n">
        <v>0</v>
      </c>
      <c r="G22" s="1510" t="n">
        <v>0</v>
      </c>
      <c r="H22" s="1510" t="n">
        <v>0</v>
      </c>
      <c r="I22" s="1510" t="n">
        <v>0</v>
      </c>
      <c r="J22" s="1520" t="n"/>
    </row>
    <row r="23" ht="15.75" customHeight="1">
      <c r="A23" s="51" t="n">
        <v>3380</v>
      </c>
      <c r="B23" s="1220" t="inlineStr">
        <is>
          <t>STATEMENT CHARGES</t>
        </is>
      </c>
      <c r="C23" s="1497" t="n"/>
      <c r="D23" s="1654">
        <f>+(C23-F23/18%)*9%</f>
        <v/>
      </c>
      <c r="E23" s="1654">
        <f>+D23</f>
        <v/>
      </c>
      <c r="F23" s="1497" t="n">
        <v>0</v>
      </c>
      <c r="G23" s="1510" t="n"/>
      <c r="H23" s="1510" t="n"/>
      <c r="I23" s="1510" t="n">
        <v>0</v>
      </c>
      <c r="J23" s="1520" t="n"/>
    </row>
    <row r="24" ht="15.75" customHeight="1">
      <c r="A24" s="51" t="n">
        <v>3385</v>
      </c>
      <c r="B24" s="1220" t="inlineStr">
        <is>
          <t>LATE INSTRUCTION CHARGES</t>
        </is>
      </c>
      <c r="C24" s="1497" t="n"/>
      <c r="D24" s="1654">
        <f>+(C24-F24/18%)*9%</f>
        <v/>
      </c>
      <c r="E24" s="1654">
        <f>+D24</f>
        <v/>
      </c>
      <c r="F24" s="1497" t="n">
        <v>0</v>
      </c>
      <c r="G24" s="1510" t="n"/>
      <c r="H24" s="1510" t="n"/>
      <c r="I24" s="1510" t="n">
        <v>0</v>
      </c>
      <c r="J24" s="1520" t="n"/>
    </row>
    <row r="25" ht="15.75" customHeight="1">
      <c r="A25" s="51" t="n">
        <v>3396</v>
      </c>
      <c r="B25" s="1220" t="inlineStr">
        <is>
          <t>IDEAS</t>
        </is>
      </c>
      <c r="C25" s="1497" t="n"/>
      <c r="D25" s="1654">
        <f>+(C25-F25/18%)*9%</f>
        <v/>
      </c>
      <c r="E25" s="1654">
        <f>+D25</f>
        <v/>
      </c>
      <c r="F25" s="1497" t="n">
        <v>0</v>
      </c>
      <c r="G25" s="1510" t="n"/>
      <c r="H25" s="1510" t="n"/>
      <c r="I25" s="1510" t="n">
        <v>0</v>
      </c>
      <c r="J25" s="1520" t="n"/>
    </row>
    <row r="26" ht="15.75" customHeight="1">
      <c r="A26" s="51" t="n">
        <v>3397</v>
      </c>
      <c r="B26" s="1220" t="inlineStr">
        <is>
          <t>ROUNDING OF INCOME</t>
        </is>
      </c>
      <c r="C26" s="1497" t="n"/>
      <c r="D26" s="1654">
        <f>+(C26-F26/18%)*9%</f>
        <v/>
      </c>
      <c r="E26" s="1654">
        <f>+D26</f>
        <v/>
      </c>
      <c r="F26" s="1497" t="n">
        <v>0</v>
      </c>
      <c r="G26" s="1510" t="n"/>
      <c r="H26" s="1510" t="n"/>
      <c r="I26" s="1510" t="n">
        <v>0</v>
      </c>
      <c r="J26" s="1520" t="n"/>
    </row>
    <row r="27" ht="15.75" customHeight="1">
      <c r="A27" s="51" t="n">
        <v>3398</v>
      </c>
      <c r="B27" s="1220" t="inlineStr">
        <is>
          <t>INCENTIVE FROM NSDL</t>
        </is>
      </c>
      <c r="C27" s="1497" t="n">
        <v>0</v>
      </c>
      <c r="D27" s="1653">
        <f>+(C27-F27/18%)*9%</f>
        <v/>
      </c>
      <c r="E27" s="1653">
        <f>+D27</f>
        <v/>
      </c>
      <c r="F27" s="1497" t="n">
        <v>0</v>
      </c>
      <c r="G27" s="1510" t="n"/>
      <c r="H27" s="1510" t="n"/>
      <c r="I27" s="1510" t="n">
        <v>0</v>
      </c>
      <c r="J27" s="1520" t="n"/>
    </row>
    <row r="28" ht="15.75" customHeight="1">
      <c r="A28" s="52" t="inlineStr">
        <is>
          <t>GL</t>
        </is>
      </c>
      <c r="B28" s="1220" t="n"/>
      <c r="C28" s="1497" t="n"/>
      <c r="D28" s="1653">
        <f>+C28*9%</f>
        <v/>
      </c>
      <c r="E28" s="1497">
        <f>+D28</f>
        <v/>
      </c>
      <c r="F28" s="1497" t="n">
        <v>0</v>
      </c>
      <c r="G28" s="1510" t="n"/>
      <c r="H28" s="1510" t="n"/>
      <c r="I28" s="1510" t="n">
        <v>0</v>
      </c>
      <c r="J28" s="1520" t="n"/>
    </row>
    <row r="29" ht="15.75" customHeight="1">
      <c r="A29" s="51" t="n">
        <v>1870</v>
      </c>
      <c r="B29" s="1220" t="inlineStr">
        <is>
          <t>DEMAT CHARGES RECD. BUT NOT ACCURED</t>
        </is>
      </c>
      <c r="C29" s="1497" t="n">
        <v>0</v>
      </c>
      <c r="D29" s="1653">
        <f>+C29*9%</f>
        <v/>
      </c>
      <c r="E29" s="1497">
        <f>+D29</f>
        <v/>
      </c>
      <c r="F29" s="1497" t="n">
        <v>0</v>
      </c>
      <c r="G29" s="1510" t="n"/>
      <c r="H29" s="1510" t="n"/>
      <c r="I29" s="1510" t="n">
        <v>0</v>
      </c>
      <c r="J29" s="1520" t="n"/>
    </row>
    <row r="30" ht="15.75" customHeight="1">
      <c r="A30" s="51" t="n"/>
      <c r="B30" s="1220" t="inlineStr">
        <is>
          <t>SALE OF ASSET</t>
        </is>
      </c>
      <c r="C30" s="1497" t="n">
        <v>0</v>
      </c>
      <c r="D30" s="1497">
        <f>+C30*9%</f>
        <v/>
      </c>
      <c r="E30" s="1497">
        <f>+D30</f>
        <v/>
      </c>
      <c r="F30" s="1497" t="n">
        <v>0</v>
      </c>
      <c r="G30" s="1510" t="n"/>
      <c r="H30" s="1510" t="n"/>
      <c r="I30" s="1510" t="n">
        <v>0</v>
      </c>
      <c r="J30" s="1520" t="n"/>
    </row>
    <row r="31" ht="16.5" customHeight="1" thickBot="1">
      <c r="A31" s="129" t="n"/>
      <c r="B31" s="130" t="inlineStr">
        <is>
          <t>TOTAL</t>
        </is>
      </c>
      <c r="C31" s="1655">
        <f>+SUM(C8:C29)</f>
        <v/>
      </c>
      <c r="D31" s="1656">
        <f>+SUM(D8:D29)</f>
        <v/>
      </c>
      <c r="E31" s="1656">
        <f>+SUM(E8:E29)</f>
        <v/>
      </c>
      <c r="F31" s="1655">
        <f>+SUM(F8:F29)</f>
        <v/>
      </c>
      <c r="G31" s="1657">
        <f>+SUM(G7:G30)</f>
        <v/>
      </c>
      <c r="H31" s="1657">
        <f>+SUM(H7:H30)</f>
        <v/>
      </c>
      <c r="I31" s="1657">
        <f>+SUM(I7:I30)</f>
        <v/>
      </c>
      <c r="J31" s="1520" t="n"/>
    </row>
    <row r="32" ht="16.5" customHeight="1" thickTop="1">
      <c r="A32" s="9" t="inlineStr">
        <is>
          <t>RCM</t>
        </is>
      </c>
      <c r="B32" s="661" t="n"/>
      <c r="C32" s="1658" t="n"/>
      <c r="D32" s="1659" t="n">
        <v>0</v>
      </c>
      <c r="E32" s="1659" t="n">
        <v>0</v>
      </c>
      <c r="F32" s="1497">
        <f>IF(D32&gt;0," ",C32*18%)</f>
        <v/>
      </c>
    </row>
    <row r="33" ht="15.75" customHeight="1">
      <c r="A33" s="1448" t="inlineStr">
        <is>
          <t>PL 3750</t>
        </is>
      </c>
      <c r="B33" s="1220" t="inlineStr">
        <is>
          <t>LAW CHARGES</t>
        </is>
      </c>
      <c r="C33" s="1660" t="n">
        <v>0</v>
      </c>
      <c r="D33" s="1497">
        <f>+C33*9%</f>
        <v/>
      </c>
      <c r="E33" s="1497">
        <f>+D33</f>
        <v/>
      </c>
      <c r="F33" s="1497">
        <f>IF(D33&gt;0," ",C33*18%)</f>
        <v/>
      </c>
      <c r="G33" s="1084">
        <f>+C31*18%</f>
        <v/>
      </c>
      <c r="H33" s="1084">
        <f>+D31+E31+F31</f>
        <v/>
      </c>
      <c r="I33" s="1084">
        <f>+G33-H33</f>
        <v/>
      </c>
    </row>
    <row r="34" ht="15.75" customHeight="1">
      <c r="A34" s="3" t="n"/>
      <c r="B34" s="3" t="n"/>
      <c r="C34" s="44" t="n"/>
      <c r="D34" s="1612" t="n"/>
      <c r="E34" s="3" t="n"/>
      <c r="F34" s="3" t="n"/>
      <c r="G34" s="32" t="n"/>
      <c r="I34" s="1084" t="inlineStr">
        <is>
          <t xml:space="preserve"> </t>
        </is>
      </c>
      <c r="J34" s="1084" t="inlineStr">
        <is>
          <t xml:space="preserve"> </t>
        </is>
      </c>
      <c r="K34" s="1084" t="inlineStr">
        <is>
          <t xml:space="preserve"> </t>
        </is>
      </c>
    </row>
    <row r="35" ht="15.75" customHeight="1">
      <c r="A35" s="1210" t="inlineStr">
        <is>
          <t xml:space="preserve">SUMMARY </t>
        </is>
      </c>
      <c r="G35" s="265" t="n"/>
    </row>
    <row r="36" ht="15.75" customHeight="1">
      <c r="A36" s="1214" t="n"/>
      <c r="B36" s="1214" t="n"/>
      <c r="C36" s="1214" t="n"/>
      <c r="D36" s="1214" t="n"/>
      <c r="E36" s="1214" t="n"/>
      <c r="F36" s="1214" t="n"/>
    </row>
    <row r="37" ht="15.75" customHeight="1">
      <c r="A37" s="29" t="inlineStr">
        <is>
          <t>(1) INCOME</t>
        </is>
      </c>
      <c r="B37" s="29" t="n"/>
      <c r="C37" s="3" t="n"/>
      <c r="D37" s="3" t="n"/>
      <c r="E37" s="3" t="n"/>
      <c r="F37" s="3" t="n"/>
    </row>
    <row r="38">
      <c r="A38" s="1213" t="inlineStr">
        <is>
          <t>PARTICULARS</t>
        </is>
      </c>
      <c r="B38" s="1504" t="n"/>
      <c r="C38" s="1505" t="n"/>
      <c r="D38" s="1213" t="inlineStr">
        <is>
          <t>GGST</t>
        </is>
      </c>
      <c r="E38" s="1213" t="inlineStr">
        <is>
          <t>CGST</t>
        </is>
      </c>
      <c r="F38" s="1213" t="inlineStr">
        <is>
          <t>IGST</t>
        </is>
      </c>
      <c r="M38" s="1084" t="inlineStr">
        <is>
          <t xml:space="preserve"> </t>
        </is>
      </c>
      <c r="N38" s="1084" t="inlineStr">
        <is>
          <t xml:space="preserve"> </t>
        </is>
      </c>
    </row>
    <row r="39">
      <c r="A39" s="1506" t="n"/>
      <c r="B39" s="1041" t="n"/>
      <c r="C39" s="1507" t="n"/>
      <c r="D39" s="1494" t="n"/>
      <c r="E39" s="1494" t="n"/>
      <c r="F39" s="1494" t="n"/>
      <c r="I39" s="1084" t="inlineStr">
        <is>
          <t xml:space="preserve"> </t>
        </is>
      </c>
    </row>
    <row r="40" ht="15.75" customHeight="1">
      <c r="A40" s="59" t="inlineStr">
        <is>
          <t>(1) INCOME AS PER LEDGERWISE CALCULATION</t>
        </is>
      </c>
      <c r="B40" s="60" t="n"/>
      <c r="C40" s="50">
        <f>+C31</f>
        <v/>
      </c>
      <c r="D40" s="105">
        <f>+D31</f>
        <v/>
      </c>
      <c r="E40" s="105">
        <f>+E31</f>
        <v/>
      </c>
      <c r="F40" s="105">
        <f>+F31</f>
        <v/>
      </c>
      <c r="H40" s="1084" t="inlineStr">
        <is>
          <t xml:space="preserve"> </t>
        </is>
      </c>
    </row>
    <row r="41" ht="15.75" customHeight="1">
      <c r="A41" s="1243" t="inlineStr">
        <is>
          <t>(2) REFUND GIVEN BUT GST REFUND NOT GIVEN</t>
        </is>
      </c>
      <c r="B41" s="1243" t="n"/>
      <c r="C41" s="61">
        <f>+G31</f>
        <v/>
      </c>
      <c r="D41" s="106">
        <f>+C41*9%</f>
        <v/>
      </c>
      <c r="E41" s="106">
        <f>+D41</f>
        <v/>
      </c>
      <c r="F41" s="34" t="n">
        <v>0</v>
      </c>
      <c r="G41" s="32" t="n"/>
      <c r="H41" s="1084" t="inlineStr">
        <is>
          <t xml:space="preserve"> </t>
        </is>
      </c>
      <c r="J41" s="1084" t="inlineStr">
        <is>
          <t xml:space="preserve"> </t>
        </is>
      </c>
      <c r="M41" s="1084" t="inlineStr">
        <is>
          <t xml:space="preserve"> </t>
        </is>
      </c>
    </row>
    <row r="42" ht="15.75" customHeight="1">
      <c r="A42" s="1243" t="n"/>
      <c r="B42" s="1243" t="n"/>
      <c r="C42" s="50">
        <f>+C40+C41</f>
        <v/>
      </c>
      <c r="D42" s="105">
        <f>+D40+D41</f>
        <v/>
      </c>
      <c r="E42" s="105">
        <f>+E40+E41</f>
        <v/>
      </c>
      <c r="F42" s="105">
        <f>+F40+F41</f>
        <v/>
      </c>
      <c r="H42" s="1084" t="inlineStr">
        <is>
          <t xml:space="preserve"> </t>
        </is>
      </c>
      <c r="K42" s="1084" t="inlineStr">
        <is>
          <t xml:space="preserve"> </t>
        </is>
      </c>
      <c r="L42" s="1084" t="inlineStr">
        <is>
          <t xml:space="preserve"> </t>
        </is>
      </c>
    </row>
    <row r="43" ht="15.75" customHeight="1">
      <c r="A43" s="1220" t="inlineStr">
        <is>
          <t>(3) PAYABLE AS PER LEDGER</t>
        </is>
      </c>
      <c r="B43" s="1042" t="n"/>
      <c r="C43" s="1508" t="n"/>
      <c r="D43" s="659" t="n"/>
      <c r="E43" s="659">
        <f>+D43</f>
        <v/>
      </c>
      <c r="F43" s="659" t="n"/>
      <c r="G43" s="1612" t="n"/>
      <c r="H43" s="1084" t="inlineStr">
        <is>
          <t xml:space="preserve"> </t>
        </is>
      </c>
      <c r="I43" s="1084" t="inlineStr">
        <is>
          <t xml:space="preserve"> </t>
        </is>
      </c>
      <c r="K43" s="1084" t="inlineStr">
        <is>
          <t xml:space="preserve"> </t>
        </is>
      </c>
      <c r="L43" s="1084" t="inlineStr">
        <is>
          <t xml:space="preserve"> </t>
        </is>
      </c>
    </row>
    <row r="44" ht="15.75" customHeight="1">
      <c r="A44" s="1221" t="inlineStr">
        <is>
          <t>DIFFERENCE</t>
        </is>
      </c>
      <c r="B44" s="1042" t="n"/>
      <c r="C44" s="1508" t="n"/>
      <c r="D44" s="800">
        <f>+D42-D43</f>
        <v/>
      </c>
      <c r="E44" s="800">
        <f>+E42-E43</f>
        <v/>
      </c>
      <c r="F44" s="800">
        <f>+F42-F43</f>
        <v/>
      </c>
      <c r="H44" s="1084">
        <f>+D44+E44</f>
        <v/>
      </c>
      <c r="I44" s="1084">
        <f>+H44/9*100</f>
        <v/>
      </c>
    </row>
    <row r="45" ht="15.75" customHeight="1">
      <c r="A45" s="571" t="n"/>
      <c r="B45" s="571" t="n"/>
      <c r="C45" s="571" t="n"/>
      <c r="D45" s="572" t="n"/>
      <c r="E45" s="572" t="n"/>
      <c r="F45" s="572" t="n"/>
    </row>
    <row r="46" ht="15.75" customHeight="1">
      <c r="A46" s="571" t="n"/>
      <c r="B46" s="571" t="n"/>
      <c r="C46" s="571" t="n"/>
      <c r="D46" s="943" t="n"/>
      <c r="E46" s="572" t="n"/>
      <c r="F46" s="572" t="n"/>
    </row>
    <row r="47" ht="15.75" customHeight="1">
      <c r="A47" s="27" t="inlineStr">
        <is>
          <t>(2) INPUT TAX CREDIT</t>
        </is>
      </c>
      <c r="B47" s="2" t="n"/>
      <c r="C47" s="3" t="n"/>
      <c r="D47" s="3" t="n"/>
      <c r="E47" s="3" t="n"/>
      <c r="F47" s="3" t="n"/>
    </row>
    <row r="48">
      <c r="A48" s="1421" t="inlineStr">
        <is>
          <t>PARTICULARS</t>
        </is>
      </c>
      <c r="B48" s="1504" t="n"/>
      <c r="C48" s="1505" t="n"/>
      <c r="D48" s="1343" t="inlineStr">
        <is>
          <t>GL 8546 GGST</t>
        </is>
      </c>
      <c r="E48" s="1343" t="inlineStr">
        <is>
          <t>GL 8547 CGST</t>
        </is>
      </c>
      <c r="F48" s="1343" t="inlineStr">
        <is>
          <t>GL 8548 IGST</t>
        </is>
      </c>
    </row>
    <row r="49">
      <c r="A49" s="1506" t="n"/>
      <c r="B49" s="1041" t="n"/>
      <c r="C49" s="1507" t="n"/>
      <c r="D49" s="1494" t="n"/>
      <c r="E49" s="1494" t="n"/>
      <c r="F49" s="1494" t="n"/>
    </row>
    <row r="50">
      <c r="A50" s="1228" t="n"/>
      <c r="B50" s="1042" t="n"/>
      <c r="C50" s="1508" t="n"/>
      <c r="D50" s="1228" t="n"/>
      <c r="E50" s="1228" t="n"/>
      <c r="F50" s="1228" t="n"/>
    </row>
    <row r="51" ht="15.75" customHeight="1">
      <c r="A51" s="1220" t="inlineStr">
        <is>
          <t>CURRENT MONTH INPUT TAX CREDIT AVAILABLE</t>
        </is>
      </c>
      <c r="B51" s="1042" t="n"/>
      <c r="C51" s="1508" t="n"/>
      <c r="D51" s="800" t="n"/>
      <c r="E51" s="108">
        <f>+D51</f>
        <v/>
      </c>
      <c r="F51" s="108" t="n"/>
      <c r="G51" s="221">
        <f>+D51/2</f>
        <v/>
      </c>
      <c r="H51" s="221">
        <f>+E51/2</f>
        <v/>
      </c>
      <c r="I51" s="221">
        <f>+F51/2</f>
        <v/>
      </c>
      <c r="J51" s="54" t="n"/>
      <c r="K51" s="54" t="n"/>
    </row>
    <row r="52" ht="15.75" customHeight="1">
      <c r="A52" s="1228" t="inlineStr">
        <is>
          <t>LESS : CREDIT CANNOT BE UTILISED (BCUZ GST NO NOT AVAILABLE IN BILL)</t>
        </is>
      </c>
      <c r="B52" s="1042" t="n"/>
      <c r="C52" s="1508" t="n"/>
      <c r="D52" s="105" t="n"/>
      <c r="E52" s="105">
        <f>+D58</f>
        <v/>
      </c>
      <c r="F52" s="105" t="n">
        <v>0</v>
      </c>
      <c r="G52" s="221">
        <f>+D52/2</f>
        <v/>
      </c>
      <c r="H52" s="221">
        <f>+E52/2</f>
        <v/>
      </c>
      <c r="I52" s="221">
        <f>+F52/2</f>
        <v/>
      </c>
    </row>
    <row r="53" ht="15.75" customHeight="1">
      <c r="A53" s="1219" t="inlineStr">
        <is>
          <t>ELIGIBLE CREDIT</t>
        </is>
      </c>
      <c r="B53" s="1042" t="n"/>
      <c r="C53" s="1508" t="n"/>
      <c r="D53" s="105">
        <f>+D51-D52</f>
        <v/>
      </c>
      <c r="E53" s="105">
        <f>+E51-E52</f>
        <v/>
      </c>
      <c r="F53" s="105">
        <f>+F51-F52</f>
        <v/>
      </c>
      <c r="G53" s="221">
        <f>+D53/2</f>
        <v/>
      </c>
      <c r="H53" s="221">
        <f>+E53/2</f>
        <v/>
      </c>
      <c r="I53" s="221">
        <f>+F53/2</f>
        <v/>
      </c>
      <c r="J53" s="55" t="n"/>
      <c r="K53" s="55" t="n"/>
    </row>
    <row r="54">
      <c r="D54" s="1271" t="inlineStr">
        <is>
          <t xml:space="preserve"> </t>
        </is>
      </c>
    </row>
    <row r="55">
      <c r="A55" s="1087" t="n"/>
      <c r="B55" s="1356" t="inlineStr">
        <is>
          <t>OUR GST NUMBER NOT REFLECTED ON GST BILLS</t>
        </is>
      </c>
      <c r="C55" s="1041" t="n"/>
      <c r="D55" s="1041" t="n"/>
      <c r="E55" s="1041" t="n"/>
      <c r="F55" s="1041" t="n"/>
    </row>
    <row r="56">
      <c r="A56" s="1087" t="n"/>
      <c r="B56" s="169" t="inlineStr">
        <is>
          <t>PARTY NAME</t>
        </is>
      </c>
      <c r="C56" s="169" t="inlineStr">
        <is>
          <t>CGST</t>
        </is>
      </c>
      <c r="D56" s="169" t="inlineStr">
        <is>
          <t>SGST</t>
        </is>
      </c>
      <c r="E56" s="169" t="inlineStr">
        <is>
          <t>IGST</t>
        </is>
      </c>
      <c r="F56" s="169" t="inlineStr">
        <is>
          <t>Remarks</t>
        </is>
      </c>
    </row>
    <row r="57">
      <c r="A57" s="1087" t="n"/>
      <c r="B57" s="1661" t="inlineStr">
        <is>
          <t>ROHAN AGENCY</t>
        </is>
      </c>
      <c r="C57" s="156" t="n">
        <v>0</v>
      </c>
      <c r="D57" s="156">
        <f>+C57</f>
        <v/>
      </c>
      <c r="E57" s="1228" t="n">
        <v>0</v>
      </c>
      <c r="F57" s="1228" t="n"/>
    </row>
    <row r="58">
      <c r="A58" s="1087" t="n"/>
      <c r="B58" s="1205" t="inlineStr">
        <is>
          <t>BSNL</t>
        </is>
      </c>
      <c r="C58" s="1228" t="n"/>
      <c r="D58" s="156">
        <f>+C58</f>
        <v/>
      </c>
      <c r="E58" s="1228">
        <f>SUM(E57)</f>
        <v/>
      </c>
      <c r="F58" s="1228" t="n"/>
    </row>
    <row r="59" ht="15.75" customHeight="1">
      <c r="A59" s="3" t="n"/>
      <c r="B59" s="1448" t="n"/>
      <c r="C59" s="30" t="n"/>
      <c r="D59" s="30" t="n"/>
      <c r="E59" s="1228" t="n"/>
      <c r="F59" s="1228" t="n"/>
    </row>
    <row r="60" ht="15.75" customHeight="1">
      <c r="A60" s="3" t="n"/>
      <c r="B60" s="1448" t="n"/>
      <c r="C60" s="30" t="n"/>
      <c r="D60" s="30" t="n"/>
      <c r="E60" s="1228" t="n"/>
      <c r="F60" s="1228" t="n"/>
    </row>
    <row r="61" ht="15.75" customHeight="1">
      <c r="A61" s="3" t="n"/>
      <c r="B61" s="24" t="n"/>
      <c r="C61" s="3" t="n"/>
      <c r="D61" s="3" t="n"/>
    </row>
    <row r="62" ht="15.75" customHeight="1">
      <c r="A62" s="942" t="n"/>
      <c r="B62" s="24" t="n"/>
      <c r="C62" s="3" t="n"/>
      <c r="D62" s="3" t="n"/>
    </row>
    <row r="63">
      <c r="A63" s="812" t="n"/>
      <c r="B63" s="812" t="n"/>
      <c r="C63" s="812" t="n"/>
      <c r="D63" s="1355" t="n"/>
    </row>
    <row r="64">
      <c r="A64" s="813" t="n"/>
      <c r="B64" s="813" t="n"/>
      <c r="C64" s="813" t="n"/>
      <c r="D64" s="1352" t="n"/>
    </row>
    <row r="65">
      <c r="A65" s="813" t="n"/>
      <c r="B65" s="813" t="n"/>
      <c r="C65" s="813" t="n"/>
      <c r="D65" s="1352" t="n"/>
    </row>
    <row r="66">
      <c r="A66" s="813" t="n"/>
      <c r="B66" s="813" t="n"/>
      <c r="C66" s="813" t="n"/>
      <c r="D66" s="1352" t="n"/>
    </row>
    <row r="67">
      <c r="A67" s="813" t="n"/>
      <c r="B67" s="813" t="n"/>
      <c r="C67" s="813" t="n"/>
      <c r="D67" s="1352" t="n"/>
    </row>
    <row r="68">
      <c r="A68" s="813" t="n"/>
      <c r="B68" s="813" t="n"/>
      <c r="C68" s="813" t="n"/>
      <c r="D68" s="1352" t="n"/>
    </row>
    <row r="69">
      <c r="A69" s="814" t="n"/>
      <c r="B69" s="813" t="n"/>
      <c r="C69" s="814" t="n"/>
      <c r="D69" s="1352" t="n"/>
    </row>
    <row r="70">
      <c r="A70" s="1353" t="n"/>
      <c r="C70" s="135" t="n"/>
      <c r="D70" s="1354" t="n"/>
      <c r="G70" s="482" t="n"/>
    </row>
    <row r="71">
      <c r="A71" s="1087" t="n"/>
      <c r="B71" s="1087" t="n"/>
      <c r="C71" s="1087" t="n"/>
      <c r="D71" s="1087" t="n"/>
      <c r="E71" s="1087" t="n"/>
      <c r="F71" s="1087" t="n"/>
      <c r="G71" s="1087" t="n"/>
    </row>
    <row r="73">
      <c r="A73" s="1086" t="n"/>
    </row>
    <row r="74">
      <c r="A74" s="1087" t="n"/>
      <c r="B74" s="1087" t="n"/>
      <c r="C74" s="1087" t="n"/>
      <c r="D74" s="1087" t="n"/>
      <c r="E74" s="1087" t="n"/>
      <c r="F74" s="1088" t="n"/>
      <c r="G74" s="1087" t="n"/>
    </row>
    <row r="75">
      <c r="D75" s="1662" t="n"/>
      <c r="E75" s="1662" t="n"/>
      <c r="G75" s="204" t="n"/>
    </row>
    <row r="76">
      <c r="D76" s="1662" t="n"/>
      <c r="E76" s="1662" t="n"/>
      <c r="G76" s="204" t="n"/>
    </row>
    <row r="77" ht="15.75" customHeight="1">
      <c r="A77" s="1087" t="n"/>
      <c r="B77" s="1087" t="n"/>
      <c r="C77" s="1087" t="n"/>
      <c r="D77" s="1087" t="n"/>
      <c r="E77" s="1087" t="n"/>
      <c r="F77" s="1088" t="n"/>
      <c r="G77" s="1087" t="n"/>
    </row>
    <row r="78" ht="15.75" customHeight="1">
      <c r="A78" s="1087" t="n"/>
      <c r="B78" s="1087" t="n"/>
      <c r="C78" s="1087" t="n"/>
      <c r="D78" s="1087" t="n"/>
      <c r="E78" s="1087" t="n"/>
      <c r="F78" s="1088" t="n"/>
      <c r="G78" s="1087" t="n"/>
    </row>
    <row r="79" ht="15.75" customHeight="1">
      <c r="A79" s="1086" t="n"/>
      <c r="F79" s="32">
        <f>5556222-4592137-C42</f>
        <v/>
      </c>
    </row>
    <row r="80" ht="15.75" customHeight="1">
      <c r="A80" s="1087" t="n"/>
      <c r="B80" s="1087" t="n"/>
      <c r="C80" s="1087" t="n"/>
      <c r="D80" s="1087" t="n"/>
      <c r="E80" s="1087" t="n"/>
      <c r="F80" s="1088" t="n"/>
      <c r="G80" s="1087" t="n"/>
    </row>
    <row r="81" ht="15.75" customHeight="1">
      <c r="B81" s="457" t="n"/>
      <c r="C81" s="458" t="n"/>
      <c r="D81" s="1662" t="n"/>
      <c r="E81" s="1662" t="n"/>
      <c r="F81" s="1662" t="n"/>
      <c r="K81" s="457" t="n"/>
      <c r="L81" s="458" t="n"/>
    </row>
    <row r="82">
      <c r="B82" s="457" t="n"/>
      <c r="C82" s="458" t="n"/>
      <c r="D82" s="1662" t="n"/>
      <c r="E82" s="1662" t="n"/>
      <c r="F82" s="1662" t="n"/>
      <c r="K82" s="457" t="n"/>
      <c r="L82" s="458" t="n"/>
    </row>
    <row r="83">
      <c r="B83" s="457" t="n"/>
      <c r="D83" s="1662" t="n"/>
      <c r="E83" s="1662" t="n"/>
      <c r="F83" s="1662" t="n"/>
      <c r="K83" s="457" t="n"/>
    </row>
    <row r="84">
      <c r="B84" s="457" t="n"/>
      <c r="D84" s="1662" t="n"/>
      <c r="E84" s="1662" t="n"/>
      <c r="F84" s="1662" t="n"/>
      <c r="K84" s="457" t="n"/>
    </row>
    <row r="85">
      <c r="B85" s="457" t="n"/>
      <c r="D85" s="1662" t="n"/>
      <c r="E85" s="1662" t="n"/>
      <c r="F85" s="1662" t="n"/>
      <c r="K85" s="457" t="n"/>
    </row>
    <row r="86">
      <c r="B86" s="457" t="n"/>
      <c r="D86" s="1662" t="n"/>
      <c r="E86" s="1662" t="n"/>
      <c r="F86" s="1662" t="n"/>
    </row>
    <row r="87">
      <c r="B87" s="457" t="n"/>
      <c r="D87" s="1662" t="n"/>
      <c r="E87" s="1662" t="n"/>
      <c r="F87" s="1662" t="n"/>
    </row>
    <row r="88">
      <c r="B88" s="457" t="n"/>
      <c r="D88" s="1662" t="n"/>
      <c r="E88" s="1662" t="n"/>
      <c r="F88" s="1662" t="n"/>
    </row>
    <row r="89">
      <c r="A89" s="1087" t="n"/>
      <c r="B89" s="1087" t="n"/>
      <c r="C89" s="1087" t="n"/>
      <c r="D89" s="1087" t="n"/>
      <c r="E89" s="1087" t="n"/>
      <c r="F89" s="1087" t="n"/>
    </row>
    <row r="90">
      <c r="A90" s="1087" t="n"/>
      <c r="B90" s="1087" t="n"/>
      <c r="C90" s="1087" t="n"/>
      <c r="D90" s="1087" t="n"/>
      <c r="E90" s="1087" t="n"/>
      <c r="F90" s="1087" t="n"/>
    </row>
    <row r="91">
      <c r="A91" s="1086" t="n"/>
      <c r="F91" s="32" t="n"/>
    </row>
    <row r="92">
      <c r="A92" s="1087" t="n"/>
      <c r="B92" s="1087" t="n"/>
      <c r="C92" s="1087" t="n"/>
      <c r="D92" s="1087" t="n"/>
      <c r="E92" s="1087" t="n"/>
      <c r="F92" s="1088" t="n"/>
    </row>
    <row r="93">
      <c r="A93" s="1087" t="n"/>
      <c r="B93" s="1087" t="n"/>
      <c r="C93" s="1087" t="n"/>
      <c r="D93" s="1087" t="n"/>
      <c r="E93" s="1087" t="n"/>
      <c r="F93" s="1087" t="n"/>
    </row>
    <row r="94">
      <c r="A94" s="1087" t="n"/>
      <c r="B94" s="1087" t="n"/>
      <c r="C94" s="1087" t="n"/>
      <c r="D94" s="1087" t="n"/>
      <c r="E94" s="1087" t="n"/>
      <c r="F94" s="1087" t="n"/>
    </row>
    <row r="95">
      <c r="A95" s="1087" t="n"/>
      <c r="B95" s="1087" t="n"/>
      <c r="C95" s="1087" t="n"/>
      <c r="D95" s="1087" t="n"/>
      <c r="E95" s="1087" t="n"/>
      <c r="F95" s="1087" t="n"/>
    </row>
    <row r="96">
      <c r="A96" s="1087" t="n"/>
      <c r="B96" s="1087" t="n"/>
      <c r="C96" s="1087" t="n"/>
      <c r="D96" s="1087" t="n"/>
      <c r="E96" s="1087" t="n"/>
      <c r="F96" s="1087" t="n"/>
    </row>
    <row r="97">
      <c r="A97" s="1087" t="n"/>
      <c r="B97" s="1087" t="n"/>
      <c r="C97" s="1087" t="n"/>
      <c r="D97" s="1087" t="n"/>
      <c r="E97" s="1087" t="n"/>
      <c r="F97" s="1087" t="n"/>
    </row>
    <row r="98">
      <c r="A98" s="1087" t="n"/>
      <c r="B98" s="1087" t="n"/>
      <c r="C98" s="1087" t="n"/>
      <c r="D98" s="1087" t="n"/>
      <c r="E98" s="1087" t="n"/>
      <c r="F98" s="1087" t="n"/>
    </row>
    <row r="99">
      <c r="A99" s="1087" t="n"/>
      <c r="B99" s="1087" t="n"/>
      <c r="C99" s="1087" t="n"/>
      <c r="D99" s="1087" t="n"/>
      <c r="E99" s="1087" t="n"/>
      <c r="F99" s="1087" t="n"/>
    </row>
    <row r="100">
      <c r="F100" s="1084">
        <f>+F44-F89</f>
        <v/>
      </c>
    </row>
  </sheetData>
  <mergeCells count="34">
    <mergeCell ref="E5:E6"/>
    <mergeCell ref="E48:E49"/>
    <mergeCell ref="D70:F70"/>
    <mergeCell ref="A38:C39"/>
    <mergeCell ref="D66:F66"/>
    <mergeCell ref="F5:F6"/>
    <mergeCell ref="A70:B70"/>
    <mergeCell ref="A3:F3"/>
    <mergeCell ref="A50:C50"/>
    <mergeCell ref="A2:F2"/>
    <mergeCell ref="E38:E39"/>
    <mergeCell ref="D48:D49"/>
    <mergeCell ref="A48:C49"/>
    <mergeCell ref="A35:F35"/>
    <mergeCell ref="A53:C53"/>
    <mergeCell ref="D68:F68"/>
    <mergeCell ref="A43:C43"/>
    <mergeCell ref="I5:I6"/>
    <mergeCell ref="A52:C52"/>
    <mergeCell ref="G5:G6"/>
    <mergeCell ref="D64:F64"/>
    <mergeCell ref="D67:F67"/>
    <mergeCell ref="A44:C44"/>
    <mergeCell ref="F38:F39"/>
    <mergeCell ref="D69:F69"/>
    <mergeCell ref="D63:F63"/>
    <mergeCell ref="A51:C51"/>
    <mergeCell ref="D5:D6"/>
    <mergeCell ref="F48:F49"/>
    <mergeCell ref="H5:H6"/>
    <mergeCell ref="B55:F55"/>
    <mergeCell ref="D38:D39"/>
    <mergeCell ref="A1:F1"/>
    <mergeCell ref="D65:F65"/>
  </mergeCells>
  <conditionalFormatting sqref="A2">
    <cfRule type="containsText" priority="1" operator="containsText" dxfId="0" text="LESS COLLECTED">
      <formula>NOT(ISERROR(SEARCH("LESS COLLECTED",A2)))</formula>
    </cfRule>
  </conditionalFormatting>
  <conditionalFormatting sqref="A3:F3 B32:B33 C5:F6 D30:E30 D32:F33 E28:E29">
    <cfRule type="containsText" priority="65" operator="containsText" dxfId="0" text="LESS COLLECTED">
      <formula>NOT(ISERROR(SEARCH("LESS COLLECTED",A3)))</formula>
    </cfRule>
  </conditionalFormatting>
  <conditionalFormatting sqref="A35:F46 A47:B58 A49:F50 C47:F54 C56:E58">
    <cfRule type="containsText" priority="59" operator="containsText" dxfId="0" text="LESS COLLECTED">
      <formula>NOT(ISERROR(SEARCH("LESS COLLECTED",A35)))</formula>
    </cfRule>
  </conditionalFormatting>
  <conditionalFormatting sqref="A41:F42 A49:F50 B57:C58 D38:E39 D47:E47 E43">
    <cfRule type="containsText" priority="58" operator="containsText" dxfId="1" text="EXCESS COLLECTED">
      <formula>NOT(ISERROR(SEARCH("EXCESS COLLECTED",A38)))</formula>
    </cfRule>
  </conditionalFormatting>
  <pageMargins left="0.7086614173228351" right="0.618110236" top="1.157480315" bottom="0.946850394" header="0.31496062992126" footer="0.31496062992126"/>
  <pageSetup orientation="portrait" paperSize="9" scale="45"/>
  <colBreaks count="1" manualBreakCount="1">
    <brk id="6" min="0" max="70" man="1"/>
  </colBreaks>
</worksheet>
</file>

<file path=xl/worksheets/sheet28.xml><?xml version="1.0" encoding="utf-8"?>
<worksheet xmlns="http://schemas.openxmlformats.org/spreadsheetml/2006/main">
  <sheetPr codeName="Sheet26">
    <outlinePr summaryBelow="1" summaryRight="1"/>
    <pageSetUpPr/>
  </sheetPr>
  <dimension ref="A1:V894"/>
  <sheetViews>
    <sheetView view="pageBreakPreview" zoomScale="80" zoomScaleNormal="85" zoomScaleSheetLayoutView="80" workbookViewId="0">
      <selection activeCell="E147" sqref="E147"/>
    </sheetView>
  </sheetViews>
  <sheetFormatPr baseColWidth="8" defaultColWidth="68.28515625" defaultRowHeight="15.75"/>
  <cols>
    <col width="7.7109375" customWidth="1" style="263" min="1" max="1"/>
    <col width="80.7109375" customWidth="1" style="263" min="2" max="2"/>
    <col width="23.28515625" bestFit="1" customWidth="1" style="263" min="3" max="3"/>
    <col width="28.5703125" bestFit="1" customWidth="1" style="263" min="4" max="4"/>
    <col width="23.5703125" bestFit="1" customWidth="1" style="263" min="5" max="5"/>
    <col width="23.5703125" customWidth="1" style="263" min="6" max="6"/>
    <col width="25" customWidth="1" style="1663" min="7" max="7"/>
    <col width="18.5703125" customWidth="1" style="1663" min="8" max="8"/>
    <col width="20.7109375" customWidth="1" style="1663" min="9" max="9"/>
    <col width="45.5703125" bestFit="1" customWidth="1" style="263" min="10" max="10"/>
    <col width="39.5703125" bestFit="1" customWidth="1" style="263" min="11" max="11"/>
    <col width="21.140625" customWidth="1" style="263" min="12" max="12"/>
    <col width="28" bestFit="1" customWidth="1" style="263" min="13" max="13"/>
    <col width="24.42578125" bestFit="1" customWidth="1" style="263" min="14" max="14"/>
    <col width="32.42578125" bestFit="1" customWidth="1" style="263" min="15" max="15"/>
    <col width="17.140625" bestFit="1" customWidth="1" style="263" min="16" max="16"/>
    <col width="16.42578125" bestFit="1" customWidth="1" style="263" min="17" max="17"/>
    <col width="16.7109375" bestFit="1" customWidth="1" style="263" min="18" max="18"/>
    <col width="24.28515625" customWidth="1" style="263" min="19" max="19"/>
    <col width="31.42578125" customWidth="1" style="263" min="20" max="20"/>
    <col width="26.140625" customWidth="1" style="263" min="21" max="21"/>
    <col width="68.28515625" customWidth="1" style="263" min="22" max="16384"/>
  </cols>
  <sheetData>
    <row r="1">
      <c r="A1" s="263" t="inlineStr">
        <is>
          <t xml:space="preserve"> </t>
        </is>
      </c>
      <c r="B1" s="1210" t="inlineStr">
        <is>
          <t>NUTAN NAGARIK SAHAKARI BANK LTD (GUJARAT BRANCHES &amp; HEAD OFFICE &amp; DEMAT)</t>
        </is>
      </c>
    </row>
    <row r="2">
      <c r="B2" s="1210" t="n"/>
      <c r="C2" s="1210" t="n"/>
      <c r="D2" s="1210" t="n"/>
      <c r="E2" s="1210" t="n"/>
      <c r="F2" s="1210" t="n"/>
    </row>
    <row r="3">
      <c r="B3" s="1210" t="inlineStr">
        <is>
          <t>GST CALCULATION SUMMARY FOR THE MONTH OF AUG 2026</t>
        </is>
      </c>
    </row>
    <row r="4" ht="16.5" customHeight="1" thickBot="1">
      <c r="B4" s="1210" t="n"/>
      <c r="C4" s="1210" t="n"/>
      <c r="D4" s="1210" t="n"/>
      <c r="E4" s="1210" t="n"/>
      <c r="F4" s="1210" t="n"/>
      <c r="G4" s="1664" t="n"/>
    </row>
    <row r="5" ht="18.75" customHeight="1" thickBot="1">
      <c r="B5" s="1665" t="inlineStr">
        <is>
          <t>(1) NON TAXABLE INCOME/EXEMPT INCOME</t>
        </is>
      </c>
      <c r="C5" s="1558" t="n"/>
      <c r="D5" s="1558" t="n"/>
      <c r="E5" s="1558" t="n"/>
      <c r="F5" s="1559" t="n"/>
    </row>
    <row r="6" ht="54" customHeight="1" thickBot="1">
      <c r="B6" s="1439" t="inlineStr">
        <is>
          <t>PARTICULARS</t>
        </is>
      </c>
      <c r="C6" s="1666" t="n"/>
      <c r="D6" s="498" t="inlineStr">
        <is>
          <t>INCOME AS ON 31/08/2026</t>
        </is>
      </c>
      <c r="E6" s="498" t="inlineStr">
        <is>
          <t>INCOME AS ON 31/07/2026</t>
        </is>
      </c>
      <c r="F6" s="662" t="inlineStr">
        <is>
          <t>DIFF.(INCOME OF CURRENT MONTH)</t>
        </is>
      </c>
      <c r="G6" s="1664" t="n"/>
      <c r="H6" s="1663" t="n"/>
      <c r="I6" s="1664" t="n"/>
    </row>
    <row r="7">
      <c r="B7" s="1441" t="inlineStr">
        <is>
          <t>INTEREST INCOME (EXEMPTED)</t>
        </is>
      </c>
      <c r="C7" s="1587" t="n"/>
      <c r="D7" s="1667">
        <f>658456791.54+321289565.56-1080.04</f>
        <v/>
      </c>
      <c r="E7" s="1667">
        <f>520724663.54+256455054.8-900.04</f>
        <v/>
      </c>
      <c r="F7" s="1668">
        <f>+D7-E7</f>
        <v/>
      </c>
      <c r="G7" s="1669" t="n"/>
      <c r="I7" s="1670" t="inlineStr">
        <is>
          <t xml:space="preserve"> </t>
        </is>
      </c>
      <c r="J7" s="369" t="inlineStr">
        <is>
          <t xml:space="preserve"> </t>
        </is>
      </c>
    </row>
    <row r="8">
      <c r="B8" s="1411" t="inlineStr">
        <is>
          <t>INCOME FROM NON JUDICIAL FRANKING STAMP(3275)</t>
        </is>
      </c>
      <c r="C8" s="1652" t="n"/>
      <c r="D8" s="1667" t="n"/>
      <c r="E8" s="1667" t="n"/>
      <c r="F8" s="1671">
        <f>+D8-E8</f>
        <v/>
      </c>
      <c r="G8" s="1672" t="n"/>
      <c r="H8" s="1673" t="n">
        <v>0</v>
      </c>
      <c r="I8" s="976" t="n"/>
    </row>
    <row r="9">
      <c r="B9" s="1445" t="inlineStr">
        <is>
          <t xml:space="preserve">INVESTMENT FLUCTU FUND BROUGHT </t>
        </is>
      </c>
      <c r="C9" s="1446" t="n"/>
      <c r="D9" s="1667" t="n"/>
      <c r="E9" s="1667" t="n"/>
      <c r="F9" s="1671">
        <f>+D9-E9</f>
        <v/>
      </c>
      <c r="G9" s="1664" t="n"/>
      <c r="H9" s="591" t="n"/>
    </row>
    <row r="10">
      <c r="B10" s="1411" t="inlineStr">
        <is>
          <t>PROFIT ON SALE OF INVESTMENT(S)(GROSS AMT)</t>
        </is>
      </c>
      <c r="C10" s="1652" t="n"/>
      <c r="D10" s="1667" t="n">
        <v>2713500</v>
      </c>
      <c r="E10" s="1667" t="n">
        <v>1541000</v>
      </c>
      <c r="F10" s="1671">
        <f>+D10-E10</f>
        <v/>
      </c>
      <c r="H10" s="1663" t="n"/>
    </row>
    <row r="11">
      <c r="B11" s="1445" t="inlineStr">
        <is>
          <t>PL 3354 PROVISION FOR OD INTEREST WRITTEN BACK</t>
        </is>
      </c>
      <c r="C11" s="1446" t="n"/>
      <c r="D11" s="1667" t="n"/>
      <c r="E11" s="1667" t="n"/>
      <c r="F11" s="1671">
        <f>+D11-E11</f>
        <v/>
      </c>
      <c r="H11" s="1673" t="n"/>
    </row>
    <row r="12">
      <c r="B12" s="1445" t="inlineStr">
        <is>
          <t>3304 BUILD FUND PROV BROGHT BAK</t>
        </is>
      </c>
      <c r="C12" s="1446" t="n"/>
      <c r="D12" s="1667" t="n"/>
      <c r="E12" s="1667" t="n"/>
      <c r="F12" s="1671">
        <f>+D12-E12</f>
        <v/>
      </c>
      <c r="G12" s="1674" t="n"/>
      <c r="H12" s="591" t="n"/>
      <c r="I12" s="1663" t="n"/>
    </row>
    <row r="13">
      <c r="B13" s="1417" t="inlineStr">
        <is>
          <t>DEP AMT BK MMCB OF SHREYAS</t>
        </is>
      </c>
      <c r="C13" s="1446" t="n"/>
      <c r="D13" s="1667" t="n"/>
      <c r="E13" s="1667" t="n"/>
      <c r="F13" s="1671">
        <f>+D13-E13</f>
        <v/>
      </c>
    </row>
    <row r="14">
      <c r="B14" s="1675" t="inlineStr">
        <is>
          <t xml:space="preserve">3307 WRITTEN OF  AMT RECOVERED </t>
        </is>
      </c>
      <c r="C14" s="1676" t="n"/>
      <c r="D14" s="1667" t="n">
        <v>35000</v>
      </c>
      <c r="E14" s="1667" t="n">
        <v>33000</v>
      </c>
      <c r="F14" s="1671">
        <f>+D14-E14</f>
        <v/>
      </c>
    </row>
    <row r="15">
      <c r="B15" s="1677" t="inlineStr">
        <is>
          <t>PL 3402 BDDR BROUGHT BACK</t>
        </is>
      </c>
      <c r="C15" s="1676" t="n"/>
      <c r="D15" s="1667" t="n"/>
      <c r="E15" s="1667" t="n"/>
      <c r="F15" s="1671">
        <f>+D15-E15</f>
        <v/>
      </c>
    </row>
    <row r="16">
      <c r="B16" s="1445" t="inlineStr">
        <is>
          <t>3353-EXCESS PROV.FOR I.T WRTN BACK</t>
        </is>
      </c>
      <c r="C16" s="1446" t="n"/>
      <c r="D16" s="1667" t="n"/>
      <c r="E16" s="1667" t="n"/>
      <c r="F16" s="1671">
        <f>+D16-E16</f>
        <v/>
      </c>
    </row>
    <row r="17">
      <c r="B17" s="1445" t="inlineStr">
        <is>
          <t>3306-INT. ON INCOME TAX REFUND A/C</t>
        </is>
      </c>
      <c r="C17" s="1446" t="n"/>
      <c r="D17" s="1667" t="n"/>
      <c r="E17" s="1667" t="n"/>
      <c r="F17" s="1671">
        <f>+D17-E17</f>
        <v/>
      </c>
    </row>
    <row r="18" ht="18" customHeight="1">
      <c r="B18" s="1445" t="inlineStr">
        <is>
          <t>3348-INVESTMENT DEP. WRITTEN BACK</t>
        </is>
      </c>
      <c r="C18" s="1446" t="n"/>
      <c r="D18" s="1667" t="n">
        <v>29047187.52</v>
      </c>
      <c r="E18" s="1667" t="n">
        <v>42512986.88</v>
      </c>
      <c r="F18" s="1671">
        <f>+D18-E18</f>
        <v/>
      </c>
    </row>
    <row r="19">
      <c r="B19" s="1445" t="inlineStr">
        <is>
          <t>3331- DIVIDEND</t>
        </is>
      </c>
      <c r="C19" s="1446" t="n"/>
      <c r="D19" s="1667" t="n">
        <v>264000</v>
      </c>
      <c r="E19" s="1667" t="n">
        <v>264000</v>
      </c>
      <c r="F19" s="1671">
        <f>+D19-E19</f>
        <v/>
      </c>
    </row>
    <row r="20" ht="16.5" customHeight="1" thickBot="1">
      <c r="B20" s="1678" t="inlineStr">
        <is>
          <t>3327 INCOME TAX REFUND</t>
        </is>
      </c>
      <c r="C20" s="1676" t="n"/>
      <c r="D20" s="1679" t="n"/>
      <c r="E20" s="1679" t="n"/>
      <c r="F20" s="1671">
        <f>+D20-E20</f>
        <v/>
      </c>
    </row>
    <row r="21" ht="16.5" customHeight="1" thickBot="1">
      <c r="B21" s="1413" t="inlineStr">
        <is>
          <t>TOTAL</t>
        </is>
      </c>
      <c r="C21" s="1666" t="n"/>
      <c r="D21" s="1680">
        <f>+SUM(D7:D20)</f>
        <v/>
      </c>
      <c r="E21" s="1680">
        <f>+SUM(E7:E20)</f>
        <v/>
      </c>
      <c r="F21" s="1681">
        <f>+SUM(F7:F20)</f>
        <v/>
      </c>
      <c r="G21" s="1682" t="n"/>
    </row>
    <row r="22">
      <c r="B22" s="669" t="n"/>
      <c r="C22" s="669" t="n"/>
      <c r="D22" s="669" t="n"/>
      <c r="E22" s="669" t="n"/>
      <c r="F22" s="669" t="n"/>
    </row>
    <row r="23">
      <c r="B23" s="670" t="n"/>
      <c r="C23" s="670" t="n"/>
      <c r="D23" s="670" t="n"/>
      <c r="E23" s="670" t="n"/>
      <c r="F23" s="670" t="n"/>
      <c r="I23" s="1664" t="n"/>
    </row>
    <row r="24" ht="16.5" customHeight="1" thickBot="1">
      <c r="B24" s="27" t="n"/>
      <c r="C24" s="64" t="n"/>
      <c r="D24" s="1663" t="n"/>
      <c r="E24" s="1663" t="n"/>
      <c r="F24" s="1682" t="n"/>
      <c r="I24" s="1664" t="n"/>
    </row>
    <row r="25" ht="18.75" customHeight="1" thickBot="1">
      <c r="B25" s="1665" t="inlineStr">
        <is>
          <t>(2) TAXABLE INCOME</t>
        </is>
      </c>
      <c r="C25" s="1558" t="n"/>
      <c r="D25" s="1558" t="n"/>
      <c r="E25" s="1558" t="n"/>
      <c r="F25" s="1558" t="n"/>
      <c r="G25" s="1558" t="n"/>
      <c r="H25" s="1558" t="n"/>
      <c r="I25" s="1559" t="n"/>
      <c r="J25" s="1663" t="n"/>
    </row>
    <row r="26" ht="48.75" customHeight="1">
      <c r="B26" s="915" t="inlineStr">
        <is>
          <t>PARTICULARS</t>
        </is>
      </c>
      <c r="C26" s="916" t="inlineStr">
        <is>
          <t>INCOME</t>
        </is>
      </c>
      <c r="D26" s="916" t="inlineStr">
        <is>
          <t>GGST</t>
        </is>
      </c>
      <c r="E26" s="916" t="inlineStr">
        <is>
          <t>CGST</t>
        </is>
      </c>
      <c r="F26" s="916" t="inlineStr">
        <is>
          <t>IGST</t>
        </is>
      </c>
      <c r="G26" s="916" t="inlineStr">
        <is>
          <t>TOTAL</t>
        </is>
      </c>
      <c r="H26" s="917" t="inlineStr">
        <is>
          <t>TOTAL GST DIRECT WITH INCOME</t>
        </is>
      </c>
      <c r="I26" s="1683" t="inlineStr">
        <is>
          <t>DIFFERENCE</t>
        </is>
      </c>
      <c r="K26" s="764" t="n"/>
      <c r="L26" s="764" t="n"/>
      <c r="O26" s="287" t="n"/>
    </row>
    <row r="27" ht="41.25" customHeight="1">
      <c r="B27" s="531" t="inlineStr">
        <is>
          <t xml:space="preserve">(1) INCOME AS PER LEDGERWISE CALCULATION </t>
        </is>
      </c>
      <c r="C27" s="701">
        <f>+Sheet1!C73+HO!C57+DEMAT!C40</f>
        <v/>
      </c>
      <c r="D27" s="197">
        <f>+Sheet1!D73+HO!D57+DEMAT!D40-D28</f>
        <v/>
      </c>
      <c r="E27" s="197">
        <f>+Sheet1!E73+HO!E57+DEMAT!E40-E28</f>
        <v/>
      </c>
      <c r="F27" s="702">
        <f>+Sheet1!F73+HO!F57+DEMAT!F40</f>
        <v/>
      </c>
      <c r="G27" s="1684">
        <f>SUM(D27:F27)</f>
        <v/>
      </c>
      <c r="H27" s="1685">
        <f>C27*0.18</f>
        <v/>
      </c>
      <c r="I27" s="1686">
        <f>+G27-H27</f>
        <v/>
      </c>
      <c r="K27" s="764" t="n"/>
      <c r="L27" s="764" t="n"/>
      <c r="P27" s="1663" t="n"/>
    </row>
    <row r="28" ht="16.5" customHeight="1">
      <c r="B28" s="464" t="inlineStr">
        <is>
          <t xml:space="preserve">(2) Sale of Asset (Sale value in case of loss on sale of asset) </t>
        </is>
      </c>
      <c r="C28" s="703" t="n">
        <v>0</v>
      </c>
      <c r="D28" s="50" t="n">
        <v>0</v>
      </c>
      <c r="E28" s="50">
        <f>+D28</f>
        <v/>
      </c>
      <c r="F28" s="704" t="n">
        <v>0</v>
      </c>
      <c r="G28" s="1684">
        <f>SUM(D28:F28)</f>
        <v/>
      </c>
      <c r="H28" s="1684">
        <f>+C28*0.12</f>
        <v/>
      </c>
      <c r="I28" s="1687">
        <f>+G28-H28</f>
        <v/>
      </c>
      <c r="J28" s="914" t="n"/>
      <c r="K28" s="764" t="n"/>
      <c r="L28" s="764" t="n"/>
      <c r="P28" s="1663" t="n"/>
    </row>
    <row r="29" ht="16.5" customHeight="1" thickBot="1">
      <c r="B29" s="530" t="inlineStr">
        <is>
          <t>(3) REFUND GIVEN BUT GST REFUND NOT GIVEN</t>
        </is>
      </c>
      <c r="C29" s="705">
        <f>+Sheet1!C74+HO!C58+DEMAT!C41</f>
        <v/>
      </c>
      <c r="D29" s="705">
        <f>+Sheet1!D74+HO!D58+DEMAT!D41</f>
        <v/>
      </c>
      <c r="E29" s="705">
        <f>+Sheet1!E74+HO!E58+DEMAT!E41</f>
        <v/>
      </c>
      <c r="F29" s="706">
        <f>+Sheet1!F74+HO!F58+DEMAT!F41</f>
        <v/>
      </c>
      <c r="G29" s="1688">
        <f>SUM(D29:F29)</f>
        <v/>
      </c>
      <c r="H29" s="1688">
        <f>+C29*0.18</f>
        <v/>
      </c>
      <c r="I29" s="1689">
        <f>+G29-H29</f>
        <v/>
      </c>
      <c r="J29" s="1663" t="inlineStr">
        <is>
          <t xml:space="preserve"> </t>
        </is>
      </c>
      <c r="K29" s="260" t="n"/>
      <c r="P29" s="1663" t="n"/>
      <c r="Q29" s="260" t="n"/>
    </row>
    <row r="30" ht="20.25" customHeight="1" thickBot="1">
      <c r="B30" s="442" t="inlineStr">
        <is>
          <t>TOTAL</t>
        </is>
      </c>
      <c r="C30" s="707">
        <f>+C27+C29+C28</f>
        <v/>
      </c>
      <c r="D30" s="708">
        <f>SUM(D27:D29)</f>
        <v/>
      </c>
      <c r="E30" s="708">
        <f>SUM(E27:E29)</f>
        <v/>
      </c>
      <c r="F30" s="709">
        <f>SUM(F27:F29)</f>
        <v/>
      </c>
      <c r="G30" s="1690">
        <f>SUM(D30:F30)</f>
        <v/>
      </c>
      <c r="H30" s="1663">
        <f>+C30*0.18</f>
        <v/>
      </c>
      <c r="I30" s="1663" t="n"/>
      <c r="J30" s="1663" t="inlineStr">
        <is>
          <t xml:space="preserve"> </t>
        </is>
      </c>
      <c r="K30" s="260" t="n"/>
      <c r="P30" s="1663" t="n"/>
      <c r="Q30" s="260" t="n"/>
    </row>
    <row r="31">
      <c r="B31" s="1691" t="inlineStr">
        <is>
          <t>PAYABLE AS PER LEDGER</t>
        </is>
      </c>
      <c r="C31" s="1692" t="n"/>
      <c r="D31" s="494">
        <f>+Sheet1!D76+HO!D60+DEMAT!D43</f>
        <v/>
      </c>
      <c r="E31" s="494">
        <f>+Sheet1!E76+HO!E60+DEMAT!E43</f>
        <v/>
      </c>
      <c r="F31" s="544">
        <f>+Sheet1!F76+HO!F60+DEMAT!F43</f>
        <v/>
      </c>
      <c r="I31" s="1682" t="n"/>
      <c r="K31" s="260" t="n"/>
      <c r="P31" s="1663" t="n"/>
      <c r="Q31" s="1693" t="n"/>
    </row>
    <row r="32" ht="19.5" customHeight="1" thickBot="1">
      <c r="B32" s="1367" t="inlineStr">
        <is>
          <t xml:space="preserve">DIFFERENCE TO BE TRF AS EXPS. </t>
        </is>
      </c>
      <c r="C32" s="1694" t="n"/>
      <c r="D32" s="1695">
        <f>+D30-D31-D28</f>
        <v/>
      </c>
      <c r="E32" s="1695">
        <f>+E30-E31-E28</f>
        <v/>
      </c>
      <c r="F32" s="1696">
        <f>+F30-F31-F28</f>
        <v/>
      </c>
      <c r="H32" s="1697" t="n"/>
      <c r="I32" s="1698" t="n"/>
      <c r="J32" s="1698" t="n"/>
      <c r="K32" s="1698" t="n"/>
      <c r="L32" s="1698" t="n"/>
      <c r="P32" s="1663" t="n"/>
    </row>
    <row r="33" ht="19.5" customHeight="1">
      <c r="B33" s="263" t="inlineStr">
        <is>
          <t>CREDIT NOTE</t>
        </is>
      </c>
      <c r="C33" s="467" t="n"/>
      <c r="D33" s="1699" t="n"/>
      <c r="E33" s="1700" t="n"/>
      <c r="F33" s="1699" t="n"/>
      <c r="I33" s="1698" t="n"/>
      <c r="J33" s="1698" t="n"/>
      <c r="K33" s="1698" t="n"/>
      <c r="L33" s="1698" t="n"/>
      <c r="P33" s="1663" t="n"/>
    </row>
    <row r="34" ht="19.5" customHeight="1" thickBot="1">
      <c r="C34" s="475" t="n"/>
      <c r="D34" s="475" t="n"/>
      <c r="E34" s="1701" t="n"/>
      <c r="G34" s="475" t="n"/>
      <c r="H34" s="475" t="n"/>
      <c r="I34" s="1698" t="n"/>
      <c r="J34" s="1698" t="n"/>
      <c r="K34" s="1698" t="n"/>
      <c r="L34" s="1698" t="n"/>
      <c r="P34" s="1663" t="n"/>
    </row>
    <row r="35" ht="19.5" customHeight="1" thickBot="1">
      <c r="B35" s="1702" t="inlineStr">
        <is>
          <t>NOTE-1 : GST NOT BOOKED IN GL 1878 &amp; 1879 ON PL 3320 (RENT ON LOCKER) OF RS. 1700/- IT IS TAXABLE VALUE AND TAX OF CGST/SGST IS RS. 153/-</t>
        </is>
      </c>
      <c r="C35" s="1558" t="n"/>
      <c r="D35" s="1558" t="n"/>
      <c r="E35" s="1558" t="n"/>
      <c r="F35" s="1558" t="n"/>
      <c r="G35" s="1559" t="n"/>
      <c r="H35" s="475" t="n"/>
      <c r="I35" s="1698" t="n"/>
      <c r="J35" s="1698" t="n"/>
      <c r="K35" s="1698" t="n"/>
      <c r="L35" s="1698" t="n"/>
      <c r="P35" s="1663" t="n"/>
    </row>
    <row r="36" ht="10.5" customHeight="1">
      <c r="B36" s="1104" t="n"/>
      <c r="C36" s="1104" t="n"/>
      <c r="D36" s="1104" t="n"/>
      <c r="E36" s="1104" t="n"/>
      <c r="F36" s="1104" t="n"/>
      <c r="G36" s="1104" t="n"/>
      <c r="H36" s="475" t="n"/>
      <c r="I36" s="1698" t="n"/>
      <c r="J36" s="1698" t="n"/>
      <c r="K36" s="1698" t="n"/>
      <c r="L36" s="1698" t="n"/>
      <c r="P36" s="1663" t="n"/>
    </row>
    <row r="37" ht="19.5" customHeight="1" thickBot="1">
      <c r="B37" s="426" t="n"/>
      <c r="C37" s="426" t="n"/>
      <c r="D37" s="426" t="n"/>
      <c r="E37" s="426" t="n"/>
      <c r="F37" s="426" t="n"/>
      <c r="G37" s="426" t="n"/>
      <c r="I37" s="1698" t="n"/>
      <c r="J37" s="1698" t="n"/>
      <c r="K37" s="1698" t="n"/>
      <c r="L37" s="1698" t="n"/>
      <c r="P37" s="1663" t="n"/>
    </row>
    <row r="38" ht="18.75" customHeight="1" thickBot="1">
      <c r="A38" s="283" t="n"/>
      <c r="B38" s="1665" t="inlineStr">
        <is>
          <t xml:space="preserve">(3) REVERSE CHARGE MECHANISM </t>
        </is>
      </c>
      <c r="C38" s="1558" t="n"/>
      <c r="D38" s="1558" t="n"/>
      <c r="E38" s="1558" t="n"/>
      <c r="F38" s="1558" t="n"/>
      <c r="G38" s="1559" t="n"/>
      <c r="H38" s="1703" t="n"/>
      <c r="I38" s="1698" t="n"/>
      <c r="J38" s="1704" t="n"/>
      <c r="K38" s="1704" t="n"/>
      <c r="L38" s="1704" t="n"/>
      <c r="M38" s="1704" t="n"/>
      <c r="N38" s="1704" t="n"/>
      <c r="P38" s="1663" t="n"/>
      <c r="Q38" s="1705" t="n"/>
    </row>
    <row r="39" ht="36.75" customHeight="1">
      <c r="A39" s="283" t="n"/>
      <c r="B39" s="1217" t="inlineStr">
        <is>
          <t>PARTICULARS</t>
        </is>
      </c>
      <c r="C39" s="532" t="inlineStr">
        <is>
          <t xml:space="preserve"> AS ON 31-08-2026</t>
        </is>
      </c>
      <c r="D39" s="532" t="inlineStr">
        <is>
          <t xml:space="preserve"> AS ON 31-07-2026</t>
        </is>
      </c>
      <c r="E39" s="533" t="inlineStr">
        <is>
          <t>DIFF.</t>
        </is>
      </c>
      <c r="F39" s="1217" t="inlineStr">
        <is>
          <t>GGST</t>
        </is>
      </c>
      <c r="G39" s="1706" t="inlineStr">
        <is>
          <t>CGST</t>
        </is>
      </c>
      <c r="J39" s="1017" t="n"/>
      <c r="K39" s="1017" t="n"/>
      <c r="L39" s="1018" t="n"/>
      <c r="M39" s="1018" t="n"/>
      <c r="N39" s="1018" t="n"/>
    </row>
    <row r="40" ht="19.5" customHeight="1">
      <c r="A40" s="283" t="n"/>
      <c r="B40" s="524" t="inlineStr">
        <is>
          <t>(1) LAW CHARGES(PL 3750) AND INCIDENTAL LAW CHARGES(PL 3751)</t>
        </is>
      </c>
      <c r="C40" s="579" t="n">
        <v>597620.4399999999</v>
      </c>
      <c r="D40" s="579" t="n">
        <v>476742.44</v>
      </c>
      <c r="E40" s="579">
        <f>+C40-D40</f>
        <v/>
      </c>
      <c r="F40" s="579">
        <f>+E40*0.09</f>
        <v/>
      </c>
      <c r="G40" s="579">
        <f>+F40</f>
        <v/>
      </c>
      <c r="J40" s="1017" t="n"/>
      <c r="K40" s="1017" t="n"/>
      <c r="L40" s="1707" t="n"/>
      <c r="M40" s="1707" t="n"/>
      <c r="N40" s="1664" t="n"/>
      <c r="P40" s="1699" t="n"/>
      <c r="Q40" s="1699" t="n"/>
      <c r="R40" s="1699" t="n"/>
    </row>
    <row r="41" ht="19.5" customHeight="1">
      <c r="A41" s="283" t="n"/>
      <c r="B41" s="524" t="inlineStr">
        <is>
          <t>(2) RENT PL(3702)</t>
        </is>
      </c>
      <c r="C41" s="1067" t="n">
        <v>385710</v>
      </c>
      <c r="D41" s="1067" t="n">
        <v>308568</v>
      </c>
      <c r="E41" s="579">
        <f>+C41-D41</f>
        <v/>
      </c>
      <c r="F41" s="579">
        <f>+E41*0.09</f>
        <v/>
      </c>
      <c r="G41" s="579">
        <f>+F41</f>
        <v/>
      </c>
      <c r="J41" s="1017" t="n"/>
      <c r="K41" s="1017" t="n"/>
      <c r="L41" s="1703" t="n"/>
      <c r="M41" s="1703" t="n"/>
      <c r="N41" s="1703" t="n"/>
      <c r="P41" s="1699" t="n"/>
      <c r="Q41" s="1699" t="n"/>
      <c r="R41" s="1699" t="n"/>
    </row>
    <row r="42" ht="19.5" customHeight="1">
      <c r="A42" s="283" t="n"/>
      <c r="B42" s="524" t="inlineStr">
        <is>
          <t>(2) DSA COMMISSION PL 4117</t>
        </is>
      </c>
      <c r="C42" s="579" t="n">
        <v>1665898</v>
      </c>
      <c r="D42" s="579" t="n">
        <v>1119133</v>
      </c>
      <c r="E42" s="579">
        <f>+C42-D42-C48</f>
        <v/>
      </c>
      <c r="F42" s="579">
        <f>+E42*0.09</f>
        <v/>
      </c>
      <c r="G42" s="579">
        <f>+F42</f>
        <v/>
      </c>
      <c r="J42" s="1017" t="n"/>
      <c r="K42" s="1017" t="n"/>
      <c r="L42" s="1407" t="n"/>
      <c r="M42" s="1407" t="n"/>
      <c r="N42" s="1407" t="n"/>
      <c r="O42" s="670" t="n"/>
      <c r="P42" s="1699" t="n"/>
      <c r="Q42" s="1699" t="n"/>
      <c r="R42" s="1699" t="n"/>
    </row>
    <row r="43" ht="19.5" customHeight="1">
      <c r="A43" s="283" t="n"/>
      <c r="B43" s="525" t="inlineStr">
        <is>
          <t>TOTAL</t>
        </is>
      </c>
      <c r="C43" s="1029">
        <f>SUM(C40:C42)</f>
        <v/>
      </c>
      <c r="D43" s="1029">
        <f>SUM(D40:D42)</f>
        <v/>
      </c>
      <c r="E43" s="1029">
        <f>SUM(E40:E42)</f>
        <v/>
      </c>
      <c r="F43" s="1029">
        <f>SUM(F40:F42)</f>
        <v/>
      </c>
      <c r="G43" s="1029">
        <f>SUM(G40:G42)</f>
        <v/>
      </c>
      <c r="J43" s="1017" t="n"/>
      <c r="K43" s="1017" t="n"/>
      <c r="L43" s="1708" t="n"/>
      <c r="M43" s="1708" t="n"/>
      <c r="N43" s="1708" t="n"/>
      <c r="O43" s="670" t="n"/>
      <c r="P43" s="1699" t="n"/>
      <c r="Q43" s="1699" t="n"/>
      <c r="R43" s="1699" t="n"/>
    </row>
    <row r="44" ht="20.25" customHeight="1" thickBot="1">
      <c r="A44" s="283" t="n"/>
      <c r="B44" s="27" t="n"/>
      <c r="C44" s="44" t="inlineStr">
        <is>
          <t xml:space="preserve"> </t>
        </is>
      </c>
      <c r="D44" s="44" t="n"/>
      <c r="E44" s="62" t="n"/>
      <c r="F44" s="62" t="n"/>
      <c r="G44" s="62" t="n"/>
      <c r="J44" s="1017" t="n"/>
      <c r="K44" s="1017" t="n"/>
      <c r="L44" s="1708" t="n"/>
      <c r="M44" s="1708" t="n"/>
      <c r="N44" s="1708" t="n"/>
      <c r="O44" s="670" t="n"/>
      <c r="P44" s="1699" t="n"/>
      <c r="Q44" s="1699" t="n"/>
      <c r="R44" s="1699" t="n"/>
    </row>
    <row r="45" ht="19.5" customHeight="1">
      <c r="A45" s="283" t="n"/>
      <c r="B45" s="537" t="inlineStr">
        <is>
          <t>PROVISION REVERSED  OF PL 4117</t>
        </is>
      </c>
      <c r="C45" s="538" t="n"/>
      <c r="D45" s="1709" t="n"/>
      <c r="E45" s="1709" t="n"/>
      <c r="F45" s="1709" t="n"/>
      <c r="G45" s="62" t="n"/>
      <c r="J45" s="1017" t="n"/>
      <c r="K45" s="1017" t="n"/>
      <c r="L45" s="1710" t="n"/>
      <c r="M45" s="1710" t="n"/>
      <c r="N45" s="1710" t="n"/>
      <c r="O45" s="670" t="n"/>
      <c r="P45" s="1699" t="n"/>
      <c r="Q45" s="1699" t="n"/>
      <c r="R45" s="1699" t="n"/>
    </row>
    <row r="46" ht="19.5" customHeight="1">
      <c r="A46" s="283" t="n"/>
      <c r="B46" s="539" t="inlineStr">
        <is>
          <t>PROVISION CREATED  OF PL 4117</t>
        </is>
      </c>
      <c r="C46" s="808" t="n">
        <v>0</v>
      </c>
      <c r="D46" s="62" t="n"/>
      <c r="E46" s="62" t="n"/>
      <c r="F46" s="62" t="n"/>
      <c r="G46" s="589" t="n"/>
      <c r="H46" s="919" t="n"/>
      <c r="I46" s="919" t="n"/>
      <c r="J46" s="919" t="n"/>
      <c r="P46" s="1699" t="n"/>
      <c r="Q46" s="1699" t="n"/>
      <c r="R46" s="1699" t="n"/>
    </row>
    <row r="47" ht="41.25" customHeight="1" thickBot="1">
      <c r="A47" s="283" t="n"/>
      <c r="B47" s="539" t="inlineStr">
        <is>
          <t>DSA(BODY CORPORATE,PARTNERSHIP,LLP) 4112 YELLO COLOUR</t>
        </is>
      </c>
      <c r="C47" s="641" t="n">
        <v>0</v>
      </c>
      <c r="D47" s="871" t="n"/>
      <c r="E47" s="871" t="n"/>
      <c r="F47" s="871" t="n"/>
      <c r="G47" s="959" t="n"/>
      <c r="H47" s="919" t="n"/>
      <c r="I47" s="919" t="n"/>
      <c r="P47" s="1699" t="n"/>
      <c r="Q47" s="1699" t="n"/>
      <c r="R47" s="1699" t="n"/>
    </row>
    <row r="48" ht="20.25" customHeight="1" thickBot="1">
      <c r="A48" s="283" t="n"/>
      <c r="B48" s="499" t="inlineStr">
        <is>
          <t>TOTAL</t>
        </is>
      </c>
      <c r="C48" s="500">
        <f>+C46-C45</f>
        <v/>
      </c>
      <c r="D48" s="897" t="n"/>
      <c r="E48" s="897" t="n"/>
      <c r="F48" s="897" t="n"/>
      <c r="J48" s="919" t="n"/>
      <c r="P48" s="1699" t="n"/>
      <c r="Q48" s="1699" t="n"/>
      <c r="R48" s="1699" t="n"/>
    </row>
    <row r="49" ht="35.25" customHeight="1" thickBot="1">
      <c r="A49" s="283" t="n"/>
      <c r="B49" s="528" t="n"/>
      <c r="C49" s="529" t="n"/>
      <c r="D49" s="787">
        <f>+D53/2</f>
        <v/>
      </c>
      <c r="E49" s="787">
        <f>+E53/2</f>
        <v/>
      </c>
      <c r="F49" s="787">
        <f>+F53/2</f>
        <v/>
      </c>
      <c r="G49" s="1050" t="n"/>
      <c r="H49" s="1050" t="n"/>
      <c r="I49" s="1050" t="n"/>
      <c r="J49" s="919" t="n"/>
      <c r="P49" s="1699" t="n"/>
      <c r="Q49" s="1699" t="n"/>
      <c r="R49" s="1699" t="n"/>
    </row>
    <row r="50" ht="18.75" customHeight="1" thickBot="1">
      <c r="A50" s="283" t="n"/>
      <c r="B50" s="1408" t="inlineStr">
        <is>
          <t>(4) INPUT TAX CREDIT</t>
        </is>
      </c>
      <c r="C50" s="1558" t="n"/>
      <c r="D50" s="1558" t="n"/>
      <c r="E50" s="1558" t="n"/>
      <c r="F50" s="1666" t="n"/>
      <c r="G50" s="1707" t="n"/>
      <c r="H50" s="1707" t="n"/>
      <c r="I50" s="1664" t="n"/>
      <c r="P50" s="117" t="n"/>
      <c r="Q50" s="117" t="n"/>
      <c r="R50" s="117" t="n"/>
    </row>
    <row r="51">
      <c r="A51" s="283" t="n"/>
      <c r="B51" s="1437" t="inlineStr">
        <is>
          <t>PARTICULARS</t>
        </is>
      </c>
      <c r="C51" s="1652" t="n"/>
      <c r="D51" s="1255" t="inlineStr">
        <is>
          <t>GL 8546 GGST</t>
        </is>
      </c>
      <c r="E51" s="1255" t="inlineStr">
        <is>
          <t>GL 8547 CGST</t>
        </is>
      </c>
      <c r="F51" s="1419" t="inlineStr">
        <is>
          <t>GL 8548 IGST</t>
        </is>
      </c>
      <c r="G51" s="1703" t="n"/>
      <c r="H51" s="1703" t="n"/>
      <c r="I51" s="1703" t="n"/>
      <c r="J51" s="1407" t="inlineStr">
        <is>
          <t xml:space="preserve">ISD </t>
        </is>
      </c>
      <c r="P51" s="117" t="n"/>
      <c r="Q51" s="117" t="n"/>
      <c r="R51" s="117" t="n"/>
    </row>
    <row r="52" ht="18" customHeight="1">
      <c r="A52" s="283" t="n"/>
      <c r="B52" s="1588" t="n"/>
      <c r="C52" s="1507" t="n"/>
      <c r="D52" s="1494" t="n"/>
      <c r="E52" s="1494" t="n"/>
      <c r="F52" s="1711" t="n"/>
      <c r="I52" s="1712" t="n"/>
      <c r="K52" s="261" t="n"/>
    </row>
    <row r="53">
      <c r="A53" s="283" t="n"/>
      <c r="B53" s="1447" t="inlineStr">
        <is>
          <t>CURRENT MONTH INPUT TAX CREDIT AVAILABLE</t>
        </is>
      </c>
      <c r="C53" s="1508" t="n"/>
      <c r="D53" s="30">
        <f>+Sheet1!D83+HO!D67+DEMAT!D51</f>
        <v/>
      </c>
      <c r="E53" s="30">
        <f>+Sheet1!E83+HO!E67+DEMAT!E51</f>
        <v/>
      </c>
      <c r="F53" s="1051">
        <f>+Sheet1!F83+HO!F67+DEMAT!F51</f>
        <v/>
      </c>
      <c r="G53" s="1703" t="n"/>
      <c r="H53" s="1703" t="n">
        <v>0</v>
      </c>
      <c r="I53" s="1703" t="n">
        <v>0</v>
      </c>
      <c r="J53" s="262">
        <f>+D53</f>
        <v/>
      </c>
      <c r="K53" s="262">
        <f>+E53</f>
        <v/>
      </c>
      <c r="L53" s="262">
        <f>+F53</f>
        <v/>
      </c>
    </row>
    <row r="54">
      <c r="A54" s="283" t="n"/>
      <c r="B54" s="1364" t="inlineStr">
        <is>
          <t>CURRENT MONTH ISD  INPUT TAX CREDIT AVAILABLE</t>
        </is>
      </c>
      <c r="C54" s="1508" t="n"/>
      <c r="D54" s="912" t="n">
        <v>0</v>
      </c>
      <c r="E54" s="912">
        <f>+D54</f>
        <v/>
      </c>
      <c r="F54" s="1052" t="n">
        <v>0</v>
      </c>
      <c r="G54" s="931" t="n"/>
      <c r="H54" s="1703" t="n"/>
      <c r="I54" s="1703" t="n"/>
      <c r="J54" s="262" t="n"/>
      <c r="K54" s="262" t="n"/>
      <c r="L54" s="262" t="n"/>
    </row>
    <row r="55">
      <c r="A55" s="283" t="n"/>
      <c r="B55" s="1053" t="inlineStr">
        <is>
          <t>ALL OTHER ITC AVAILABLE</t>
        </is>
      </c>
      <c r="C55" s="1448" t="n"/>
      <c r="D55" s="762">
        <f>+D53-D54</f>
        <v/>
      </c>
      <c r="E55" s="762">
        <f>+E53-E54</f>
        <v/>
      </c>
      <c r="F55" s="1054">
        <f>+F53-F54</f>
        <v/>
      </c>
      <c r="G55" s="1707" t="n"/>
      <c r="H55" s="1707" t="n"/>
      <c r="I55" s="1707" t="n"/>
      <c r="J55" s="262">
        <f>SUM(J53:J54)</f>
        <v/>
      </c>
      <c r="K55" s="262">
        <f>SUM(K53:K54)</f>
        <v/>
      </c>
      <c r="L55" s="262">
        <f>SUM(L53:L54)</f>
        <v/>
      </c>
    </row>
    <row r="56">
      <c r="A56" s="283" t="n"/>
      <c r="B56" s="1425" t="inlineStr">
        <is>
          <t>LESS : CREDIT CANNOT BE UTILISED (BCUZ GST NO NOT AVAILABLE IN BILL)         (100% FIGURE)</t>
        </is>
      </c>
      <c r="C56" s="1508" t="n"/>
      <c r="D56" s="775">
        <f>+Sheet1!D84+HO!D70+DEMAT!D52-D57</f>
        <v/>
      </c>
      <c r="E56" s="775">
        <f>+Sheet1!E84+HO!E70+DEMAT!E52-E57</f>
        <v/>
      </c>
      <c r="F56" s="1051" t="n">
        <v>0</v>
      </c>
      <c r="G56" s="1703">
        <f>+D56</f>
        <v/>
      </c>
      <c r="H56" s="1703">
        <f>+E56</f>
        <v/>
      </c>
      <c r="I56" s="1703">
        <f>+F56</f>
        <v/>
      </c>
      <c r="J56" s="262">
        <f>+D56</f>
        <v/>
      </c>
      <c r="K56" s="262">
        <f>+E56</f>
        <v/>
      </c>
      <c r="L56" s="262">
        <f>+F56</f>
        <v/>
      </c>
      <c r="M56" s="1713" t="n"/>
    </row>
    <row r="57">
      <c r="A57" s="283" t="n"/>
      <c r="B57" s="1431" t="inlineStr">
        <is>
          <t xml:space="preserve"> LESS : BLOCKED CREDIT</t>
        </is>
      </c>
      <c r="C57" s="1508" t="n"/>
      <c r="D57" s="1714">
        <f>+I172</f>
        <v/>
      </c>
      <c r="E57" s="1715">
        <f>+J172</f>
        <v/>
      </c>
      <c r="F57" s="1055" t="n">
        <v>0</v>
      </c>
      <c r="G57" s="1703">
        <f>+D57</f>
        <v/>
      </c>
      <c r="H57" s="1703">
        <f>+E57</f>
        <v/>
      </c>
      <c r="I57" s="1703">
        <f>+F57</f>
        <v/>
      </c>
      <c r="J57" s="262">
        <f>+D57</f>
        <v/>
      </c>
      <c r="K57" s="262">
        <f>+E57</f>
        <v/>
      </c>
      <c r="L57" s="262">
        <f>+F57</f>
        <v/>
      </c>
    </row>
    <row r="58">
      <c r="A58" s="283" t="n"/>
      <c r="B58" s="1431" t="inlineStr">
        <is>
          <t>LESS: BILLS NOT REFELECTED IN GSTR-2B (READ BELOW NOTE - 1)                           (100% FIGURE)</t>
        </is>
      </c>
      <c r="C58" s="1508" t="n"/>
      <c r="D58" s="6">
        <f>+[1]MATCHING!$C$9</f>
        <v/>
      </c>
      <c r="E58" s="6">
        <f>+D58</f>
        <v/>
      </c>
      <c r="F58" s="1057">
        <f>+[1]MATCHING!$E$9</f>
        <v/>
      </c>
      <c r="G58" s="1703">
        <f>+D58/2</f>
        <v/>
      </c>
      <c r="H58" s="1703">
        <f>+E58/2</f>
        <v/>
      </c>
      <c r="I58" s="1703">
        <f>+F58/2</f>
        <v/>
      </c>
      <c r="J58" s="262">
        <f>+D58</f>
        <v/>
      </c>
      <c r="K58" s="262">
        <f>+E58</f>
        <v/>
      </c>
      <c r="L58" s="262">
        <f>+F58</f>
        <v/>
      </c>
    </row>
    <row r="59">
      <c r="A59" s="283" t="n"/>
      <c r="B59" s="1433" t="n"/>
      <c r="C59" s="1434" t="n"/>
      <c r="D59" s="30">
        <f>+D55-D56-D57-D58</f>
        <v/>
      </c>
      <c r="E59" s="30">
        <f>+E55-E56-E57-E58</f>
        <v/>
      </c>
      <c r="F59" s="1051">
        <f>+F55-F56-F57-F58</f>
        <v/>
      </c>
      <c r="G59" s="1716">
        <f>+(F43+D59)/2</f>
        <v/>
      </c>
      <c r="H59" s="1716">
        <f>+(G43+E59)/2</f>
        <v/>
      </c>
      <c r="I59" s="1716">
        <f>+(H43+F59)/2</f>
        <v/>
      </c>
      <c r="J59" s="262">
        <f>+J55-J56-J57-J58</f>
        <v/>
      </c>
      <c r="K59" s="262">
        <f>+K55-K56-K57-K58</f>
        <v/>
      </c>
      <c r="L59" s="262">
        <f>+L55-L56-L57-L58</f>
        <v/>
      </c>
    </row>
    <row r="60" ht="31.5" customHeight="1">
      <c r="A60" s="283" t="n"/>
      <c r="B60" s="1058" t="inlineStr">
        <is>
          <t>ADD: BILLS OF PREVIOUS MONTH REFLCTED IN 2B OF CURRENT MONTH SO AVAILED IN CURRENT MONTH (NOTE:2)</t>
        </is>
      </c>
      <c r="C60" s="588" t="inlineStr">
        <is>
          <t xml:space="preserve">            (50% FIGURE)</t>
        </is>
      </c>
      <c r="D60" s="30">
        <f>+[1]MATCHING!$C$8/2</f>
        <v/>
      </c>
      <c r="E60" s="30">
        <f>+D60</f>
        <v/>
      </c>
      <c r="F60" s="1051">
        <f>+[1]MATCHING!$E$8/2</f>
        <v/>
      </c>
      <c r="G60" s="1703" t="n">
        <v>0</v>
      </c>
      <c r="H60" s="1703" t="n">
        <v>0</v>
      </c>
      <c r="I60" s="1703" t="n"/>
      <c r="J60" s="262">
        <f>+D60</f>
        <v/>
      </c>
      <c r="K60" s="262">
        <f>+E60</f>
        <v/>
      </c>
      <c r="L60" s="262">
        <f>+F60</f>
        <v/>
      </c>
    </row>
    <row r="61">
      <c r="A61" s="283" t="n"/>
      <c r="B61" s="1059" t="inlineStr">
        <is>
          <t>CREDIT FOR ISD</t>
        </is>
      </c>
      <c r="C61" s="588" t="n"/>
      <c r="D61" s="889">
        <f>+'[2]ITC TAKEN IN AUG-26'!$O$22</f>
        <v/>
      </c>
      <c r="E61" s="889">
        <f>+D61</f>
        <v/>
      </c>
      <c r="F61" s="1052">
        <f>+'[2]ITC TAKEN IN AUG-26'!$M$22</f>
        <v/>
      </c>
      <c r="G61" s="1703">
        <f>+D61/2</f>
        <v/>
      </c>
      <c r="H61" s="1703">
        <f>+E61/2</f>
        <v/>
      </c>
      <c r="I61" s="1703">
        <f>+F61/2</f>
        <v/>
      </c>
      <c r="J61" s="262" t="n"/>
      <c r="K61" s="262" t="n"/>
      <c r="L61" s="262" t="n"/>
    </row>
    <row r="62" ht="47.25" customHeight="1">
      <c r="A62" s="283" t="n"/>
      <c r="B62" s="1717" t="inlineStr">
        <is>
          <t>LESS:SHORT ITC REVERSED IN THE MONTH OF  NOV'23 HENCE SAME IS REVERSED IN THE MONTH APR'24</t>
        </is>
      </c>
      <c r="C62" s="1508" t="n"/>
      <c r="D62" s="888" t="n"/>
      <c r="E62" s="888" t="n"/>
      <c r="F62" s="1060" t="n"/>
      <c r="G62" s="1703" t="n">
        <v>0</v>
      </c>
      <c r="H62" s="1703" t="n">
        <v>0</v>
      </c>
      <c r="I62" s="1703">
        <f>+F62</f>
        <v/>
      </c>
      <c r="J62" s="262">
        <f>+D62</f>
        <v/>
      </c>
      <c r="K62" s="262">
        <f>+E62</f>
        <v/>
      </c>
      <c r="L62" s="262">
        <f>+F62</f>
        <v/>
      </c>
    </row>
    <row r="63" ht="19.5" customHeight="1">
      <c r="A63" s="283" t="n"/>
      <c r="B63" s="1375" t="inlineStr">
        <is>
          <t>ELIGIBLE CREDIT</t>
        </is>
      </c>
      <c r="C63" s="1508" t="n"/>
      <c r="D63" s="1718">
        <f>+D59+D60-D62+D61</f>
        <v/>
      </c>
      <c r="E63" s="1718">
        <f>+E59+E60-E62+E61</f>
        <v/>
      </c>
      <c r="F63" s="1719">
        <f>+F59+F60-F62+F61</f>
        <v/>
      </c>
      <c r="G63" s="1703">
        <f>SUM(G55:G62)</f>
        <v/>
      </c>
      <c r="H63" s="1703">
        <f>SUM(H55:H62)</f>
        <v/>
      </c>
      <c r="I63" s="1703">
        <f>SUM(I55:I62)</f>
        <v/>
      </c>
      <c r="J63" s="262">
        <f>+J59+J60</f>
        <v/>
      </c>
      <c r="K63" s="262">
        <f>+K59+K60</f>
        <v/>
      </c>
      <c r="L63" s="262">
        <f>+L59+L60</f>
        <v/>
      </c>
    </row>
    <row r="64" customFormat="1" s="287">
      <c r="A64" s="318" t="n"/>
      <c r="B64" s="320" t="n"/>
      <c r="F64" s="1062" t="n"/>
      <c r="G64" s="1707">
        <f>+D63/2</f>
        <v/>
      </c>
      <c r="H64" s="1707">
        <f>+G64</f>
        <v/>
      </c>
      <c r="I64" s="1707">
        <f>+F63/2</f>
        <v/>
      </c>
      <c r="J64" s="1720">
        <f>+D63-J63</f>
        <v/>
      </c>
      <c r="K64" s="1721">
        <f>+E63-K63</f>
        <v/>
      </c>
      <c r="L64" s="767">
        <f>+F63-L63</f>
        <v/>
      </c>
      <c r="M64" s="287" t="inlineStr">
        <is>
          <t>ISD ITC OF ANDHERI</t>
        </is>
      </c>
    </row>
    <row r="65" ht="20.25" customHeight="1" thickBot="1">
      <c r="A65" s="283" t="n"/>
      <c r="B65" s="1367" t="inlineStr">
        <is>
          <t>TOTAL CREDIT - Table - 4 A. (5)</t>
        </is>
      </c>
      <c r="C65" s="1694" t="n"/>
      <c r="D65" s="1722">
        <f>+D63+D57</f>
        <v/>
      </c>
      <c r="E65" s="1722">
        <f>+E63+E57</f>
        <v/>
      </c>
      <c r="F65" s="1723">
        <f>+F63+F57</f>
        <v/>
      </c>
      <c r="G65" s="1703" t="n"/>
      <c r="H65" s="1703" t="n"/>
      <c r="I65" s="1703" t="n"/>
      <c r="J65" s="1713" t="n"/>
    </row>
    <row r="66">
      <c r="A66" s="283" t="n"/>
      <c r="B66" s="1366" t="n"/>
      <c r="C66" s="1366" t="n"/>
      <c r="D66" s="766" t="n"/>
      <c r="E66" s="766" t="n"/>
      <c r="F66" s="766" t="n"/>
      <c r="G66" s="1703" t="n"/>
      <c r="H66" s="1703" t="n"/>
      <c r="J66" s="1713" t="n"/>
      <c r="K66" s="260" t="n"/>
    </row>
    <row r="67" ht="35.25" customHeight="1">
      <c r="A67" s="283" t="n"/>
      <c r="B67" s="1377" t="n"/>
      <c r="G67" s="1703" t="n"/>
      <c r="H67" s="1703" t="n"/>
      <c r="I67" s="1663" t="n"/>
      <c r="J67" s="1713" t="n"/>
      <c r="K67" s="1713" t="n"/>
    </row>
    <row r="68">
      <c r="A68" s="283" t="n"/>
      <c r="B68" s="1377" t="inlineStr">
        <is>
          <t>Note - 1: Z:\PC-1 MASTER\law\GST\23-24\2.DECEMBER-2023\GSTR-3B\GUJARAT\FINAL COMPUTATION\3.CUMMULATIVE BILLS NOT REFLCTED IN 2B"</t>
        </is>
      </c>
      <c r="G68" s="1703" t="n"/>
      <c r="H68" s="1703" t="n"/>
      <c r="I68" s="1663" t="n"/>
      <c r="J68" s="1713" t="n"/>
    </row>
    <row r="69">
      <c r="A69" s="283" t="n"/>
      <c r="B69" s="1377" t="inlineStr">
        <is>
          <t>Note - 2: Z:\PC-1 MASTER\law\GST\23-24\2.DECEMBER-2023\GSTR-3B\GUJARAT\FINAL COMPUTATION\3.CUMMULATIVE BILLS NOT REFLCTED IN 2B"</t>
        </is>
      </c>
      <c r="G69" s="1703" t="n"/>
      <c r="H69" s="1703" t="n"/>
      <c r="J69" s="1713" t="n"/>
    </row>
    <row r="70">
      <c r="A70" s="283" t="n"/>
      <c r="B70" s="1378" t="n"/>
      <c r="I70" s="1663" t="n"/>
      <c r="J70" s="1713" t="n"/>
    </row>
    <row r="71" ht="16.5" customHeight="1" thickBot="1">
      <c r="A71" s="283" t="n"/>
      <c r="B71" s="1366" t="n"/>
      <c r="H71" s="1703" t="n"/>
      <c r="I71" s="1703" t="n"/>
      <c r="J71" s="1703" t="n"/>
      <c r="K71" s="1703" t="n"/>
      <c r="L71" s="1703" t="n"/>
      <c r="M71" s="1703" t="n"/>
    </row>
    <row r="72" ht="30" customHeight="1" thickBot="1">
      <c r="A72" s="283" t="n"/>
      <c r="B72" s="1665" t="inlineStr">
        <is>
          <t>(5) CASH &amp; CREDIT LEDGER</t>
        </is>
      </c>
      <c r="C72" s="1558" t="n"/>
      <c r="D72" s="1558" t="n"/>
      <c r="E72" s="1558" t="n"/>
      <c r="F72" s="1559" t="n"/>
      <c r="G72" s="1703" t="n"/>
      <c r="H72" s="1703" t="n"/>
      <c r="I72" s="1663" t="n"/>
      <c r="O72" s="287" t="n"/>
    </row>
    <row r="73" ht="33" customHeight="1">
      <c r="A73" s="283" t="n"/>
      <c r="B73" s="377" t="inlineStr">
        <is>
          <t>CASH LEDGER</t>
        </is>
      </c>
      <c r="C73" s="1664" t="n"/>
      <c r="D73" s="1664" t="n"/>
      <c r="E73" s="1664" t="n"/>
      <c r="F73" s="1663" t="n"/>
      <c r="G73" s="1703" t="n"/>
      <c r="H73" s="1663" t="n"/>
      <c r="O73" s="287" t="n"/>
    </row>
    <row r="74" ht="15" customHeight="1">
      <c r="A74" s="283" t="n"/>
      <c r="B74" s="371" t="inlineStr">
        <is>
          <t>PARTICULAR</t>
        </is>
      </c>
      <c r="C74" s="1724" t="inlineStr">
        <is>
          <t>GGST</t>
        </is>
      </c>
      <c r="D74" s="1724" t="inlineStr">
        <is>
          <t>CGST</t>
        </is>
      </c>
      <c r="E74" s="1724" t="inlineStr">
        <is>
          <t>IGST</t>
        </is>
      </c>
      <c r="F74" s="1724" t="inlineStr">
        <is>
          <t>TOTAL</t>
        </is>
      </c>
      <c r="G74" s="1703" t="n"/>
      <c r="H74" s="1703" t="n"/>
      <c r="O74" s="287" t="n"/>
    </row>
    <row r="75">
      <c r="A75" s="283" t="n"/>
      <c r="B75" s="373" t="inlineStr">
        <is>
          <t>CASH LEDGER BALANCE</t>
        </is>
      </c>
      <c r="C75" s="1725" t="n">
        <v>67.56999999999999</v>
      </c>
      <c r="D75" s="1725">
        <f>+C75</f>
        <v/>
      </c>
      <c r="E75" s="1725" t="n">
        <v>235.86</v>
      </c>
      <c r="F75" s="1725">
        <f>+C75+D75+E75</f>
        <v/>
      </c>
      <c r="G75" s="1726" t="n"/>
      <c r="H75" s="1727" t="n"/>
      <c r="I75" s="288" t="n"/>
      <c r="J75" s="289" t="n"/>
      <c r="O75" s="287" t="n"/>
    </row>
    <row r="76" ht="30" customHeight="1">
      <c r="A76" s="283" t="n"/>
      <c r="B76" s="417" t="inlineStr">
        <is>
          <t>ADD/(LESS) TRF FROM IGST TO CGST &amp; SGST EQUALLY TROUGH PMT 09</t>
        </is>
      </c>
      <c r="C76" s="1725">
        <f>+-E76/2</f>
        <v/>
      </c>
      <c r="D76" s="1725">
        <f>+C76</f>
        <v/>
      </c>
      <c r="E76" s="1725" t="n">
        <v>-235.86</v>
      </c>
      <c r="F76" s="1724">
        <f>SUM(C76:E76)</f>
        <v/>
      </c>
      <c r="G76" s="1728" t="n"/>
      <c r="H76" s="1729" t="n"/>
      <c r="I76" s="288" t="n"/>
      <c r="J76" s="289" t="n"/>
      <c r="O76" s="287" t="n"/>
    </row>
    <row r="77" ht="30.75" customFormat="1" customHeight="1" s="291">
      <c r="A77" s="290" t="n"/>
      <c r="B77" s="375" t="inlineStr">
        <is>
          <t>LESS: UTILISED IN CURRENT MONTH</t>
        </is>
      </c>
      <c r="C77" s="1730">
        <f>+C75+C76</f>
        <v/>
      </c>
      <c r="D77" s="1730">
        <f>+D75+D76</f>
        <v/>
      </c>
      <c r="E77" s="1731" t="n">
        <v>0</v>
      </c>
      <c r="F77" s="1730">
        <f>SUM(C77:E77)</f>
        <v/>
      </c>
      <c r="G77" s="1732" t="n"/>
      <c r="H77" s="1727" t="n"/>
      <c r="I77" s="288" t="n"/>
      <c r="J77" s="1733" t="n"/>
      <c r="O77" s="287" t="n"/>
    </row>
    <row r="78" ht="19.5" customHeight="1">
      <c r="A78" s="283" t="n"/>
      <c r="B78" s="376" t="inlineStr">
        <is>
          <t>TOTAL AVAILABLE BALANCE</t>
        </is>
      </c>
      <c r="C78" s="1734">
        <f>+C75+C76-C77</f>
        <v/>
      </c>
      <c r="D78" s="1734">
        <f>+D75+D76-D77</f>
        <v/>
      </c>
      <c r="E78" s="1734">
        <f>+E75+E76-E77</f>
        <v/>
      </c>
      <c r="F78" s="1734">
        <f>+F75+F76-F77</f>
        <v/>
      </c>
      <c r="G78" s="1703" t="n"/>
      <c r="H78" s="1703" t="n"/>
      <c r="K78" s="1713" t="n"/>
      <c r="L78" s="1713" t="n"/>
      <c r="O78" s="287" t="n"/>
    </row>
    <row r="79" ht="15" customHeight="1" thickBot="1">
      <c r="A79" s="283" t="n"/>
      <c r="B79" s="27" t="n"/>
      <c r="C79" s="1703" t="n"/>
      <c r="D79" s="1703" t="n"/>
      <c r="E79" s="1703" t="n"/>
      <c r="F79" s="1703" t="n"/>
      <c r="G79" s="1703" t="n"/>
      <c r="H79" s="1703" t="n"/>
      <c r="O79" s="287" t="n"/>
    </row>
    <row r="80" ht="18.75" customHeight="1" thickBot="1">
      <c r="A80" s="283" t="n"/>
      <c r="B80" s="1665" t="inlineStr">
        <is>
          <t>CREDIT LEDGER</t>
        </is>
      </c>
      <c r="C80" s="1558" t="n"/>
      <c r="D80" s="1558" t="n"/>
      <c r="E80" s="1558" t="n"/>
      <c r="F80" s="1559" t="n"/>
      <c r="G80" s="1703" t="n"/>
      <c r="H80" s="609" t="n"/>
      <c r="I80" s="461" t="n"/>
      <c r="K80" s="260" t="n"/>
      <c r="L80" s="1713" t="n"/>
      <c r="O80" s="287" t="n"/>
    </row>
    <row r="81" ht="15" customHeight="1">
      <c r="A81" s="283" t="n"/>
      <c r="B81" s="535" t="inlineStr">
        <is>
          <t>PARTICULAR</t>
        </is>
      </c>
      <c r="C81" s="1735" t="inlineStr">
        <is>
          <t>GGST</t>
        </is>
      </c>
      <c r="D81" s="1735" t="inlineStr">
        <is>
          <t>CGST</t>
        </is>
      </c>
      <c r="E81" s="1735" t="inlineStr">
        <is>
          <t>IGST</t>
        </is>
      </c>
      <c r="F81" s="1735" t="inlineStr">
        <is>
          <t>TOTAL</t>
        </is>
      </c>
      <c r="G81" s="1703" t="n"/>
      <c r="J81" s="428" t="n"/>
      <c r="K81" s="1736" t="n"/>
      <c r="L81" s="1737" t="n"/>
      <c r="M81" s="1713" t="n"/>
      <c r="O81" s="287" t="n"/>
    </row>
    <row r="82" ht="20.25" customHeight="1">
      <c r="A82" s="283" t="n"/>
      <c r="B82" s="463" t="inlineStr">
        <is>
          <t>A. OPENING BALANCE OF INPUT</t>
        </is>
      </c>
      <c r="C82" s="1738" t="n">
        <v>73851</v>
      </c>
      <c r="D82" s="1738">
        <f>+C82</f>
        <v/>
      </c>
      <c r="E82" s="1738" t="n">
        <v>0</v>
      </c>
      <c r="F82" s="1738">
        <f>SUM(C82:E82)</f>
        <v/>
      </c>
      <c r="G82" s="476" t="n"/>
      <c r="H82" s="477" t="n"/>
      <c r="I82" s="477" t="n"/>
      <c r="J82" s="477" t="n"/>
      <c r="L82" s="1736" t="n"/>
      <c r="M82" s="1736" t="n"/>
      <c r="N82" s="1736" t="n"/>
      <c r="O82" s="1739" t="n"/>
    </row>
    <row r="83" ht="15" customHeight="1">
      <c r="A83" s="283" t="n"/>
      <c r="B83" s="1448" t="n"/>
      <c r="C83" s="1738" t="n">
        <v>0</v>
      </c>
      <c r="D83" s="1738" t="n">
        <v>0</v>
      </c>
      <c r="E83" s="1738" t="n">
        <v>0</v>
      </c>
      <c r="F83" s="1738">
        <f>SUM(C83:E83)</f>
        <v/>
      </c>
      <c r="G83" s="1740" t="n"/>
      <c r="H83" s="1740" t="n"/>
      <c r="I83" s="1740" t="n"/>
      <c r="J83" s="477" t="n"/>
      <c r="K83" s="327" t="n"/>
      <c r="L83" s="327" t="n"/>
      <c r="M83" s="327" t="n"/>
      <c r="N83" s="327" t="n"/>
      <c r="O83" s="1739" t="n"/>
    </row>
    <row r="84" ht="15" customHeight="1">
      <c r="A84" s="283" t="n"/>
      <c r="B84" s="1448" t="inlineStr">
        <is>
          <t>4 A(3) RCM CREDIT OF CURRENT MONTH (Table 4 A. (3))</t>
        </is>
      </c>
      <c r="C84" s="1741">
        <f>+F43</f>
        <v/>
      </c>
      <c r="D84" s="1741">
        <f>+G43</f>
        <v/>
      </c>
      <c r="E84" s="1741" t="n">
        <v>0</v>
      </c>
      <c r="F84" s="1738">
        <f>SUM(C84:E84)</f>
        <v/>
      </c>
      <c r="G84" s="1742" t="n"/>
      <c r="I84" s="1740" t="n"/>
      <c r="J84" s="477" t="n"/>
      <c r="K84" s="327" t="n"/>
      <c r="L84" s="327" t="n"/>
      <c r="M84" s="327" t="n"/>
      <c r="N84" s="327" t="n"/>
      <c r="O84" s="1739" t="n"/>
    </row>
    <row r="85" ht="15" customHeight="1">
      <c r="A85" s="283" t="n"/>
      <c r="B85" s="1448" t="inlineStr">
        <is>
          <t>4 A(4)  Inward supplies from ISD</t>
        </is>
      </c>
      <c r="C85" s="1743">
        <f>+D61</f>
        <v/>
      </c>
      <c r="D85" s="1743">
        <f>+E61</f>
        <v/>
      </c>
      <c r="E85" s="1743">
        <f>+F61</f>
        <v/>
      </c>
      <c r="F85" s="1738">
        <f>SUM(C85:E85)</f>
        <v/>
      </c>
      <c r="G85" s="1742" t="n"/>
      <c r="H85" s="1740" t="n"/>
      <c r="I85" s="1740" t="n"/>
      <c r="J85" s="477" t="n"/>
      <c r="K85" s="327" t="n"/>
      <c r="L85" s="327" t="n"/>
      <c r="M85" s="327" t="n"/>
      <c r="N85" s="327" t="n"/>
      <c r="O85" s="1739" t="n"/>
    </row>
    <row r="86" ht="18.75" customHeight="1">
      <c r="A86" s="283" t="n"/>
      <c r="B86" s="1448" t="inlineStr">
        <is>
          <t>4 A(5) All other ITC (Table - 4 A. (5))</t>
        </is>
      </c>
      <c r="C86" s="1741">
        <f>+D55+D60-G58</f>
        <v/>
      </c>
      <c r="D86" s="1741">
        <f>+E55+E60-H58</f>
        <v/>
      </c>
      <c r="E86" s="1741">
        <f>+F55+F60-I58</f>
        <v/>
      </c>
      <c r="F86" s="1738">
        <f>SUM(C86:E86)</f>
        <v/>
      </c>
      <c r="G86" s="476" t="inlineStr">
        <is>
          <t xml:space="preserve"> </t>
        </is>
      </c>
      <c r="H86" s="1740" t="n"/>
      <c r="I86" s="1744" t="n"/>
      <c r="J86" s="1745" t="n"/>
      <c r="K86" s="327" t="n"/>
      <c r="L86" s="327" t="n"/>
      <c r="M86" s="327" t="n"/>
      <c r="N86" s="327" t="n"/>
      <c r="O86" s="1739" t="n"/>
    </row>
    <row r="87" ht="30.75" customHeight="1" thickBot="1">
      <c r="A87" s="283" t="n"/>
      <c r="B87" s="1206" t="inlineStr">
        <is>
          <t>4 B.(1) REVERSED BLOCKED CREDIT + 50% REVERSAL RCM+REGULAR (Table 4 B. (1))</t>
        </is>
      </c>
      <c r="C87" s="1741">
        <f>-G63</f>
        <v/>
      </c>
      <c r="D87" s="1741">
        <f>-H63</f>
        <v/>
      </c>
      <c r="E87" s="1741">
        <f>-I63</f>
        <v/>
      </c>
      <c r="F87" s="1738">
        <f>SUM(C87:E87)</f>
        <v/>
      </c>
      <c r="G87" s="1746" t="n"/>
      <c r="H87" s="1703" t="n"/>
      <c r="I87" s="1663" t="n"/>
      <c r="J87" s="1747" t="n"/>
      <c r="K87" s="1748" t="n"/>
      <c r="L87" s="1748" t="n"/>
      <c r="M87" s="1748" t="n"/>
      <c r="N87" s="1748" t="n"/>
      <c r="O87" s="1739" t="n"/>
    </row>
    <row r="88" ht="21" customHeight="1" thickBot="1">
      <c r="A88" s="283" t="n"/>
      <c r="B88" s="463" t="inlineStr">
        <is>
          <t>B. Net ITC available {4 A(3)+4 A(5)-4 B(1)}</t>
        </is>
      </c>
      <c r="C88" s="1749">
        <f>SUM(C84:C87)</f>
        <v/>
      </c>
      <c r="D88" s="1749">
        <f>SUM(D84:D87)</f>
        <v/>
      </c>
      <c r="E88" s="1749">
        <f>SUM(E84:E87)</f>
        <v/>
      </c>
      <c r="F88" s="1738">
        <f>SUM(C88:E88)</f>
        <v/>
      </c>
      <c r="G88" s="1746" t="n"/>
      <c r="H88" s="1703" t="n"/>
      <c r="I88" s="1663" t="n"/>
      <c r="J88" s="427" t="n"/>
      <c r="K88" s="783" t="n"/>
      <c r="L88" s="783" t="n"/>
      <c r="M88" s="783" t="n"/>
      <c r="N88" s="783" t="n"/>
    </row>
    <row r="89" ht="19.5" customHeight="1">
      <c r="A89" s="283" t="n"/>
      <c r="B89" s="463" t="inlineStr">
        <is>
          <t>TOTAL CREDIT AVAILABLE (A+B)</t>
        </is>
      </c>
      <c r="C89" s="1749">
        <f>+C82+C88</f>
        <v/>
      </c>
      <c r="D89" s="1749">
        <f>+D82+D88</f>
        <v/>
      </c>
      <c r="E89" s="1749">
        <f>+E82+E88</f>
        <v/>
      </c>
      <c r="F89" s="1738">
        <f>SUM(C89:E89)</f>
        <v/>
      </c>
      <c r="G89" s="1750">
        <f>+G30-F89</f>
        <v/>
      </c>
      <c r="H89" s="1703" t="n"/>
      <c r="J89" s="1747" t="inlineStr">
        <is>
          <t xml:space="preserve"> </t>
        </is>
      </c>
      <c r="K89" s="741" t="n"/>
      <c r="L89" s="741" t="n"/>
      <c r="M89" s="741" t="n"/>
      <c r="N89" s="741" t="n"/>
      <c r="O89" s="1739" t="n"/>
    </row>
    <row r="90" ht="18.75" customHeight="1">
      <c r="A90" s="283" t="n"/>
      <c r="B90" s="1448" t="inlineStr">
        <is>
          <t>UTILISED IN CURRENT MONTH</t>
        </is>
      </c>
      <c r="C90" s="1741">
        <f>-F103</f>
        <v/>
      </c>
      <c r="D90" s="1741">
        <f>-E103</f>
        <v/>
      </c>
      <c r="E90" s="1741">
        <f>-D103</f>
        <v/>
      </c>
      <c r="F90" s="1751">
        <f>SUM(C90:E90)</f>
        <v/>
      </c>
      <c r="G90" s="1703" t="n"/>
      <c r="H90" s="1703" t="n"/>
      <c r="I90" s="1663" t="n"/>
      <c r="J90" s="327" t="n"/>
      <c r="K90" s="1752" t="n"/>
      <c r="L90" s="1752" t="n"/>
      <c r="M90" s="1752" t="n"/>
      <c r="N90" s="1752" t="n"/>
      <c r="O90" s="1739" t="n"/>
    </row>
    <row r="91" ht="19.5" customHeight="1" thickBot="1">
      <c r="A91" s="283" t="n"/>
      <c r="B91" s="1376" t="inlineStr">
        <is>
          <t>BALANCE CARRIED FORWARD IN PORTAL</t>
        </is>
      </c>
      <c r="C91" s="1749">
        <f>+C89+C90</f>
        <v/>
      </c>
      <c r="D91" s="1749">
        <f>+D89+D90</f>
        <v/>
      </c>
      <c r="E91" s="1749">
        <f>+E89+E90</f>
        <v/>
      </c>
      <c r="F91" s="1718">
        <f>SUM(C91:E91)</f>
        <v/>
      </c>
      <c r="G91" s="1753">
        <f>+E91/2</f>
        <v/>
      </c>
      <c r="H91" s="1703" t="n"/>
      <c r="I91" s="1663" t="n"/>
      <c r="J91" s="327" t="n"/>
      <c r="K91" s="1196" t="n">
        <v>160432.599999845</v>
      </c>
      <c r="L91" s="1196" t="n">
        <v>8437.5</v>
      </c>
      <c r="M91" s="1196">
        <f>+L91</f>
        <v/>
      </c>
      <c r="N91" s="1196" t="n">
        <v>12001.31</v>
      </c>
      <c r="O91" s="1197" t="inlineStr">
        <is>
          <t>Ammendment of OCT-25 and Mar26 consider the note</t>
        </is>
      </c>
      <c r="P91" s="1712" t="n"/>
      <c r="Q91" s="369" t="n"/>
      <c r="R91" s="1737" t="n"/>
    </row>
    <row r="92" ht="19.5" customHeight="1" thickBot="1">
      <c r="A92" s="283" t="n"/>
      <c r="B92" s="1376" t="inlineStr">
        <is>
          <t>ITC NOT REFLECTED IN GSTRT-2B TILL CURRENT MONTH</t>
        </is>
      </c>
      <c r="C92" s="1749">
        <f>+[1]MATCHING!$C$12</f>
        <v/>
      </c>
      <c r="D92" s="1749">
        <f>+C92</f>
        <v/>
      </c>
      <c r="E92" s="1749">
        <f>+[1]MATCHING!$E$12</f>
        <v/>
      </c>
      <c r="F92" s="1718">
        <f>SUM(C92:E92)</f>
        <v/>
      </c>
      <c r="G92" s="609" t="n"/>
      <c r="H92" s="1703" t="n"/>
      <c r="I92" s="1663" t="n"/>
      <c r="J92" s="327" t="n"/>
      <c r="K92" s="783" t="n"/>
      <c r="L92" s="783" t="n"/>
      <c r="M92" s="783" t="n"/>
      <c r="N92" s="783" t="n"/>
      <c r="O92" s="784" t="n"/>
      <c r="R92" s="1712" t="n"/>
    </row>
    <row r="93" ht="19.5" customHeight="1">
      <c r="A93" s="283" t="n"/>
      <c r="B93" s="1376" t="inlineStr">
        <is>
          <t>BALANCE AS PER BOOKS IN GROSS RECEIVABLE</t>
        </is>
      </c>
      <c r="C93" s="1754">
        <f>+C91+C92</f>
        <v/>
      </c>
      <c r="D93" s="1754">
        <f>+D91+D92</f>
        <v/>
      </c>
      <c r="E93" s="1754">
        <f>+E91+E92</f>
        <v/>
      </c>
      <c r="F93" s="1755">
        <f>SUM(C93:E93)</f>
        <v/>
      </c>
      <c r="G93" s="1756" t="n"/>
      <c r="H93" s="1756">
        <f>753471-96768</f>
        <v/>
      </c>
      <c r="I93" s="1757" t="n"/>
      <c r="J93" s="287" t="inlineStr">
        <is>
          <t>TOTAL INCOME</t>
        </is>
      </c>
      <c r="K93" s="1737">
        <f>+K95+K98+K94</f>
        <v/>
      </c>
      <c r="L93" s="1737">
        <f>+D31</f>
        <v/>
      </c>
      <c r="M93" s="1737">
        <f>+E31</f>
        <v/>
      </c>
      <c r="N93" s="1737">
        <f>+F31</f>
        <v/>
      </c>
      <c r="O93" s="1737" t="n"/>
      <c r="P93" s="1737" t="n"/>
    </row>
    <row r="94" ht="19.5" customHeight="1" thickBot="1">
      <c r="A94" s="283" t="n"/>
      <c r="B94" s="281" t="n"/>
      <c r="C94" s="1756" t="n"/>
      <c r="D94" s="1756" t="n"/>
      <c r="E94" s="1756" t="n"/>
      <c r="F94" s="1756" t="n"/>
      <c r="G94" s="1756" t="n"/>
      <c r="H94" s="1756" t="n"/>
      <c r="I94" s="1757" t="n"/>
      <c r="J94" s="287" t="inlineStr">
        <is>
          <t>NON GST</t>
        </is>
      </c>
      <c r="K94" s="1758" t="n"/>
      <c r="L94" s="1737" t="n"/>
      <c r="M94" s="1737" t="n"/>
      <c r="N94" s="1737" t="n"/>
      <c r="O94" s="1759" t="n"/>
      <c r="P94" s="287" t="n"/>
      <c r="Q94" s="287" t="n"/>
      <c r="R94" s="287" t="n"/>
    </row>
    <row r="95" ht="18.75" customHeight="1" thickBot="1">
      <c r="A95" s="283" t="n"/>
      <c r="B95" s="1665" t="inlineStr">
        <is>
          <t>(6) UTILISED IN CURRENT MONTH</t>
        </is>
      </c>
      <c r="C95" s="1558" t="n"/>
      <c r="D95" s="1558" t="n"/>
      <c r="E95" s="1558" t="n"/>
      <c r="F95" s="1558" t="n"/>
      <c r="G95" s="1558" t="n"/>
      <c r="H95" s="1558" t="n"/>
      <c r="I95" s="1559" t="n"/>
      <c r="J95" s="287" t="inlineStr">
        <is>
          <t>EXEMPT INCOME</t>
        </is>
      </c>
      <c r="K95" s="1760">
        <f>+F21-K94</f>
        <v/>
      </c>
      <c r="L95" s="263" t="n">
        <v>0</v>
      </c>
      <c r="M95" s="263" t="n">
        <v>0</v>
      </c>
      <c r="N95" s="263" t="n">
        <v>0</v>
      </c>
      <c r="O95" s="1761" t="n"/>
    </row>
    <row r="96" ht="16.5" customHeight="1" thickBot="1">
      <c r="A96" s="283" t="n"/>
      <c r="B96" s="1391" t="inlineStr">
        <is>
          <t>Description</t>
        </is>
      </c>
      <c r="C96" s="1762" t="inlineStr">
        <is>
          <t xml:space="preserve">Tax payable                 </t>
        </is>
      </c>
      <c r="D96" s="1763" t="inlineStr">
        <is>
          <t>Paid through ITC</t>
        </is>
      </c>
      <c r="E96" s="1558" t="n"/>
      <c r="F96" s="1666" t="n"/>
      <c r="G96" s="1762" t="inlineStr">
        <is>
          <t>TOTAL PAYABLE</t>
        </is>
      </c>
      <c r="H96" s="1762" t="inlineStr">
        <is>
          <t>LESS: CASH LEDGER BALANCE</t>
        </is>
      </c>
      <c r="I96" s="1764" t="inlineStr">
        <is>
          <t>NET PAYABLE BY CASH</t>
        </is>
      </c>
      <c r="J96" s="1765" t="inlineStr">
        <is>
          <t>WORKING FOR GSTR 1</t>
        </is>
      </c>
      <c r="K96" s="1558" t="n"/>
      <c r="L96" s="1558" t="n"/>
      <c r="M96" s="1558" t="n"/>
      <c r="N96" s="1559" t="n"/>
      <c r="P96" s="263" t="inlineStr">
        <is>
          <t xml:space="preserve"> </t>
        </is>
      </c>
    </row>
    <row r="97" ht="30" customHeight="1" thickBot="1">
      <c r="A97" s="283" t="n"/>
      <c r="B97" s="1766" t="n"/>
      <c r="C97" s="1766" t="n"/>
      <c r="D97" s="1767" t="inlineStr">
        <is>
          <t>Integrated Tax</t>
        </is>
      </c>
      <c r="E97" s="1768" t="inlineStr">
        <is>
          <t>Central Tax</t>
        </is>
      </c>
      <c r="F97" s="1768" t="inlineStr">
        <is>
          <t>State/UT Tax</t>
        </is>
      </c>
      <c r="G97" s="1766" t="n"/>
      <c r="H97" s="1766" t="n"/>
      <c r="I97" s="1769" t="n"/>
      <c r="J97" s="306" t="n"/>
      <c r="K97" s="307" t="inlineStr">
        <is>
          <t>INCOME</t>
        </is>
      </c>
      <c r="L97" s="307" t="inlineStr">
        <is>
          <t>CGST</t>
        </is>
      </c>
      <c r="M97" s="307" t="inlineStr">
        <is>
          <t>SGST</t>
        </is>
      </c>
      <c r="N97" s="308" t="inlineStr">
        <is>
          <t>IGST</t>
        </is>
      </c>
      <c r="P97" s="1737" t="n"/>
      <c r="Q97" s="1737" t="n"/>
      <c r="R97" s="1737" t="n"/>
      <c r="S97" s="1737" t="n"/>
    </row>
    <row r="98">
      <c r="A98" s="283" t="n"/>
      <c r="B98" s="184" t="n">
        <v>1</v>
      </c>
      <c r="C98" s="185" t="n">
        <v>2</v>
      </c>
      <c r="D98" s="185" t="n">
        <v>3</v>
      </c>
      <c r="E98" s="185" t="n">
        <v>4</v>
      </c>
      <c r="F98" s="185" t="n">
        <v>5</v>
      </c>
      <c r="G98" s="185" t="n"/>
      <c r="H98" s="185" t="n"/>
      <c r="I98" s="270" t="n"/>
      <c r="J98" s="309" t="inlineStr">
        <is>
          <t>TOTAL TURNOVER</t>
        </is>
      </c>
      <c r="K98" s="1770">
        <f>+C27+C28</f>
        <v/>
      </c>
      <c r="L98" s="1770">
        <f>+D30</f>
        <v/>
      </c>
      <c r="M98" s="1770">
        <f>+E30</f>
        <v/>
      </c>
      <c r="N98" s="1771">
        <f>+F30</f>
        <v/>
      </c>
      <c r="O98" s="1772">
        <f>+SUM(L98:N98)/K98*100</f>
        <v/>
      </c>
      <c r="P98" s="369" t="n"/>
      <c r="Q98" s="369" t="n"/>
      <c r="R98" s="369" t="n"/>
      <c r="S98" s="369" t="n"/>
    </row>
    <row r="99">
      <c r="A99" s="283" t="n"/>
      <c r="B99" s="186" t="inlineStr">
        <is>
          <t>Integrated Tax</t>
        </is>
      </c>
      <c r="C99" s="1773">
        <f>+F30</f>
        <v/>
      </c>
      <c r="D99" s="1774" t="n">
        <v>30699</v>
      </c>
      <c r="E99" s="1774" t="n">
        <v>0</v>
      </c>
      <c r="F99" s="1774">
        <f>+E99</f>
        <v/>
      </c>
      <c r="G99" s="1774">
        <f>+C99-D99-E99-F99</f>
        <v/>
      </c>
      <c r="H99" s="1774" t="n"/>
      <c r="I99" s="1775">
        <f>+G99-H99</f>
        <v/>
      </c>
      <c r="J99" s="1776" t="inlineStr">
        <is>
          <t>LESS: ADVANCE</t>
        </is>
      </c>
      <c r="K99" s="1199">
        <f>+Sheet1!J58</f>
        <v/>
      </c>
      <c r="L99" s="1777">
        <f>+Sheet1!J59</f>
        <v/>
      </c>
      <c r="M99" s="1777">
        <f>+Sheet1!J60</f>
        <v/>
      </c>
      <c r="N99" s="1778" t="n">
        <v>0</v>
      </c>
      <c r="O99" s="1772">
        <f>+SUM(L99:N99)/K99*100</f>
        <v/>
      </c>
      <c r="P99" s="1779" t="n"/>
      <c r="Q99" s="1693" t="n"/>
      <c r="S99" s="1779" t="n"/>
    </row>
    <row r="100">
      <c r="A100" s="283" t="n"/>
      <c r="B100" s="186" t="inlineStr">
        <is>
          <t xml:space="preserve">Central Tax </t>
        </is>
      </c>
      <c r="C100" s="1773">
        <f>+E31</f>
        <v/>
      </c>
      <c r="D100" s="1774">
        <f>64060/2</f>
        <v/>
      </c>
      <c r="E100" s="1774" t="n">
        <v>290627</v>
      </c>
      <c r="F100" s="1780" t="n">
        <v>0</v>
      </c>
      <c r="G100" s="1781">
        <f>+C100-D100-E100-F100</f>
        <v/>
      </c>
      <c r="H100" s="1774" t="n"/>
      <c r="I100" s="1775">
        <f>+G100-H100</f>
        <v/>
      </c>
      <c r="J100" s="1776" t="n"/>
      <c r="K100" s="1194">
        <f>+K98-K99</f>
        <v/>
      </c>
      <c r="L100" s="1782">
        <f>+L98-L99</f>
        <v/>
      </c>
      <c r="M100" s="1782">
        <f>+M98-M99</f>
        <v/>
      </c>
      <c r="N100" s="1783">
        <f>+N98-N99</f>
        <v/>
      </c>
      <c r="O100" s="1772" t="n"/>
      <c r="P100" s="1737" t="n"/>
      <c r="Q100" s="1737" t="n"/>
      <c r="R100" s="1737" t="n"/>
      <c r="S100" s="1737" t="n"/>
      <c r="U100" s="1737" t="n"/>
    </row>
    <row r="101">
      <c r="A101" s="283" t="n"/>
      <c r="B101" s="186" t="inlineStr">
        <is>
          <t xml:space="preserve">State/UT Tax </t>
        </is>
      </c>
      <c r="C101" s="1773">
        <f>+C100</f>
        <v/>
      </c>
      <c r="D101" s="1774">
        <f>+D100</f>
        <v/>
      </c>
      <c r="E101" s="1780" t="n">
        <v>0</v>
      </c>
      <c r="F101" s="1784" t="n">
        <v>290627</v>
      </c>
      <c r="G101" s="1781">
        <f>+C101-D101-E101-F101</f>
        <v/>
      </c>
      <c r="H101" s="1774" t="n"/>
      <c r="I101" s="1775">
        <f>+G101-H101</f>
        <v/>
      </c>
      <c r="J101" s="1785" t="inlineStr">
        <is>
          <t>LESS:REGISTERED  (net of credit note)</t>
        </is>
      </c>
      <c r="K101" s="1786">
        <f>+K134</f>
        <v/>
      </c>
      <c r="L101" s="1786">
        <f>+L134</f>
        <v/>
      </c>
      <c r="M101" s="1786">
        <f>+M134</f>
        <v/>
      </c>
      <c r="N101" s="1787">
        <f>+N134</f>
        <v/>
      </c>
      <c r="O101" s="1772">
        <f>+SUM(L101:N101)/K101*100</f>
        <v/>
      </c>
      <c r="Q101" s="1737" t="n"/>
      <c r="R101" s="1737" t="n"/>
      <c r="S101" s="261" t="n"/>
    </row>
    <row r="102" ht="16.5" customHeight="1" thickBot="1">
      <c r="A102" s="283" t="n"/>
      <c r="B102" s="190" t="inlineStr">
        <is>
          <t>Cess</t>
        </is>
      </c>
      <c r="C102" s="1784" t="n">
        <v>0</v>
      </c>
      <c r="D102" s="1788" t="n">
        <v>0</v>
      </c>
      <c r="E102" s="1788" t="n">
        <v>0</v>
      </c>
      <c r="F102" s="1784" t="n"/>
      <c r="G102" s="1784" t="n">
        <v>0</v>
      </c>
      <c r="H102" s="1784" t="n">
        <v>0</v>
      </c>
      <c r="I102" s="1789">
        <f>+G102-H102</f>
        <v/>
      </c>
      <c r="J102" s="1776" t="inlineStr">
        <is>
          <t>TOTAL URD</t>
        </is>
      </c>
      <c r="K102" s="1790">
        <f>+K100-K101+160432.6</f>
        <v/>
      </c>
      <c r="L102" s="1790">
        <f>+L100-L101+8300.98</f>
        <v/>
      </c>
      <c r="M102" s="1790">
        <f>+M100-M101+8300.98</f>
        <v/>
      </c>
      <c r="N102" s="1791">
        <f>+N100-N101+12001.31</f>
        <v/>
      </c>
      <c r="O102" s="1772">
        <f>+SUM(L102:N102)/K102*100</f>
        <v/>
      </c>
      <c r="P102" s="1792" t="inlineStr">
        <is>
          <t>Please consider the below note</t>
        </is>
      </c>
      <c r="Q102" s="1793" t="n"/>
      <c r="R102" s="1794" t="n"/>
      <c r="S102" s="1795" t="n"/>
    </row>
    <row r="103" ht="20.25" customHeight="1" thickBot="1">
      <c r="A103" s="283" t="n"/>
      <c r="B103" s="193" t="inlineStr">
        <is>
          <t>Total</t>
        </is>
      </c>
      <c r="C103" s="1796">
        <f>SUM(C99:C102)</f>
        <v/>
      </c>
      <c r="D103" s="1796">
        <f>+D99+D100+D101</f>
        <v/>
      </c>
      <c r="E103" s="1796">
        <f>+E99+E100+E101</f>
        <v/>
      </c>
      <c r="F103" s="1796">
        <f>+F99+F100+F101</f>
        <v/>
      </c>
      <c r="G103" s="809">
        <f>+C103-D103-E103-F103</f>
        <v/>
      </c>
      <c r="H103" s="514">
        <f>SUM(H99:H102)</f>
        <v/>
      </c>
      <c r="I103" s="887">
        <f>SUM(I99:I102)</f>
        <v/>
      </c>
      <c r="J103" s="1785" t="inlineStr">
        <is>
          <t>LESS:IGST URD SMALL</t>
        </is>
      </c>
      <c r="K103" s="1786">
        <f>+N103/0.18</f>
        <v/>
      </c>
      <c r="L103" s="1786" t="n">
        <v>0</v>
      </c>
      <c r="M103" s="1786" t="n">
        <v>0</v>
      </c>
      <c r="N103" s="1787">
        <f>+N102</f>
        <v/>
      </c>
      <c r="O103" s="1772">
        <f>+SUM(L103:N103)/K103*100</f>
        <v/>
      </c>
      <c r="P103" s="369" t="n"/>
      <c r="Q103" s="619" t="n"/>
      <c r="R103" s="619" t="n"/>
      <c r="S103" s="618" t="n"/>
    </row>
    <row r="104" ht="19.5" customHeight="1">
      <c r="A104" s="283" t="n"/>
      <c r="B104" s="356" t="n"/>
      <c r="C104" s="1797" t="n"/>
      <c r="D104" s="1797" t="n"/>
      <c r="E104" s="1797" t="n"/>
      <c r="F104" s="1797" t="n"/>
      <c r="G104" s="358" t="n"/>
      <c r="H104" s="358" t="n"/>
      <c r="I104" s="359" t="n"/>
      <c r="J104" s="1785" t="inlineStr">
        <is>
          <t>INTRA STATE URD</t>
        </is>
      </c>
      <c r="K104" s="1790">
        <f>+K102-K103</f>
        <v/>
      </c>
      <c r="L104" s="1790">
        <f>+L102-L103</f>
        <v/>
      </c>
      <c r="M104" s="1790">
        <f>+M102-M103</f>
        <v/>
      </c>
      <c r="N104" s="1791">
        <f>+N102-N103</f>
        <v/>
      </c>
      <c r="O104" s="1772">
        <f>+SUM(L104:N104)/K104*100</f>
        <v/>
      </c>
      <c r="P104" s="1693" t="n"/>
      <c r="Q104" s="619" t="n"/>
      <c r="R104" s="619" t="n"/>
      <c r="S104" s="618" t="n"/>
    </row>
    <row r="105" ht="19.5" customHeight="1">
      <c r="A105" s="283" t="n"/>
      <c r="B105" s="356" t="n"/>
      <c r="C105" s="1797" t="n"/>
      <c r="D105" s="1798" t="n"/>
      <c r="E105" s="1797" t="n"/>
      <c r="F105" s="1797" t="n"/>
      <c r="G105" s="358" t="n"/>
      <c r="H105" s="358" t="n"/>
      <c r="I105" s="359" t="n"/>
      <c r="J105" s="1785" t="inlineStr">
        <is>
          <t xml:space="preserve">ADD.  : SEZ INCOME </t>
        </is>
      </c>
      <c r="K105" s="1790">
        <f>+K131</f>
        <v/>
      </c>
      <c r="L105" s="1790" t="n">
        <v>0</v>
      </c>
      <c r="M105" s="1790" t="n">
        <v>0</v>
      </c>
      <c r="N105" s="1791">
        <f>+K105*0.18</f>
        <v/>
      </c>
      <c r="O105" s="1693" t="n"/>
      <c r="P105" s="1693" t="n"/>
      <c r="Q105" s="619" t="n"/>
      <c r="R105" s="1799" t="n"/>
      <c r="S105" s="618" t="n"/>
    </row>
    <row r="106" ht="16.5" customHeight="1" thickBot="1">
      <c r="A106" s="283" t="n"/>
      <c r="B106" s="164" t="inlineStr">
        <is>
          <t>(7) CASH PAYABLE</t>
        </is>
      </c>
      <c r="C106" s="283" t="n"/>
      <c r="D106" s="1800" t="n"/>
      <c r="E106" s="1800" t="n"/>
      <c r="F106" s="1800" t="n"/>
      <c r="G106" s="1703" t="n"/>
      <c r="H106" s="1703" t="n"/>
      <c r="J106" s="1785" t="inlineStr">
        <is>
          <t>LESS: INTRA STATE URD 28% (AIR CONDITIONER)</t>
        </is>
      </c>
      <c r="K106" s="1786" t="n">
        <v>0</v>
      </c>
      <c r="L106" s="1786">
        <f>+K106*14/100</f>
        <v/>
      </c>
      <c r="M106" s="1786">
        <f>+L106</f>
        <v/>
      </c>
      <c r="N106" s="1787" t="n">
        <v>0</v>
      </c>
      <c r="O106" s="1194">
        <f>+N102/18%</f>
        <v/>
      </c>
      <c r="P106" s="574" t="n"/>
      <c r="Q106" s="620" t="n"/>
      <c r="R106" s="620" t="n"/>
    </row>
    <row r="107" ht="16.5" customHeight="1" thickBot="1">
      <c r="A107" s="283" t="n"/>
      <c r="B107" s="1439" t="inlineStr">
        <is>
          <t>PARTICULARS</t>
        </is>
      </c>
      <c r="C107" s="195" t="inlineStr">
        <is>
          <t>TAXABLE AMT</t>
        </is>
      </c>
      <c r="D107" s="196" t="inlineStr">
        <is>
          <t>GGST</t>
        </is>
      </c>
      <c r="E107" s="196" t="inlineStr">
        <is>
          <t>CGST</t>
        </is>
      </c>
      <c r="F107" s="196" t="inlineStr">
        <is>
          <t>IGST</t>
        </is>
      </c>
      <c r="G107" s="1801" t="inlineStr">
        <is>
          <t>TOTAL</t>
        </is>
      </c>
      <c r="H107" s="1703" t="n"/>
      <c r="I107" s="1663" t="n"/>
      <c r="J107" s="1785" t="inlineStr">
        <is>
          <t>LESS: INTRA STATE URD 12% (REVOLVING CHAIR)</t>
        </is>
      </c>
      <c r="K107" s="1712" t="n">
        <v>0</v>
      </c>
      <c r="L107" s="1712">
        <f>+K107*0.06</f>
        <v/>
      </c>
      <c r="M107" s="1712">
        <f>+L107</f>
        <v/>
      </c>
      <c r="N107" s="1802" t="n"/>
      <c r="O107" s="1737">
        <f>+K102-O106</f>
        <v/>
      </c>
      <c r="P107" s="574" t="n"/>
    </row>
    <row r="108" ht="16.5" customFormat="1" customHeight="1" s="287" thickBot="1">
      <c r="A108" s="318" t="n"/>
      <c r="B108" s="348" t="inlineStr">
        <is>
          <t>REGULAR PAYABLE IN CASH</t>
        </is>
      </c>
      <c r="C108" s="197" t="n"/>
      <c r="D108" s="197">
        <f>+I101</f>
        <v/>
      </c>
      <c r="E108" s="197">
        <f>+I100</f>
        <v/>
      </c>
      <c r="F108" s="197">
        <f>+I99</f>
        <v/>
      </c>
      <c r="G108" s="891">
        <f>+D108+E108+F108</f>
        <v/>
      </c>
      <c r="H108" s="1707" t="n"/>
      <c r="I108" s="1664" t="n"/>
      <c r="J108" s="1776" t="inlineStr">
        <is>
          <t>INTRA STATE URD 18%</t>
        </is>
      </c>
      <c r="K108" s="1803">
        <f>+K104-K107-K106</f>
        <v/>
      </c>
      <c r="L108" s="1803">
        <f>+L104-L107-L106</f>
        <v/>
      </c>
      <c r="M108" s="1803">
        <f>+M104-M107-M106</f>
        <v/>
      </c>
      <c r="N108" s="1803">
        <f>+N104-N107-N106</f>
        <v/>
      </c>
      <c r="O108" s="1790" t="n"/>
      <c r="P108" s="574" t="inlineStr">
        <is>
          <t xml:space="preserve"> </t>
        </is>
      </c>
      <c r="Q108" s="1759" t="inlineStr">
        <is>
          <t xml:space="preserve"> </t>
        </is>
      </c>
    </row>
    <row r="109" ht="17.25" customFormat="1" customHeight="1" s="287" thickBot="1" thickTop="1">
      <c r="A109" s="318" t="n"/>
      <c r="B109" s="348" t="inlineStr">
        <is>
          <t>LESS: CASH LEDGER</t>
        </is>
      </c>
      <c r="C109" s="197" t="n"/>
      <c r="D109" s="197">
        <f>-C77</f>
        <v/>
      </c>
      <c r="E109" s="197">
        <f>-D77</f>
        <v/>
      </c>
      <c r="F109" s="197" t="n"/>
      <c r="G109" s="891">
        <f>+D109+E109+F109</f>
        <v/>
      </c>
      <c r="H109" s="1707" t="n"/>
      <c r="I109" s="1664" t="n"/>
      <c r="J109" s="1804" t="n"/>
      <c r="K109" s="1805" t="n"/>
      <c r="L109" s="1805" t="n"/>
      <c r="M109" s="1805" t="n"/>
      <c r="N109" s="1806" t="n"/>
      <c r="P109" s="1782" t="inlineStr">
        <is>
          <t xml:space="preserve"> </t>
        </is>
      </c>
      <c r="Q109" s="287" t="inlineStr">
        <is>
          <t xml:space="preserve"> </t>
        </is>
      </c>
    </row>
    <row r="110" ht="16.5" customFormat="1" customHeight="1" s="287" thickBot="1">
      <c r="A110" s="318" t="n"/>
      <c r="B110" s="348" t="inlineStr">
        <is>
          <t xml:space="preserve">Interest on late payment of RCM </t>
        </is>
      </c>
      <c r="C110" s="197" t="n"/>
      <c r="D110" s="197">
        <f>150+15</f>
        <v/>
      </c>
      <c r="E110" s="197">
        <f>150+15</f>
        <v/>
      </c>
      <c r="F110" s="197" t="n">
        <v>185</v>
      </c>
      <c r="G110" s="892">
        <f>+D110+E110+F110</f>
        <v/>
      </c>
      <c r="H110" s="332" t="n"/>
      <c r="I110" s="1664" t="n"/>
      <c r="J110" s="1807" t="inlineStr">
        <is>
          <t>HSN WISE SUMMARY</t>
        </is>
      </c>
      <c r="K110" s="1558" t="n"/>
      <c r="L110" s="1558" t="n"/>
      <c r="M110" s="1558" t="n"/>
      <c r="N110" s="1559" t="n"/>
      <c r="O110" s="1759" t="n"/>
      <c r="Q110" s="287" t="inlineStr">
        <is>
          <t xml:space="preserve"> </t>
        </is>
      </c>
    </row>
    <row r="111" customFormat="1" s="287">
      <c r="A111" s="318" t="n"/>
      <c r="B111" s="349" t="inlineStr">
        <is>
          <t>RCM</t>
        </is>
      </c>
      <c r="C111" s="50" t="n"/>
      <c r="D111" s="50">
        <f>+F43</f>
        <v/>
      </c>
      <c r="E111" s="50">
        <f>+G43</f>
        <v/>
      </c>
      <c r="F111" s="50" t="n">
        <v>0</v>
      </c>
      <c r="G111" s="892">
        <f>+D111+E111+F111</f>
        <v/>
      </c>
      <c r="H111" s="1707" t="n"/>
      <c r="I111" s="1664" t="n"/>
      <c r="J111" s="309" t="n">
        <v>997119</v>
      </c>
      <c r="K111" s="1808">
        <f>+K123-K119-K117-K118</f>
        <v/>
      </c>
      <c r="L111" s="1808">
        <f>+L123-L119-L117-L118</f>
        <v/>
      </c>
      <c r="M111" s="1808">
        <f>+M123-M119-M117-M118</f>
        <v/>
      </c>
      <c r="N111" s="1809">
        <f>+N123-N119-N117-N118</f>
        <v/>
      </c>
      <c r="O111" s="1759">
        <f>+(L111+M111+N111)/K111*100</f>
        <v/>
      </c>
      <c r="P111" s="1759">
        <f>+K111+L111+M111+N111</f>
        <v/>
      </c>
    </row>
    <row r="112" ht="20.25" customFormat="1" customHeight="1" s="287" thickBot="1">
      <c r="A112" s="318" t="n"/>
      <c r="B112" s="350" t="inlineStr">
        <is>
          <t>rcm paid in cash</t>
        </is>
      </c>
      <c r="C112" s="351" t="n"/>
      <c r="D112" s="351" t="n">
        <v>0</v>
      </c>
      <c r="E112" s="351" t="n">
        <v>0</v>
      </c>
      <c r="F112" s="893" t="n">
        <v>0</v>
      </c>
      <c r="G112" s="894">
        <f>+D112+E112+F112</f>
        <v/>
      </c>
      <c r="H112" s="164" t="n"/>
      <c r="I112" s="1664" t="n"/>
      <c r="J112" s="320" t="n">
        <v>997159</v>
      </c>
      <c r="K112" s="1759">
        <f>+K124+K131</f>
        <v/>
      </c>
      <c r="L112" s="1759">
        <f>+L124</f>
        <v/>
      </c>
      <c r="M112" s="1759">
        <f>+M124</f>
        <v/>
      </c>
      <c r="N112" s="1810">
        <f>+N124+N131</f>
        <v/>
      </c>
      <c r="O112" s="1759">
        <f>+(L112+M112+N112)/K112*100</f>
        <v/>
      </c>
      <c r="P112" s="1759">
        <f>+K112+L112+M112+N112</f>
        <v/>
      </c>
    </row>
    <row r="113" ht="18.75" customFormat="1" customHeight="1" s="287" thickBot="1">
      <c r="A113" s="318" t="n"/>
      <c r="B113" s="352" t="inlineStr">
        <is>
          <t>CHALLAN</t>
        </is>
      </c>
      <c r="C113" s="353" t="n"/>
      <c r="D113" s="353">
        <f>+SUM(D108:D112)</f>
        <v/>
      </c>
      <c r="E113" s="353">
        <f>+SUM(E108:E112)</f>
        <v/>
      </c>
      <c r="F113" s="353">
        <f>+SUM(F108:F112)</f>
        <v/>
      </c>
      <c r="G113" s="895">
        <f>+SUM(G108:G112)</f>
        <v/>
      </c>
      <c r="H113" s="1707" t="n"/>
      <c r="I113" s="1664" t="n"/>
      <c r="J113" s="320" t="n">
        <v>997158</v>
      </c>
      <c r="K113" s="1759">
        <f>+K126+K127+K128+K132+K130+K129</f>
        <v/>
      </c>
      <c r="L113" s="1759">
        <f>+L126+L127+L128+L132+L130+L129</f>
        <v/>
      </c>
      <c r="M113" s="1759">
        <f>+M126+M127+M128+M132+M130+M129</f>
        <v/>
      </c>
      <c r="N113" s="1810">
        <f>+N126+N127+N128+N132+N130+N129</f>
        <v/>
      </c>
      <c r="O113" s="1759">
        <f>+(L113+M113+N113)/K113*100</f>
        <v/>
      </c>
      <c r="P113" s="1759">
        <f>+K113+L113+M113+N113</f>
        <v/>
      </c>
      <c r="Q113" s="287" t="inlineStr">
        <is>
          <t xml:space="preserve"> </t>
        </is>
      </c>
    </row>
    <row r="114" ht="21.75" customFormat="1" customHeight="1" s="287">
      <c r="A114" s="318" t="n"/>
      <c r="B114" s="1214" t="n"/>
      <c r="C114" s="62" t="n"/>
      <c r="D114" s="62" t="n"/>
      <c r="E114" s="62" t="n"/>
      <c r="F114" s="62" t="n"/>
      <c r="G114" s="896" t="n">
        <v>81511</v>
      </c>
      <c r="H114" s="1707" t="n"/>
      <c r="I114" s="1664" t="n"/>
      <c r="J114" s="320" t="n">
        <v>997111</v>
      </c>
      <c r="K114" s="1759">
        <f>+K125</f>
        <v/>
      </c>
      <c r="L114" s="1759">
        <f>+L125+L133</f>
        <v/>
      </c>
      <c r="M114" s="1759">
        <f>+M125+M133</f>
        <v/>
      </c>
      <c r="N114" s="1810">
        <f>+N125</f>
        <v/>
      </c>
      <c r="O114" s="1759">
        <f>+(L114+M114+N114)/K114*100</f>
        <v/>
      </c>
      <c r="P114" s="1759">
        <f>+K114+L114+M114+N114</f>
        <v/>
      </c>
    </row>
    <row r="115" ht="21.75" customFormat="1" customHeight="1" s="287">
      <c r="A115" s="318" t="n"/>
      <c r="B115" s="1214" t="n"/>
      <c r="C115" s="62" t="n"/>
      <c r="D115" s="62" t="n"/>
      <c r="E115" s="62" t="n"/>
      <c r="F115" s="62" t="n"/>
      <c r="G115" s="1707">
        <f>+G113-G114</f>
        <v/>
      </c>
      <c r="H115" s="1707" t="n"/>
      <c r="I115" s="1664" t="n"/>
      <c r="J115" s="759" t="inlineStr">
        <is>
          <t>997119 -B2C 18%</t>
        </is>
      </c>
      <c r="K115" s="1759">
        <f>+K102</f>
        <v/>
      </c>
      <c r="L115" s="1759">
        <f>+L102</f>
        <v/>
      </c>
      <c r="M115" s="1759">
        <f>+M102</f>
        <v/>
      </c>
      <c r="N115" s="1811">
        <f>+N102</f>
        <v/>
      </c>
      <c r="O115" s="1759">
        <f>+(L115+M115+N115)/K115*100</f>
        <v/>
      </c>
      <c r="P115" s="1759">
        <f>+K115+L115+M115+N115</f>
        <v/>
      </c>
    </row>
    <row r="116" ht="21.75" customFormat="1" customHeight="1" s="287">
      <c r="A116" s="318" t="n"/>
      <c r="B116" s="1015" t="n"/>
      <c r="C116" s="1015" t="n"/>
      <c r="D116" s="1207" t="n"/>
      <c r="E116" s="1207" t="n"/>
      <c r="F116" s="1015" t="n"/>
      <c r="G116" s="1015" t="n"/>
      <c r="H116" s="1707" t="n"/>
      <c r="I116" s="1664" t="n"/>
      <c r="J116" s="759" t="inlineStr">
        <is>
          <t>997119 -B2C 5%</t>
        </is>
      </c>
      <c r="K116" s="1759" t="n"/>
      <c r="L116" s="758" t="n"/>
      <c r="M116" s="1759" t="n"/>
      <c r="N116" s="1810" t="n"/>
      <c r="O116" s="1759">
        <f>+(L116+M116+N116)/K116*100</f>
        <v/>
      </c>
      <c r="P116" s="1759" t="n"/>
    </row>
    <row r="117" ht="21.75" customFormat="1" customHeight="1" s="287">
      <c r="A117" s="318" t="n"/>
      <c r="B117" s="1015" t="n"/>
      <c r="C117" s="1015" t="n"/>
      <c r="D117" s="1207" t="n"/>
      <c r="E117" s="1207" t="n"/>
      <c r="F117" s="1015" t="n"/>
      <c r="G117" s="1015" t="n"/>
      <c r="H117" s="960" t="n"/>
      <c r="I117" s="1664" t="inlineStr">
        <is>
          <t>Motor Car</t>
        </is>
      </c>
      <c r="J117" s="759" t="n"/>
      <c r="K117" s="1759" t="n">
        <v>0</v>
      </c>
      <c r="L117" s="1759">
        <f>+K117*0.06</f>
        <v/>
      </c>
      <c r="M117" s="1759">
        <f>+L117</f>
        <v/>
      </c>
      <c r="N117" s="1810" t="n">
        <v>0</v>
      </c>
      <c r="P117" s="287" t="inlineStr">
        <is>
          <t xml:space="preserve"> </t>
        </is>
      </c>
    </row>
    <row r="118" ht="21.75" customFormat="1" customHeight="1" s="287">
      <c r="A118" s="318" t="n"/>
      <c r="B118" s="1015" t="n"/>
      <c r="C118" s="1015" t="n"/>
      <c r="D118" s="1015" t="n"/>
      <c r="E118" s="1015" t="n"/>
      <c r="F118" s="1015" t="n"/>
      <c r="G118" s="1015" t="n"/>
      <c r="H118" s="960" t="n"/>
      <c r="I118" s="1664" t="inlineStr">
        <is>
          <t>FILING CABINET 18%</t>
        </is>
      </c>
      <c r="J118" s="320" t="n">
        <v>83040000</v>
      </c>
      <c r="K118" s="1759" t="n"/>
      <c r="L118" s="1759">
        <f>+K118*0.09</f>
        <v/>
      </c>
      <c r="M118" s="1759">
        <f>+L118</f>
        <v/>
      </c>
      <c r="N118" s="1810" t="n">
        <v>0</v>
      </c>
    </row>
    <row r="119" ht="21.75" customFormat="1" customHeight="1" s="287" thickBot="1">
      <c r="A119" s="318" t="n"/>
      <c r="B119" s="1015" t="n"/>
      <c r="C119" s="1015" t="n"/>
      <c r="D119" s="1015" t="n"/>
      <c r="E119" s="1015" t="n"/>
      <c r="F119" s="1015" t="n"/>
      <c r="G119" s="1015" t="n"/>
      <c r="H119" s="960" t="n"/>
      <c r="I119" s="1664" t="inlineStr">
        <is>
          <t>AIR CONDTIONER MACHINE 28%</t>
        </is>
      </c>
      <c r="J119" s="413" t="n">
        <v>84151010</v>
      </c>
      <c r="K119" s="1805" t="n"/>
      <c r="L119" s="1805">
        <f>+K119*0.14</f>
        <v/>
      </c>
      <c r="M119" s="1805">
        <f>+L119</f>
        <v/>
      </c>
      <c r="N119" s="1806" t="n">
        <v>0</v>
      </c>
      <c r="P119" s="1194" t="n"/>
      <c r="Q119" s="1194" t="n"/>
    </row>
    <row r="120" ht="21.75" customFormat="1" customHeight="1" s="287" thickBot="1">
      <c r="A120" s="318" t="n"/>
      <c r="B120" s="961" t="n"/>
      <c r="C120" s="961" t="n"/>
      <c r="D120" s="961" t="n"/>
      <c r="E120" s="961" t="n"/>
      <c r="F120" s="961" t="n"/>
      <c r="G120" s="961" t="n"/>
      <c r="H120" s="164" t="n"/>
      <c r="I120" s="1664" t="n"/>
      <c r="J120" s="1812" t="inlineStr">
        <is>
          <t>TOTAL</t>
        </is>
      </c>
      <c r="K120" s="1813">
        <f>SUM(K111:K119)</f>
        <v/>
      </c>
      <c r="L120" s="1813">
        <f>SUM(L111:L119)</f>
        <v/>
      </c>
      <c r="M120" s="1813">
        <f>SUM(M111:M119)</f>
        <v/>
      </c>
      <c r="N120" s="1813">
        <f>SUM(N111:N119)</f>
        <v/>
      </c>
      <c r="O120" s="1759" t="n"/>
      <c r="P120" s="1759" t="n"/>
      <c r="Q120" s="1759" t="n"/>
      <c r="R120" s="1403" t="n"/>
    </row>
    <row r="121" ht="16.5" customFormat="1" customHeight="1" s="287">
      <c r="A121" s="318" t="n"/>
      <c r="B121" s="961" t="n"/>
      <c r="C121" s="961" t="n"/>
      <c r="D121" s="961" t="n"/>
      <c r="E121" s="961" t="n"/>
      <c r="F121" s="961" t="n"/>
      <c r="G121" s="961" t="n"/>
      <c r="H121" s="164" t="n"/>
      <c r="I121" s="1664" t="n"/>
      <c r="J121" s="1814" t="inlineStr">
        <is>
          <t>REGISTERED PARTIES DETAILS</t>
        </is>
      </c>
      <c r="K121" s="1815" t="n"/>
      <c r="L121" s="1815" t="n"/>
      <c r="M121" s="1815" t="n"/>
      <c r="N121" s="1816" t="n"/>
      <c r="O121" s="1772" t="inlineStr">
        <is>
          <t>DIFFERENCE</t>
        </is>
      </c>
      <c r="P121" s="1782" t="n"/>
    </row>
    <row r="122" ht="34.9" customFormat="1" customHeight="1" s="287" thickBot="1">
      <c r="A122" s="318" t="n"/>
      <c r="B122" s="961" t="n"/>
      <c r="C122" s="961" t="n"/>
      <c r="D122" s="961" t="n"/>
      <c r="E122" s="961" t="n"/>
      <c r="F122" s="961" t="n"/>
      <c r="G122" s="961" t="n"/>
      <c r="H122" s="164" t="n"/>
      <c r="I122" s="176" t="n"/>
      <c r="J122" s="1817" t="inlineStr">
        <is>
          <t>PARTICULARS</t>
        </is>
      </c>
      <c r="K122" s="1818" t="inlineStr">
        <is>
          <t>INCOME</t>
        </is>
      </c>
      <c r="L122" s="1818" t="inlineStr">
        <is>
          <t>CGST</t>
        </is>
      </c>
      <c r="M122" s="1818" t="inlineStr">
        <is>
          <t>SGST</t>
        </is>
      </c>
      <c r="N122" s="1819" t="inlineStr">
        <is>
          <t>IGST</t>
        </is>
      </c>
      <c r="O122" s="1772" t="n"/>
      <c r="P122" s="1782" t="n"/>
      <c r="S122" s="681" t="n"/>
      <c r="T122" s="681" t="n"/>
      <c r="U122" s="681" t="n"/>
    </row>
    <row r="123" ht="23.25" customFormat="1" customHeight="1" s="287">
      <c r="A123" s="318" t="n"/>
      <c r="B123" s="449" t="n"/>
      <c r="C123" s="449" t="n"/>
      <c r="D123" s="449" t="n"/>
      <c r="E123" s="449" t="n"/>
      <c r="F123" s="449" t="n"/>
      <c r="G123" s="449" t="n"/>
      <c r="H123" s="164" t="n"/>
      <c r="I123" s="176" t="n"/>
      <c r="J123" s="1820" t="inlineStr">
        <is>
          <t>GJ</t>
        </is>
      </c>
      <c r="K123" s="1821">
        <f>1362691.16+93750</f>
        <v/>
      </c>
      <c r="L123" s="1821">
        <f>122641.79+8437.5</f>
        <v/>
      </c>
      <c r="M123" s="1821">
        <f>122641.79+8437.5</f>
        <v/>
      </c>
      <c r="N123" s="1821" t="n">
        <v>0</v>
      </c>
      <c r="O123" s="1759">
        <f>+(L123+M123+N123)/K123*100</f>
        <v/>
      </c>
      <c r="P123" s="1782" t="n"/>
      <c r="Q123" s="1759" t="n"/>
      <c r="R123" s="1759" t="n"/>
      <c r="S123" s="1664" t="n"/>
      <c r="T123" s="1664" t="n"/>
      <c r="U123" s="1664" t="n"/>
    </row>
    <row r="124" ht="36.75" customFormat="1" customHeight="1" s="287" thickBot="1">
      <c r="A124" s="318" t="n"/>
      <c r="B124" s="283" t="n"/>
      <c r="C124" s="283" t="n"/>
      <c r="D124" s="283" t="n"/>
      <c r="E124" s="283" t="n"/>
      <c r="F124" s="263" t="n"/>
      <c r="G124" s="1663" t="n"/>
      <c r="H124" s="164" t="n"/>
      <c r="I124" s="176" t="n"/>
      <c r="J124" s="770" t="inlineStr">
        <is>
          <t>DEMAT</t>
        </is>
      </c>
      <c r="K124" s="1821">
        <f>91554.38+66682.6</f>
        <v/>
      </c>
      <c r="L124" s="1821" t="n">
        <v>505.46</v>
      </c>
      <c r="M124" s="1821">
        <f>+L124</f>
        <v/>
      </c>
      <c r="N124" s="1822">
        <f>15468.87+12002.87</f>
        <v/>
      </c>
      <c r="O124" s="1759">
        <f>+(L124+M124+N124)/K124*100</f>
        <v/>
      </c>
      <c r="P124" s="1782" t="n"/>
      <c r="Q124" s="1759" t="n"/>
      <c r="R124" s="1759" t="n"/>
      <c r="S124" s="1664" t="n"/>
      <c r="T124" s="1664" t="n"/>
      <c r="U124" s="1664" t="n"/>
    </row>
    <row r="125" ht="23.25" customFormat="1" customHeight="1" s="287" thickBot="1">
      <c r="A125" s="318" t="n"/>
      <c r="B125" s="1800" t="n"/>
      <c r="C125" s="1823" t="inlineStr">
        <is>
          <t>PAYABLE</t>
        </is>
      </c>
      <c r="D125" s="1558" t="n"/>
      <c r="E125" s="1559" t="n"/>
      <c r="F125" s="962" t="n"/>
      <c r="G125" s="962" t="n"/>
      <c r="H125" s="922" t="n"/>
      <c r="I125" s="176" t="n"/>
      <c r="J125" s="770" t="inlineStr">
        <is>
          <t>BILL DESK COMMISSION</t>
        </is>
      </c>
      <c r="K125" s="1822" t="n"/>
      <c r="L125" s="1822" t="n">
        <v>0</v>
      </c>
      <c r="M125" s="1821">
        <f>+L125</f>
        <v/>
      </c>
      <c r="N125" s="1821" t="n">
        <v>0</v>
      </c>
      <c r="O125" s="1759">
        <f>+(L125+M125+N125)/K125*100</f>
        <v/>
      </c>
      <c r="P125" s="1782" t="n"/>
      <c r="Q125" s="1759" t="n"/>
      <c r="R125" s="1759" t="n"/>
      <c r="S125" s="1664" t="n"/>
      <c r="T125" s="1664" t="n"/>
      <c r="U125" s="1664" t="n"/>
    </row>
    <row r="126" ht="16.5" customFormat="1" customHeight="1" s="287" thickBot="1">
      <c r="A126" s="318" t="n"/>
      <c r="B126" s="283" t="n"/>
      <c r="C126" s="686" t="inlineStr">
        <is>
          <t>CGST (1879)</t>
        </is>
      </c>
      <c r="D126" s="686" t="inlineStr">
        <is>
          <t>SGST (1878)</t>
        </is>
      </c>
      <c r="E126" s="686" t="inlineStr">
        <is>
          <t>IGST (1880)</t>
        </is>
      </c>
      <c r="F126" s="962" t="n"/>
      <c r="G126" s="962" t="n"/>
      <c r="H126" s="922" t="n"/>
      <c r="I126" s="176" t="n"/>
      <c r="J126" s="770" t="inlineStr">
        <is>
          <t>IMPS</t>
        </is>
      </c>
      <c r="K126" s="1822" t="n">
        <v>7782.12</v>
      </c>
      <c r="L126" s="1822" t="n">
        <v>51.8</v>
      </c>
      <c r="M126" s="1821">
        <f>+L126</f>
        <v/>
      </c>
      <c r="N126" s="1821" t="n">
        <v>1297.17</v>
      </c>
      <c r="O126" s="1759">
        <f>+(L126+M126+N126)/K126*100</f>
        <v/>
      </c>
      <c r="P126" s="1782" t="n"/>
      <c r="Q126" s="1759" t="n"/>
      <c r="R126" s="1759" t="n"/>
      <c r="S126" s="1664" t="n"/>
      <c r="T126" s="1664" t="n"/>
      <c r="U126" s="1664" t="n"/>
    </row>
    <row r="127" ht="15.75" customFormat="1" customHeight="1" s="287">
      <c r="A127" s="318" t="n"/>
      <c r="B127" s="595" t="inlineStr">
        <is>
          <t>OTHER BRANCHES-GL</t>
        </is>
      </c>
      <c r="C127" s="1189" t="n">
        <v>461281.62</v>
      </c>
      <c r="D127" s="1824" t="n">
        <v>461284.62</v>
      </c>
      <c r="E127" s="1667" t="n">
        <v>15182.03</v>
      </c>
      <c r="F127" s="1105" t="n"/>
      <c r="G127" s="1105" t="n"/>
      <c r="H127" s="962" t="n"/>
      <c r="I127" s="176" t="n"/>
      <c r="J127" s="770" t="inlineStr">
        <is>
          <t>MMS</t>
        </is>
      </c>
      <c r="K127" s="1822" t="n">
        <v>2010</v>
      </c>
      <c r="L127" s="1821" t="n">
        <v>3.6</v>
      </c>
      <c r="M127" s="1821">
        <f>+L127</f>
        <v/>
      </c>
      <c r="N127" s="1821" t="n">
        <v>354.6</v>
      </c>
      <c r="O127" s="1759">
        <f>+(L127+M127+N127)/K127*100</f>
        <v/>
      </c>
      <c r="P127" s="1782" t="n"/>
      <c r="Q127" s="1759" t="n"/>
      <c r="R127" s="1759" t="n"/>
      <c r="S127" s="1664" t="n"/>
      <c r="T127" s="1664" t="n"/>
      <c r="U127" s="1664" t="n"/>
    </row>
    <row r="128" ht="15.75" customFormat="1" customHeight="1" s="287">
      <c r="A128" s="1825" t="n"/>
      <c r="B128" s="595" t="inlineStr">
        <is>
          <t>DEMAT-GL</t>
        </is>
      </c>
      <c r="C128" s="1667" t="n">
        <v>21673.88</v>
      </c>
      <c r="D128" s="1667" t="n">
        <v>21673.88</v>
      </c>
      <c r="E128" s="1667" t="n">
        <v>15516.83</v>
      </c>
      <c r="F128" s="1105" t="n"/>
      <c r="G128" s="1105" t="n"/>
      <c r="H128" s="962" t="n"/>
      <c r="I128" s="176" t="n"/>
      <c r="J128" s="770" t="inlineStr">
        <is>
          <t>NACH</t>
        </is>
      </c>
      <c r="K128" s="1822" t="n">
        <v>17029.5</v>
      </c>
      <c r="L128" s="1822" t="n">
        <v>8.94</v>
      </c>
      <c r="M128" s="1821">
        <f>+L128</f>
        <v/>
      </c>
      <c r="N128" s="1821" t="n">
        <v>3047.745</v>
      </c>
      <c r="O128" s="1759">
        <f>+(L128+M128+N128)/K128*100</f>
        <v/>
      </c>
      <c r="P128" s="1782" t="n"/>
      <c r="Q128" s="1759" t="n"/>
      <c r="R128" s="1759" t="n"/>
      <c r="S128" s="1664" t="n"/>
      <c r="T128" s="1664" t="n"/>
      <c r="U128" s="1664" t="n"/>
    </row>
    <row r="129" ht="15.75" customFormat="1" customHeight="1" s="287">
      <c r="A129" s="283" t="n"/>
      <c r="B129" s="595" t="inlineStr">
        <is>
          <t>TOTAL-GL</t>
        </is>
      </c>
      <c r="C129" s="1667">
        <f>+C127+C128</f>
        <v/>
      </c>
      <c r="D129" s="1667">
        <f>SUM(D127:D128)</f>
        <v/>
      </c>
      <c r="E129" s="1667">
        <f>SUM(E127:E128)</f>
        <v/>
      </c>
      <c r="F129" s="1105" t="n"/>
      <c r="G129" s="1105" t="n"/>
      <c r="H129" s="962" t="n"/>
      <c r="I129" s="176" t="n"/>
      <c r="J129" s="770" t="inlineStr">
        <is>
          <t>NEFT INCOME</t>
        </is>
      </c>
      <c r="K129" s="1822" t="n"/>
      <c r="L129" s="1822" t="n"/>
      <c r="M129" s="1821">
        <f>+L129</f>
        <v/>
      </c>
      <c r="N129" s="1821" t="n"/>
      <c r="O129" s="1759">
        <f>+(L129+M129+N129)/K129*100</f>
        <v/>
      </c>
      <c r="P129" s="1782" t="n"/>
      <c r="Q129" s="1759" t="n"/>
      <c r="R129" s="1759" t="n"/>
      <c r="S129" s="1664" t="n"/>
      <c r="T129" s="1664" t="n"/>
      <c r="U129" s="1664" t="n"/>
    </row>
    <row r="130" ht="15.75" customFormat="1" customHeight="1" s="287">
      <c r="A130" s="283" t="n"/>
      <c r="B130" s="595" t="n"/>
      <c r="C130" s="1667" t="n"/>
      <c r="D130" s="1667" t="n"/>
      <c r="E130" s="1667" t="n"/>
      <c r="F130" s="1105" t="n"/>
      <c r="G130" s="1105" t="n"/>
      <c r="H130" s="962" t="n"/>
      <c r="I130" s="176" t="n"/>
      <c r="J130" s="770" t="inlineStr">
        <is>
          <t>MEITY INCENTIVE</t>
        </is>
      </c>
      <c r="K130" s="1822" t="n"/>
      <c r="L130" s="1822" t="n"/>
      <c r="M130" s="1821">
        <f>+L130</f>
        <v/>
      </c>
      <c r="N130" s="1821" t="n"/>
      <c r="O130" s="1759">
        <f>+(L130+M130+N130)/K130*100</f>
        <v/>
      </c>
      <c r="P130" s="1782" t="n"/>
      <c r="Q130" s="1759" t="n"/>
      <c r="R130" s="1759" t="n"/>
      <c r="S130" s="1664" t="n"/>
      <c r="T130" s="1664" t="n"/>
      <c r="U130" s="1664" t="n"/>
    </row>
    <row r="131" ht="33" customFormat="1" customHeight="1" s="287" thickBot="1">
      <c r="A131" s="283" t="n"/>
      <c r="B131" s="595" t="inlineStr">
        <is>
          <t>PAYABLE AS PER BRNACH WISE CALCULATION (LEDGER)</t>
        </is>
      </c>
      <c r="C131" s="1826">
        <f>+E31</f>
        <v/>
      </c>
      <c r="D131" s="1826">
        <f>+D31</f>
        <v/>
      </c>
      <c r="E131" s="1826">
        <f>+F31</f>
        <v/>
      </c>
      <c r="F131" s="1105" t="n"/>
      <c r="G131" s="1105" t="n"/>
      <c r="H131" s="962" t="n"/>
      <c r="I131" s="176" t="n"/>
      <c r="J131" s="997" t="inlineStr">
        <is>
          <t>SEZ INVOICE</t>
        </is>
      </c>
      <c r="K131" s="1827">
        <f>+M150</f>
        <v/>
      </c>
      <c r="L131" s="1822" t="n">
        <v>0</v>
      </c>
      <c r="M131" s="1821">
        <f>+L131</f>
        <v/>
      </c>
      <c r="N131" s="1828">
        <f>+P150</f>
        <v/>
      </c>
      <c r="O131" s="1772" t="n">
        <v>0</v>
      </c>
      <c r="P131" s="1782" t="n"/>
      <c r="Q131" s="1759" t="n"/>
      <c r="R131" s="1759" t="n"/>
      <c r="S131" s="1716" t="n"/>
      <c r="T131" s="1716" t="n"/>
      <c r="U131" s="1716" t="n"/>
      <c r="V131" s="1393" t="n"/>
    </row>
    <row r="132" ht="16.5" customFormat="1" customHeight="1" s="287" thickBot="1">
      <c r="A132" s="283" t="n"/>
      <c r="B132" s="595" t="inlineStr">
        <is>
          <t>DIFFERENCE</t>
        </is>
      </c>
      <c r="C132" s="1829">
        <f>+C129-C131</f>
        <v/>
      </c>
      <c r="D132" s="1829">
        <f>+D129-D131</f>
        <v/>
      </c>
      <c r="E132" s="1829">
        <f>+E129-E131</f>
        <v/>
      </c>
      <c r="F132" s="922" t="n"/>
      <c r="G132" s="922" t="n"/>
      <c r="H132" s="922" t="n"/>
      <c r="I132" s="176" t="n"/>
      <c r="J132" s="770" t="inlineStr">
        <is>
          <t>UPI</t>
        </is>
      </c>
      <c r="K132" s="1822" t="n">
        <v>65430.28</v>
      </c>
      <c r="L132" s="1822" t="n">
        <v>1012.96</v>
      </c>
      <c r="M132" s="1821">
        <f>+L132</f>
        <v/>
      </c>
      <c r="N132" s="1821" t="n">
        <v>9752.08</v>
      </c>
      <c r="O132" s="1759">
        <f>+(L132+M132+N132)/K132*100</f>
        <v/>
      </c>
      <c r="P132" s="1782" t="n"/>
      <c r="Q132" s="1759" t="n"/>
      <c r="R132" s="1759" t="n"/>
      <c r="S132" s="1716" t="n"/>
      <c r="T132" s="1716" t="n"/>
      <c r="U132" s="1716" t="n"/>
    </row>
    <row r="133" ht="16.5" customFormat="1" customHeight="1" s="287">
      <c r="A133" s="283" t="n"/>
      <c r="B133" s="283" t="n"/>
      <c r="C133" s="1830" t="n"/>
      <c r="D133" s="1830" t="n"/>
      <c r="E133" s="1830" t="n"/>
      <c r="F133" s="921" t="n"/>
      <c r="G133" s="921" t="n"/>
      <c r="H133" s="921" t="n"/>
      <c r="I133" s="176" t="n"/>
      <c r="J133" s="997" t="inlineStr">
        <is>
          <t>CREDIT NOTE B2B</t>
        </is>
      </c>
      <c r="K133" s="1827" t="n">
        <v>0</v>
      </c>
      <c r="L133" s="1831">
        <f>-N143</f>
        <v/>
      </c>
      <c r="M133" s="1827">
        <f>+L133</f>
        <v/>
      </c>
      <c r="N133" s="1831" t="n"/>
      <c r="O133" s="758">
        <f>+(L133+M133+N133)/K133*100</f>
        <v/>
      </c>
      <c r="P133" s="1782" t="n"/>
      <c r="Q133" s="1759" t="n"/>
      <c r="R133" s="1759" t="n"/>
      <c r="S133" s="1664" t="n"/>
      <c r="T133" s="1664" t="n"/>
      <c r="U133" s="1664" t="n"/>
    </row>
    <row r="134" ht="19.5" customHeight="1" thickBot="1">
      <c r="A134" s="283" t="n"/>
      <c r="B134" s="283" t="n"/>
      <c r="C134" s="1010" t="n"/>
      <c r="D134" s="1007" t="n"/>
      <c r="E134" s="1008" t="n"/>
      <c r="F134" s="1832" t="n"/>
      <c r="G134" s="1832" t="n"/>
      <c r="H134" s="1832" t="n"/>
      <c r="I134" s="1663" t="n"/>
      <c r="J134" s="446" t="inlineStr">
        <is>
          <t>GRAND TOTAL</t>
        </is>
      </c>
      <c r="K134" s="1833">
        <f>+SUM(K123:K133)</f>
        <v/>
      </c>
      <c r="L134" s="1833">
        <f>+SUM(L123:L133)</f>
        <v/>
      </c>
      <c r="M134" s="1833">
        <f>+SUM(M123:M133)</f>
        <v/>
      </c>
      <c r="N134" s="1833">
        <f>+SUM(N123:N133)</f>
        <v/>
      </c>
      <c r="O134" s="1759">
        <f>+(L134+M134+N134)/K134*100</f>
        <v/>
      </c>
      <c r="P134" s="1782" t="n"/>
      <c r="Q134" s="1759" t="n"/>
      <c r="R134" s="1759" t="n"/>
      <c r="S134" s="1664" t="n"/>
      <c r="T134" s="1664" t="n"/>
      <c r="U134" s="1664" t="n"/>
    </row>
    <row r="135" ht="16.5" customHeight="1" thickBot="1">
      <c r="A135" s="283" t="n"/>
      <c r="B135" s="283" t="n"/>
      <c r="C135" s="1823" t="inlineStr">
        <is>
          <t>RECEIVABLE</t>
        </is>
      </c>
      <c r="D135" s="1558" t="n"/>
      <c r="E135" s="1559" t="n"/>
      <c r="F135" s="1832" t="n"/>
      <c r="G135" s="1832" t="n"/>
      <c r="H135" s="1832" t="n"/>
      <c r="I135" s="1834" t="n"/>
      <c r="J135" s="287" t="n"/>
      <c r="K135" s="1118" t="n"/>
      <c r="L135" s="574" t="n"/>
      <c r="M135" s="574" t="n"/>
      <c r="N135" s="574" t="n"/>
      <c r="O135" s="1834" t="n"/>
      <c r="P135" s="1834" t="n"/>
      <c r="Q135" s="287" t="n"/>
      <c r="R135" s="287" t="n"/>
      <c r="S135" s="1712" t="n"/>
      <c r="T135" s="1712" t="n"/>
      <c r="U135" s="1712" t="n"/>
    </row>
    <row r="136" ht="16.5" customHeight="1" thickBot="1">
      <c r="A136" s="283" t="n"/>
      <c r="B136" s="283" t="n"/>
      <c r="C136" s="1381" t="n"/>
      <c r="D136" s="1382" t="n"/>
      <c r="E136" s="1383" t="n"/>
      <c r="F136" s="1832" t="n"/>
      <c r="G136" s="1832" t="n"/>
      <c r="H136" s="1832" t="n"/>
      <c r="I136" s="1834" t="n"/>
      <c r="J136" s="1835" t="inlineStr">
        <is>
          <t>Note-1: Need to be ammendment on Oct-25 bill B2C minus the OCT-25 month and B2B add in this month, The aagam Inspat</t>
        </is>
      </c>
      <c r="K136" s="1042" t="n"/>
      <c r="L136" s="1042" t="n"/>
      <c r="M136" s="1042" t="n"/>
      <c r="N136" s="1508" t="n"/>
      <c r="O136" s="1834" t="n"/>
      <c r="P136" s="1834" t="n"/>
      <c r="Q136" s="287" t="n"/>
      <c r="R136" s="287" t="n"/>
      <c r="S136" s="1712" t="n"/>
      <c r="T136" s="1712" t="n"/>
      <c r="U136" s="1712" t="n"/>
    </row>
    <row r="137" ht="16.5" customHeight="1" thickBot="1">
      <c r="A137" s="283" t="n"/>
      <c r="B137" s="283" t="n"/>
      <c r="C137" s="1381" t="n"/>
      <c r="D137" s="1382" t="n"/>
      <c r="E137" s="1383" t="n"/>
      <c r="F137" s="1832" t="n"/>
      <c r="G137" s="1832" t="n"/>
      <c r="H137" s="1832" t="n"/>
      <c r="I137" s="1834" t="n"/>
      <c r="J137" s="287" t="n"/>
      <c r="K137" s="1118" t="n"/>
      <c r="L137" s="574" t="n"/>
      <c r="M137" s="574" t="n"/>
      <c r="N137" s="574" t="n"/>
      <c r="O137" s="1834" t="n"/>
      <c r="P137" s="1834" t="n"/>
      <c r="Q137" s="287" t="n"/>
      <c r="R137" s="287" t="n"/>
      <c r="S137" s="1712" t="n"/>
      <c r="T137" s="1712" t="n"/>
      <c r="U137" s="1712" t="n"/>
    </row>
    <row r="138" ht="16.5" customHeight="1" thickBot="1">
      <c r="A138" s="283" t="n"/>
      <c r="B138" s="283" t="n"/>
      <c r="C138" s="1381" t="n"/>
      <c r="D138" s="1382" t="n"/>
      <c r="E138" s="1383" t="n"/>
      <c r="F138" s="1832" t="n"/>
      <c r="G138" s="1832" t="n"/>
      <c r="H138" s="1832" t="n"/>
      <c r="I138" s="1834" t="n"/>
      <c r="J138" s="1835" t="inlineStr">
        <is>
          <t>Note-1: Need to be ammendment on March-26 bill B2C minus in this month and B2B add in this month, The Vikram Solar limited</t>
        </is>
      </c>
      <c r="K138" s="1042" t="n"/>
      <c r="L138" s="1042" t="n"/>
      <c r="M138" s="1042" t="n"/>
      <c r="N138" s="1508" t="n"/>
      <c r="O138" s="1834" t="n"/>
      <c r="P138" s="1834" t="n"/>
      <c r="Q138" s="287" t="n"/>
      <c r="R138" s="287" t="n"/>
      <c r="S138" s="1712" t="n"/>
      <c r="T138" s="1712" t="n"/>
      <c r="U138" s="1712" t="n"/>
    </row>
    <row r="139" ht="15.75" customHeight="1" thickBot="1">
      <c r="A139" s="283" t="n"/>
      <c r="C139" s="686" t="inlineStr">
        <is>
          <t>CGST (8547)</t>
        </is>
      </c>
      <c r="D139" s="686" t="inlineStr">
        <is>
          <t>SGST (8546)</t>
        </is>
      </c>
      <c r="E139" s="686" t="inlineStr">
        <is>
          <t>IGST (8548)</t>
        </is>
      </c>
      <c r="F139" s="1836" t="n"/>
      <c r="G139" s="1832" t="n"/>
      <c r="H139" s="1832" t="n"/>
      <c r="I139" s="1834" t="inlineStr">
        <is>
          <t xml:space="preserve"> </t>
        </is>
      </c>
      <c r="J139" s="287" t="inlineStr">
        <is>
          <t xml:space="preserve"> </t>
        </is>
      </c>
      <c r="K139" s="1837" t="n"/>
      <c r="L139" s="1837" t="n"/>
      <c r="M139" s="1837" t="n"/>
      <c r="N139" s="1837" t="n"/>
      <c r="O139" s="1834" t="n"/>
      <c r="P139" s="1834" t="n"/>
      <c r="R139" s="287" t="n"/>
      <c r="S139" s="1712" t="n"/>
      <c r="T139" s="1712" t="n"/>
      <c r="U139" s="1712" t="n"/>
    </row>
    <row r="140" ht="15.75" customHeight="1" thickBot="1">
      <c r="A140" s="283" t="n"/>
      <c r="B140" s="595" t="inlineStr">
        <is>
          <t>OTHER BRANCHES-GL</t>
        </is>
      </c>
      <c r="C140" s="1667" t="n">
        <v>532895.35</v>
      </c>
      <c r="D140" s="1667" t="n">
        <v>532945.66</v>
      </c>
      <c r="E140" s="1667" t="n">
        <v>461007.65</v>
      </c>
      <c r="F140" s="1838" t="n"/>
      <c r="G140" s="1838" t="n"/>
      <c r="H140" s="1832" t="n"/>
      <c r="I140" s="1834" t="n"/>
      <c r="J140" s="287" t="n"/>
      <c r="K140" s="1837" t="n"/>
      <c r="L140" s="574" t="n"/>
      <c r="M140" s="574" t="n"/>
      <c r="N140" s="574" t="n"/>
      <c r="O140" s="1834" t="n"/>
      <c r="P140" s="1834" t="n"/>
    </row>
    <row r="141" ht="18.75" customHeight="1" thickBot="1">
      <c r="A141" s="283" t="n"/>
      <c r="B141" s="595" t="inlineStr">
        <is>
          <t>DEMAT-GL</t>
        </is>
      </c>
      <c r="C141" s="1667" t="n">
        <v>47.48</v>
      </c>
      <c r="D141" s="1667" t="n">
        <v>47.48</v>
      </c>
      <c r="E141" s="1667" t="n">
        <v>5066.15</v>
      </c>
      <c r="F141" s="1838" t="n"/>
      <c r="G141" s="1838" t="n"/>
      <c r="H141" s="1832" t="n"/>
      <c r="I141" s="1839" t="inlineStr">
        <is>
          <t>B2B CREDIT NOTE</t>
        </is>
      </c>
      <c r="J141" s="1558" t="n"/>
      <c r="K141" s="1558" t="n"/>
      <c r="L141" s="1558" t="n"/>
      <c r="M141" s="1558" t="n"/>
      <c r="N141" s="1558" t="n"/>
      <c r="O141" s="1558" t="n"/>
      <c r="P141" s="1558" t="n"/>
      <c r="Q141" s="1559" t="n"/>
    </row>
    <row r="142" ht="15.75" customHeight="1">
      <c r="A142" s="283" t="n"/>
      <c r="B142" s="595" t="inlineStr">
        <is>
          <t>TOTAL-GL</t>
        </is>
      </c>
      <c r="C142" s="1667">
        <f>SUM(C140:C141)</f>
        <v/>
      </c>
      <c r="D142" s="1667">
        <f>SUM(D140:D141)</f>
        <v/>
      </c>
      <c r="E142" s="1667">
        <f>SUM(E140:E141)</f>
        <v/>
      </c>
      <c r="F142" s="1838" t="n"/>
      <c r="G142" s="1838" t="n"/>
      <c r="H142" s="1832" t="n"/>
      <c r="I142" s="1840" t="inlineStr">
        <is>
          <t>DATE</t>
        </is>
      </c>
      <c r="J142" s="854" t="inlineStr">
        <is>
          <t>GST NO</t>
        </is>
      </c>
      <c r="K142" s="855" t="inlineStr">
        <is>
          <t>PARTY NAME</t>
        </is>
      </c>
      <c r="L142" s="1841" t="inlineStr">
        <is>
          <t>INVOICE NO</t>
        </is>
      </c>
      <c r="M142" s="857" t="inlineStr">
        <is>
          <t>TAXABLE</t>
        </is>
      </c>
      <c r="N142" s="857" t="inlineStr">
        <is>
          <t>CGST</t>
        </is>
      </c>
      <c r="O142" s="858" t="inlineStr">
        <is>
          <t>SGST</t>
        </is>
      </c>
      <c r="P142" s="858" t="inlineStr">
        <is>
          <t>IGST</t>
        </is>
      </c>
      <c r="Q142" s="859" t="inlineStr">
        <is>
          <t>TOTAL</t>
        </is>
      </c>
    </row>
    <row r="143" ht="16.5" customHeight="1">
      <c r="A143" s="283" t="n"/>
      <c r="B143" s="595" t="inlineStr">
        <is>
          <t>RECEIVABLE AS PER LEDGER</t>
        </is>
      </c>
      <c r="C143" s="1047">
        <f>+E53</f>
        <v/>
      </c>
      <c r="D143" s="1047">
        <f>+D53</f>
        <v/>
      </c>
      <c r="E143" s="1047">
        <f>+F53</f>
        <v/>
      </c>
      <c r="F143" s="1838" t="n"/>
      <c r="G143" s="1838" t="n"/>
      <c r="H143" s="1842" t="n"/>
      <c r="I143" s="926" t="n"/>
      <c r="J143" s="770" t="n"/>
      <c r="K143" s="770" t="n"/>
      <c r="L143" s="770" t="n"/>
      <c r="M143" s="929" t="n"/>
      <c r="N143" s="770" t="n"/>
      <c r="O143" s="869" t="n"/>
      <c r="P143" s="927" t="n">
        <v>0</v>
      </c>
      <c r="Q143" s="928">
        <f>+M143+N143+O143+P143</f>
        <v/>
      </c>
    </row>
    <row r="144" ht="16.5" customHeight="1" thickBot="1">
      <c r="A144" s="283" t="n"/>
      <c r="B144" s="595" t="n"/>
      <c r="C144" s="1047" t="n"/>
      <c r="D144" s="1047" t="n"/>
      <c r="E144" s="1047" t="n"/>
      <c r="F144" s="1838" t="n"/>
      <c r="G144" s="1838" t="n"/>
      <c r="H144" s="1842" t="n"/>
      <c r="I144" s="865" t="n"/>
      <c r="J144" s="604" t="n"/>
      <c r="K144" s="770" t="n"/>
      <c r="L144" s="1843" t="n"/>
      <c r="M144" s="853" t="n"/>
      <c r="N144" s="770" t="n"/>
      <c r="O144" s="869" t="n"/>
      <c r="P144" s="446" t="n"/>
      <c r="Q144" s="806" t="n"/>
    </row>
    <row r="145" ht="16.5" customHeight="1" thickBot="1">
      <c r="A145" s="283" t="n"/>
      <c r="B145" s="595" t="inlineStr">
        <is>
          <t>DIFFERENCE</t>
        </is>
      </c>
      <c r="C145" s="1844">
        <f>+C142-C143</f>
        <v/>
      </c>
      <c r="D145" s="1844">
        <f>+D142-D143</f>
        <v/>
      </c>
      <c r="E145" s="1844">
        <f>+E142-E143</f>
        <v/>
      </c>
      <c r="F145" s="1024" t="n"/>
      <c r="G145" s="1845" t="n"/>
      <c r="H145" s="1842" t="n"/>
      <c r="I145" s="865" t="n"/>
      <c r="J145" s="604" t="n"/>
      <c r="K145" s="852" t="n"/>
      <c r="L145" s="1843" t="n"/>
      <c r="M145" s="770" t="n"/>
      <c r="N145" s="770" t="n"/>
      <c r="O145" s="869" t="n"/>
      <c r="P145" s="556" t="n"/>
      <c r="Q145" s="806" t="n"/>
    </row>
    <row r="146" ht="16.5" customHeight="1">
      <c r="A146" s="283" t="n"/>
      <c r="B146" s="595" t="n"/>
      <c r="C146" s="1846" t="n"/>
      <c r="D146" s="1846" t="n"/>
      <c r="E146" s="1846" t="n"/>
      <c r="F146" s="1024" t="n"/>
      <c r="G146" s="1845" t="n"/>
      <c r="H146" s="1842" t="n"/>
      <c r="I146" s="1108" t="n"/>
      <c r="J146" s="1109" t="n"/>
      <c r="K146" s="1110" t="n"/>
      <c r="L146" s="1847" t="n"/>
      <c r="M146" s="1112" t="n"/>
      <c r="N146" s="1112" t="n"/>
      <c r="O146" s="1113" t="n"/>
      <c r="P146" s="1114" t="n"/>
      <c r="Q146" s="1115" t="n"/>
    </row>
    <row r="147" ht="15.75" customHeight="1" thickBot="1">
      <c r="A147" s="324" t="n"/>
      <c r="B147" s="1065" t="inlineStr">
        <is>
          <t>Vasna Branch FA entry pending from Branch side, so diff coming</t>
        </is>
      </c>
      <c r="C147" s="1024" t="n">
        <v>125632.42</v>
      </c>
      <c r="D147" s="1024" t="n">
        <v>125632.42</v>
      </c>
      <c r="E147" s="1848" t="n"/>
      <c r="F147" s="1024" t="n"/>
      <c r="I147" s="1849" t="n"/>
      <c r="J147" s="860" t="n"/>
      <c r="K147" s="861" t="n"/>
      <c r="L147" s="862" t="n"/>
      <c r="M147" s="1850" t="n"/>
      <c r="N147" s="1850" t="n"/>
      <c r="O147" s="1850" t="n"/>
      <c r="P147" s="1850" t="n"/>
      <c r="Q147" s="1851">
        <f>+M147+N147+O147+P147</f>
        <v/>
      </c>
    </row>
    <row r="148" ht="16.5" customHeight="1">
      <c r="A148" s="325" t="n"/>
      <c r="B148" s="1852" t="n"/>
      <c r="C148" s="1848" t="n"/>
      <c r="D148" s="1848" t="n"/>
      <c r="E148" s="914" t="n"/>
      <c r="I148" s="582" t="n"/>
      <c r="J148" s="1384" t="inlineStr">
        <is>
          <t>SEZ INVOICE</t>
        </is>
      </c>
      <c r="K148" s="1815" t="n"/>
      <c r="L148" s="1815" t="n"/>
      <c r="M148" s="1815" t="n"/>
      <c r="N148" s="1815" t="n"/>
      <c r="O148" s="1815" t="n"/>
      <c r="P148" s="1815" t="n"/>
      <c r="Q148" s="1692" t="n"/>
    </row>
    <row r="149" ht="23.25" customHeight="1">
      <c r="A149" s="325" t="n"/>
      <c r="C149" s="914" t="n"/>
      <c r="D149" s="914" t="n"/>
      <c r="E149" s="914" t="n"/>
      <c r="F149" s="781" t="n"/>
      <c r="G149" s="781" t="n"/>
      <c r="H149" s="781" t="n"/>
      <c r="J149" s="729" t="inlineStr">
        <is>
          <t>DATE</t>
        </is>
      </c>
      <c r="K149" s="600" t="inlineStr">
        <is>
          <t>PARTY NAME</t>
        </is>
      </c>
      <c r="L149" s="1853" t="inlineStr">
        <is>
          <t>INVOICE NO</t>
        </is>
      </c>
      <c r="M149" s="446" t="inlineStr">
        <is>
          <t>TAXABLE</t>
        </is>
      </c>
      <c r="N149" s="446" t="inlineStr">
        <is>
          <t>CGST</t>
        </is>
      </c>
      <c r="O149" s="556" t="inlineStr">
        <is>
          <t>SGST</t>
        </is>
      </c>
      <c r="P149" s="556" t="inlineStr">
        <is>
          <t>IGST</t>
        </is>
      </c>
      <c r="Q149" s="730" t="inlineStr">
        <is>
          <t>TOTAL</t>
        </is>
      </c>
    </row>
    <row r="150" ht="15.75" customHeight="1">
      <c r="A150" s="325" t="n"/>
      <c r="E150" s="781" t="n"/>
      <c r="F150" s="781" t="n"/>
      <c r="G150" s="781" t="n"/>
      <c r="H150" s="781" t="n"/>
      <c r="J150" s="868" t="n"/>
      <c r="N150" s="556" t="n"/>
      <c r="O150" s="1534" t="n"/>
      <c r="P150" s="604" t="n"/>
      <c r="Q150" s="1854">
        <f>+M150+N150+O150+P150</f>
        <v/>
      </c>
    </row>
    <row r="151" ht="18" customHeight="1">
      <c r="B151" s="323" t="n"/>
      <c r="E151" s="781" t="n"/>
      <c r="F151" s="323" t="n"/>
      <c r="G151" s="323" t="n"/>
      <c r="H151" s="1703" t="n"/>
      <c r="I151" s="1855" t="n"/>
      <c r="J151" s="731" t="n"/>
      <c r="K151" s="601" t="n"/>
      <c r="L151" s="599" t="n"/>
      <c r="M151" s="1534" t="n"/>
      <c r="N151" s="1534" t="n"/>
      <c r="O151" s="1534" t="n"/>
      <c r="P151" s="1534" t="n"/>
      <c r="Q151" s="1854">
        <f>+M151+P151</f>
        <v/>
      </c>
    </row>
    <row r="152">
      <c r="B152" s="323" t="n"/>
      <c r="C152" s="1856" t="n"/>
      <c r="D152" s="1856" t="n"/>
      <c r="E152" s="1856" t="n"/>
      <c r="F152" s="323" t="n"/>
      <c r="G152" s="323" t="n"/>
      <c r="H152" s="1703" t="n"/>
      <c r="I152" s="516" t="n"/>
      <c r="J152" s="733" t="n"/>
      <c r="K152" s="602" t="n"/>
      <c r="L152" s="603" t="n"/>
      <c r="M152" s="1857" t="n"/>
      <c r="N152" s="1857" t="n"/>
      <c r="O152" s="1857" t="n"/>
      <c r="P152" s="1857" t="n"/>
      <c r="Q152" s="1858" t="inlineStr">
        <is>
          <t xml:space="preserve"> </t>
        </is>
      </c>
    </row>
    <row r="153">
      <c r="B153" s="323" t="n"/>
      <c r="C153" s="1856" t="n"/>
      <c r="D153" s="1856" t="n"/>
      <c r="E153" s="1856" t="n"/>
      <c r="F153" s="323" t="n"/>
      <c r="G153" s="323" t="n"/>
      <c r="H153" s="1703" t="n"/>
      <c r="I153" s="516" t="n"/>
      <c r="J153" s="735" t="n"/>
      <c r="K153" s="605" t="n"/>
      <c r="L153" s="604" t="n"/>
      <c r="M153" s="1510" t="n"/>
      <c r="N153" s="1510" t="n"/>
      <c r="O153" s="1510" t="n"/>
      <c r="P153" s="1510" t="n"/>
      <c r="Q153" s="1859" t="n"/>
    </row>
    <row r="154" ht="16.5" customHeight="1" thickBot="1">
      <c r="B154" s="323" t="n"/>
      <c r="C154" s="1856" t="n"/>
      <c r="D154" s="1856" t="n"/>
      <c r="E154" s="1856" t="n"/>
      <c r="F154" s="323" t="n"/>
      <c r="G154" s="323" t="n"/>
      <c r="H154" s="1703" t="n"/>
      <c r="I154" s="516" t="n"/>
      <c r="J154" s="1860" t="inlineStr">
        <is>
          <t>TOTAL</t>
        </is>
      </c>
      <c r="K154" s="1861" t="n"/>
      <c r="L154" s="1694" t="n"/>
      <c r="M154" s="1862">
        <f>SUM(M150:M153)</f>
        <v/>
      </c>
      <c r="N154" s="1862">
        <f>SUM(N150:N153)</f>
        <v/>
      </c>
      <c r="O154" s="1862">
        <f>SUM(O150:O153)</f>
        <v/>
      </c>
      <c r="P154" s="1862">
        <f>SUM(P150:P153)</f>
        <v/>
      </c>
      <c r="Q154" s="1863">
        <f>SUM(Q150:Q153)</f>
        <v/>
      </c>
    </row>
    <row r="155">
      <c r="B155" s="323" t="n"/>
      <c r="C155" s="1856" t="n"/>
      <c r="D155" s="1856" t="n"/>
      <c r="E155" s="1856" t="n"/>
      <c r="F155" s="323" t="n"/>
      <c r="G155" s="323" t="n"/>
      <c r="H155" s="1703" t="n"/>
      <c r="I155" s="516" t="n"/>
      <c r="K155" s="710" t="n"/>
      <c r="L155" s="584" t="n"/>
      <c r="M155" s="1520" t="n"/>
      <c r="N155" s="1520" t="n"/>
      <c r="O155" s="1520" t="n"/>
      <c r="P155" s="1520" t="n"/>
      <c r="Q155" s="1520" t="n"/>
    </row>
    <row r="156">
      <c r="B156" s="323" t="n"/>
      <c r="C156" s="1856" t="n"/>
      <c r="D156" s="1856" t="n"/>
      <c r="E156" s="1856" t="n"/>
      <c r="F156" s="323" t="n"/>
      <c r="G156" s="323" t="n"/>
      <c r="H156" s="1703" t="n"/>
      <c r="I156" s="516" t="n"/>
      <c r="K156" s="710" t="n"/>
      <c r="L156" s="584" t="n"/>
      <c r="M156" s="1520" t="n"/>
      <c r="N156" s="1520" t="n"/>
      <c r="O156" s="1520" t="n"/>
      <c r="P156" s="1520" t="n"/>
      <c r="Q156" s="1520" t="n"/>
    </row>
    <row r="157">
      <c r="B157" s="323" t="n"/>
      <c r="C157" s="1856" t="n"/>
      <c r="D157" s="1856" t="n"/>
      <c r="E157" s="1856" t="n"/>
      <c r="F157" s="323" t="n"/>
      <c r="G157" s="323" t="n"/>
      <c r="H157" s="1703" t="n"/>
      <c r="I157" s="1663" t="n"/>
      <c r="J157" t="n">
        <v>2</v>
      </c>
      <c r="K157" s="710" t="n"/>
      <c r="L157" s="584" t="n"/>
      <c r="M157" s="1520" t="n"/>
      <c r="N157" s="1520" t="n"/>
      <c r="O157" s="1520" t="n"/>
      <c r="P157" s="1520" t="n"/>
      <c r="Q157" s="1520" t="n"/>
    </row>
    <row r="158" ht="15" customHeight="1" thickBot="1">
      <c r="B158" s="1001" t="n"/>
      <c r="C158" s="1856" t="n"/>
      <c r="D158" s="1856" t="n"/>
      <c r="E158" s="1856" t="n"/>
      <c r="F158" s="1001" t="n"/>
      <c r="G158" s="260" t="n"/>
      <c r="H158" s="1703" t="n"/>
      <c r="I158" s="1663" t="n"/>
      <c r="K158" s="710" t="n"/>
      <c r="L158" s="584" t="n"/>
      <c r="M158" s="1520" t="n"/>
      <c r="N158" s="1520" t="n"/>
      <c r="O158" s="1520" t="n"/>
      <c r="P158" s="1520" t="n"/>
      <c r="Q158" s="1520" t="n"/>
    </row>
    <row r="159" ht="15" customHeight="1">
      <c r="B159" s="1864" t="inlineStr">
        <is>
          <t>BLOCKED CREDIT</t>
        </is>
      </c>
      <c r="C159" s="1522" t="n"/>
      <c r="D159" s="1522" t="n"/>
      <c r="E159" s="1522" t="n"/>
      <c r="F159" s="1522" t="n"/>
      <c r="G159" s="1522" t="n"/>
      <c r="H159" s="1522" t="n"/>
      <c r="I159" s="1522" t="n"/>
      <c r="J159" s="1522" t="n"/>
      <c r="K159" s="1522" t="n"/>
      <c r="L159" s="1522" t="n"/>
      <c r="M159" s="1523" t="n"/>
      <c r="N159" s="1520" t="n"/>
      <c r="O159" s="1520" t="n"/>
      <c r="P159" s="1520" t="n"/>
      <c r="Q159" s="1520" t="n"/>
    </row>
    <row r="160" ht="15" customHeight="1">
      <c r="B160" s="898" t="inlineStr">
        <is>
          <t>Sr.No.</t>
        </is>
      </c>
      <c r="C160" s="576" t="inlineStr">
        <is>
          <t>Bill No.</t>
        </is>
      </c>
      <c r="D160" s="576" t="inlineStr">
        <is>
          <t>Bill Date</t>
        </is>
      </c>
      <c r="E160" s="576" t="inlineStr">
        <is>
          <t>Pay Date</t>
        </is>
      </c>
      <c r="F160" s="576" t="inlineStr">
        <is>
          <t>Party</t>
        </is>
      </c>
      <c r="G160" s="576" t="inlineStr">
        <is>
          <t>GST No.</t>
        </is>
      </c>
      <c r="H160" s="577" t="inlineStr">
        <is>
          <t>Taxable</t>
        </is>
      </c>
      <c r="I160" s="577" t="inlineStr">
        <is>
          <t>S.GST</t>
        </is>
      </c>
      <c r="J160" s="577" t="inlineStr">
        <is>
          <t>C.GST</t>
        </is>
      </c>
      <c r="K160" s="577" t="inlineStr">
        <is>
          <t>I.GST</t>
        </is>
      </c>
      <c r="L160" s="577" t="inlineStr">
        <is>
          <t>Other</t>
        </is>
      </c>
      <c r="M160" s="899" t="inlineStr">
        <is>
          <t>Net Amt.</t>
        </is>
      </c>
      <c r="N160" s="1520" t="n"/>
      <c r="O160" s="1520" t="n"/>
      <c r="P160" s="1520" t="n"/>
      <c r="Q160" s="1520" t="n"/>
    </row>
    <row r="161" ht="15" customFormat="1" customHeight="1" s="515">
      <c r="A161" s="515" t="inlineStr">
        <is>
          <t xml:space="preserve">   </t>
        </is>
      </c>
      <c r="B161" s="1003" t="n">
        <v>1</v>
      </c>
      <c r="C161" s="1012" t="n"/>
      <c r="D161" s="1865" t="n"/>
      <c r="E161" s="1865" t="n"/>
      <c r="F161" s="1012" t="n"/>
      <c r="G161" s="1012" t="n"/>
      <c r="H161" s="1866" t="n"/>
      <c r="I161" s="1866" t="n"/>
      <c r="J161" s="1866" t="n"/>
      <c r="K161" s="1866" t="n"/>
      <c r="L161" s="1866" t="n"/>
      <c r="M161" s="1867" t="n"/>
      <c r="N161" s="1520" t="n"/>
      <c r="O161" s="1520" t="n"/>
      <c r="P161" s="1520" t="n"/>
      <c r="Q161" s="1520" t="n"/>
    </row>
    <row r="162" ht="15" customFormat="1" customHeight="1" s="515">
      <c r="B162" s="1003" t="n">
        <v>2</v>
      </c>
      <c r="C162" s="1012" t="n"/>
      <c r="D162" s="1865" t="n"/>
      <c r="E162" s="1865" t="n"/>
      <c r="F162" s="1012" t="n"/>
      <c r="G162" s="1012" t="n"/>
      <c r="H162" s="1866" t="n"/>
      <c r="I162" s="1866" t="n"/>
      <c r="J162" s="1866" t="n"/>
      <c r="K162" s="1866" t="n"/>
      <c r="L162" s="1866" t="n"/>
      <c r="M162" s="1867" t="n"/>
      <c r="N162" s="1520" t="n"/>
      <c r="O162" s="1520" t="n"/>
      <c r="P162" s="1520" t="n"/>
      <c r="Q162" s="1520" t="n"/>
    </row>
    <row r="163" ht="19.5" customFormat="1" customHeight="1" s="515">
      <c r="B163" s="1003" t="n">
        <v>3</v>
      </c>
      <c r="C163" s="1012" t="n"/>
      <c r="D163" s="1865" t="n"/>
      <c r="E163" s="1865" t="n"/>
      <c r="F163" s="1012" t="n"/>
      <c r="G163" s="1012" t="n"/>
      <c r="H163" s="1866" t="n"/>
      <c r="I163" s="1866" t="n"/>
      <c r="J163" s="1866" t="n"/>
      <c r="K163" s="1866" t="n"/>
      <c r="L163" s="1866" t="n"/>
      <c r="M163" s="1867" t="n"/>
      <c r="N163" s="263" t="n"/>
      <c r="O163" s="263" t="n"/>
      <c r="P163" s="263" t="n"/>
      <c r="Q163" s="263" t="n"/>
    </row>
    <row r="164" ht="19.5" customFormat="1" customHeight="1" s="515">
      <c r="B164" s="1003" t="n">
        <v>4</v>
      </c>
      <c r="C164" s="1012" t="n"/>
      <c r="D164" s="1865" t="n"/>
      <c r="E164" s="1865" t="n"/>
      <c r="F164" s="1012" t="n"/>
      <c r="G164" s="1012" t="n"/>
      <c r="H164" s="1866" t="n"/>
      <c r="I164" s="1866" t="n"/>
      <c r="J164" s="1866" t="n"/>
      <c r="K164" s="1866" t="n"/>
      <c r="L164" s="1866" t="n"/>
      <c r="M164" s="1867" t="n"/>
      <c r="N164" s="263" t="n"/>
      <c r="O164" s="263" t="n"/>
      <c r="P164" s="263" t="n"/>
      <c r="Q164" s="263" t="n"/>
    </row>
    <row r="165" ht="19.5" customFormat="1" customHeight="1" s="515">
      <c r="B165" s="1003" t="n">
        <v>5</v>
      </c>
      <c r="C165" s="879" t="n"/>
      <c r="D165" s="1868" t="n"/>
      <c r="E165" s="1869" t="n"/>
      <c r="F165" s="876" t="n"/>
      <c r="G165" s="876" t="n"/>
      <c r="H165" s="876" t="n"/>
      <c r="I165" s="876" t="n"/>
      <c r="J165" s="1870" t="n"/>
      <c r="K165" s="1870" t="n"/>
      <c r="L165" s="1870" t="n"/>
      <c r="M165" s="1867" t="n"/>
      <c r="N165" s="263" t="n"/>
      <c r="O165" s="263" t="n"/>
      <c r="P165" s="263" t="n"/>
      <c r="Q165" s="263" t="n"/>
    </row>
    <row r="166" ht="19.5" customFormat="1" customHeight="1" s="515">
      <c r="B166" s="1003" t="n">
        <v>6</v>
      </c>
      <c r="C166" s="879" t="n"/>
      <c r="D166" s="1868" t="n"/>
      <c r="E166" s="1869" t="n"/>
      <c r="F166" s="876" t="n"/>
      <c r="G166" s="876" t="n"/>
      <c r="H166" s="876" t="n"/>
      <c r="I166" s="876" t="n"/>
      <c r="J166" s="1870" t="n"/>
      <c r="K166" s="1870" t="n"/>
      <c r="L166" s="1870" t="n"/>
      <c r="M166" s="1867" t="n"/>
      <c r="N166" s="263" t="n"/>
      <c r="O166" s="263" t="n"/>
      <c r="P166" s="263" t="n"/>
      <c r="Q166" s="263" t="n"/>
    </row>
    <row r="167" ht="19.5" customFormat="1" customHeight="1" s="515">
      <c r="B167" s="1003" t="n">
        <v>7</v>
      </c>
      <c r="C167" s="879" t="n"/>
      <c r="D167" s="1868" t="n"/>
      <c r="E167" s="1869" t="n"/>
      <c r="F167" s="876" t="n"/>
      <c r="G167" s="876" t="n"/>
      <c r="H167" s="876" t="n"/>
      <c r="I167" s="876" t="n"/>
      <c r="J167" s="1870" t="n"/>
      <c r="K167" s="1870" t="n"/>
      <c r="L167" s="1870" t="n"/>
      <c r="M167" s="1867" t="n"/>
      <c r="N167" s="263" t="n"/>
    </row>
    <row r="168" ht="19.5" customFormat="1" customHeight="1" s="515">
      <c r="B168" s="1003" t="n">
        <v>8</v>
      </c>
      <c r="C168" s="879" t="n"/>
      <c r="D168" s="1868" t="n"/>
      <c r="E168" s="1869" t="n"/>
      <c r="F168" s="876" t="n"/>
      <c r="G168" s="876" t="n"/>
      <c r="H168" s="876" t="n"/>
      <c r="I168" s="876" t="n"/>
      <c r="J168" s="1870" t="n"/>
      <c r="K168" s="1870" t="n"/>
      <c r="L168" s="1870" t="n"/>
      <c r="M168" s="1867" t="n"/>
    </row>
    <row r="169" ht="19.5" customFormat="1" customHeight="1" s="515">
      <c r="B169" s="1004" t="n">
        <v>9</v>
      </c>
      <c r="C169" s="879" t="n"/>
      <c r="D169" s="1868" t="n"/>
      <c r="E169" s="1869" t="n"/>
      <c r="F169" s="876" t="n"/>
      <c r="G169" s="876" t="n"/>
      <c r="H169" s="876" t="n"/>
      <c r="I169" s="876" t="n"/>
      <c r="J169" s="1870" t="n"/>
      <c r="K169" s="1870" t="n"/>
      <c r="L169" s="1870" t="n"/>
      <c r="M169" s="1867" t="n"/>
    </row>
    <row r="170" ht="20.25" customFormat="1" customHeight="1" s="515" thickBot="1">
      <c r="B170" s="1004" t="n">
        <v>10</v>
      </c>
      <c r="C170" s="879" t="n"/>
      <c r="D170" s="1868" t="n"/>
      <c r="E170" s="1869" t="n"/>
      <c r="F170" s="876" t="n"/>
      <c r="G170" s="876" t="n"/>
      <c r="H170" s="876" t="n"/>
      <c r="I170" s="876" t="n"/>
      <c r="J170" s="1870" t="n"/>
      <c r="K170" s="1870" t="n"/>
      <c r="L170" s="1870" t="n"/>
      <c r="M170" s="1867" t="n"/>
    </row>
    <row r="171" ht="20.25" customHeight="1" thickBot="1">
      <c r="B171" s="1006" t="inlineStr">
        <is>
          <t>50% figure</t>
        </is>
      </c>
      <c r="C171" s="713" t="n"/>
      <c r="D171" s="714" t="n"/>
      <c r="E171" s="585" t="n"/>
      <c r="F171" s="585" t="n"/>
      <c r="G171" s="586" t="n"/>
      <c r="H171" s="1871">
        <f>+SUM(H161:H169)</f>
        <v/>
      </c>
      <c r="I171" s="1871">
        <f>+SUM(I161:I169)</f>
        <v/>
      </c>
      <c r="J171" s="1871">
        <f>+SUM(J161:J169)</f>
        <v/>
      </c>
      <c r="K171" s="1871">
        <f>SUM(K161:K169)</f>
        <v/>
      </c>
      <c r="L171" s="1872" t="n">
        <v>0</v>
      </c>
      <c r="M171" s="1873">
        <f>SUM(H171:J171)</f>
        <v/>
      </c>
      <c r="N171" s="515" t="n"/>
      <c r="O171" s="515" t="n"/>
      <c r="P171" s="515" t="n"/>
      <c r="Q171" s="515" t="n"/>
    </row>
    <row r="172" ht="20.25" customHeight="1" thickBot="1">
      <c r="B172" s="1005" t="inlineStr">
        <is>
          <t>100% figure</t>
        </is>
      </c>
      <c r="C172" s="585" t="n"/>
      <c r="D172" s="585" t="n"/>
      <c r="E172" s="585" t="n"/>
      <c r="F172" s="585" t="n"/>
      <c r="G172" s="586" t="n"/>
      <c r="H172" s="1874">
        <f>+H171*2</f>
        <v/>
      </c>
      <c r="I172" s="1874">
        <f>+I171*2</f>
        <v/>
      </c>
      <c r="J172" s="1874">
        <f>+J171*2</f>
        <v/>
      </c>
      <c r="K172" s="1874">
        <f>+K171*2</f>
        <v/>
      </c>
      <c r="L172" s="1875" t="n">
        <v>0</v>
      </c>
      <c r="M172" s="1876">
        <f>+M171*2</f>
        <v/>
      </c>
      <c r="N172" s="515" t="n"/>
      <c r="O172" s="515" t="n"/>
      <c r="P172" s="515" t="n"/>
      <c r="Q172" s="515" t="n"/>
    </row>
    <row r="173" ht="19.5" customHeight="1">
      <c r="K173" s="1703" t="n"/>
      <c r="N173" s="515" t="n"/>
      <c r="O173" s="515" t="n"/>
      <c r="P173" s="515" t="n"/>
      <c r="Q173" s="515" t="n"/>
    </row>
    <row r="174" ht="19.5" customHeight="1">
      <c r="N174" s="515" t="n"/>
      <c r="O174" s="515" t="n"/>
      <c r="P174" s="515" t="n"/>
      <c r="Q174" s="515" t="n"/>
    </row>
    <row r="175" ht="19.5" customHeight="1">
      <c r="N175" s="515" t="n"/>
      <c r="O175" s="515" t="n"/>
      <c r="P175" s="515" t="n"/>
      <c r="Q175" s="515" t="n"/>
    </row>
    <row r="176" ht="19.5" customHeight="1">
      <c r="N176" s="515" t="n"/>
      <c r="O176" s="515" t="n"/>
      <c r="P176" s="515" t="n"/>
      <c r="Q176" s="515" t="n"/>
    </row>
    <row r="177" ht="19.5" customHeight="1">
      <c r="N177" s="515" t="n"/>
      <c r="O177" s="515" t="n"/>
      <c r="P177" s="515" t="n"/>
      <c r="Q177" s="515" t="n"/>
    </row>
    <row r="178" ht="19.5" customHeight="1">
      <c r="N178" s="515" t="n"/>
      <c r="O178" s="515" t="n"/>
      <c r="P178" s="515" t="n"/>
      <c r="Q178" s="515" t="n"/>
    </row>
    <row r="179" ht="19.5" customHeight="1">
      <c r="N179" s="515" t="n"/>
    </row>
    <row r="593">
      <c r="D593" s="326" t="n"/>
      <c r="E593" s="326" t="n"/>
    </row>
    <row r="594">
      <c r="D594" s="326" t="n"/>
      <c r="E594" s="326" t="n"/>
    </row>
    <row r="595">
      <c r="D595" s="326" t="n"/>
      <c r="E595" s="326" t="n"/>
    </row>
    <row r="596">
      <c r="D596" s="326" t="n"/>
      <c r="E596" s="326" t="n"/>
    </row>
    <row r="597">
      <c r="D597" s="326" t="n"/>
      <c r="E597" s="326" t="n"/>
    </row>
    <row r="598">
      <c r="D598" s="326" t="n"/>
      <c r="E598" s="326" t="n"/>
    </row>
    <row r="599">
      <c r="D599" s="326" t="n"/>
      <c r="E599" s="326" t="n"/>
    </row>
    <row r="600">
      <c r="D600" s="326" t="n"/>
      <c r="E600" s="326" t="n"/>
    </row>
    <row r="601">
      <c r="D601" s="326" t="n"/>
      <c r="E601" s="326" t="n"/>
    </row>
    <row r="602">
      <c r="D602" s="326" t="n"/>
      <c r="E602" s="326" t="n"/>
    </row>
    <row r="603">
      <c r="D603" s="326" t="n"/>
      <c r="E603" s="326" t="n"/>
    </row>
    <row r="604">
      <c r="D604" s="326" t="n"/>
      <c r="E604" s="326" t="n"/>
    </row>
    <row r="605">
      <c r="D605" s="326" t="n"/>
      <c r="E605" s="326" t="n"/>
    </row>
    <row r="606">
      <c r="D606" s="326" t="n"/>
      <c r="E606" s="326" t="n"/>
    </row>
    <row r="607">
      <c r="D607" s="326" t="n"/>
      <c r="E607" s="326" t="n"/>
    </row>
    <row r="608">
      <c r="D608" s="326" t="n"/>
      <c r="E608" s="326" t="n"/>
    </row>
    <row r="609">
      <c r="D609" s="326" t="n"/>
      <c r="E609" s="326" t="n"/>
    </row>
    <row r="610">
      <c r="D610" s="326" t="n"/>
      <c r="E610" s="326" t="n"/>
    </row>
    <row r="611">
      <c r="D611" s="326" t="n"/>
      <c r="E611" s="326" t="n"/>
    </row>
    <row r="612">
      <c r="D612" s="326" t="n"/>
      <c r="E612" s="326" t="n"/>
    </row>
    <row r="613">
      <c r="D613" s="326" t="n"/>
      <c r="E613" s="326" t="n"/>
    </row>
    <row r="614">
      <c r="D614" s="326" t="n"/>
      <c r="E614" s="326" t="n"/>
    </row>
    <row r="615">
      <c r="D615" s="326" t="n"/>
      <c r="E615" s="326" t="n"/>
    </row>
    <row r="616">
      <c r="D616" s="326" t="n"/>
      <c r="E616" s="326" t="n"/>
    </row>
    <row r="617">
      <c r="D617" s="326" t="n"/>
      <c r="E617" s="326" t="n"/>
    </row>
    <row r="618">
      <c r="D618" s="326" t="n"/>
      <c r="E618" s="326" t="n"/>
    </row>
    <row r="619">
      <c r="D619" s="326" t="n"/>
      <c r="E619" s="326" t="n"/>
    </row>
    <row r="620">
      <c r="D620" s="326" t="n"/>
      <c r="E620" s="326" t="n"/>
    </row>
    <row r="621">
      <c r="D621" s="326" t="n"/>
      <c r="E621" s="326" t="n"/>
    </row>
    <row r="622">
      <c r="D622" s="326" t="n"/>
      <c r="E622" s="326" t="n"/>
    </row>
    <row r="623">
      <c r="D623" s="326" t="n"/>
      <c r="E623" s="326" t="n"/>
    </row>
    <row r="624">
      <c r="D624" s="326" t="n"/>
      <c r="E624" s="326" t="n"/>
    </row>
    <row r="625">
      <c r="D625" s="326" t="n"/>
      <c r="E625" s="326" t="n"/>
    </row>
    <row r="626">
      <c r="D626" s="326" t="n"/>
      <c r="E626" s="326" t="n"/>
    </row>
    <row r="627">
      <c r="D627" s="326" t="n"/>
      <c r="E627" s="326" t="n"/>
    </row>
    <row r="628">
      <c r="D628" s="326" t="n"/>
      <c r="E628" s="326" t="n"/>
    </row>
    <row r="629">
      <c r="D629" s="326" t="n"/>
      <c r="E629" s="326" t="n"/>
    </row>
    <row r="630">
      <c r="D630" s="326" t="n"/>
      <c r="E630" s="326" t="n"/>
    </row>
    <row r="631">
      <c r="D631" s="326" t="n"/>
      <c r="E631" s="326" t="n"/>
    </row>
    <row r="632">
      <c r="D632" s="326" t="n"/>
      <c r="E632" s="326" t="n"/>
    </row>
    <row r="633">
      <c r="D633" s="326" t="n"/>
      <c r="E633" s="326" t="n"/>
    </row>
    <row r="634">
      <c r="D634" s="326" t="n"/>
      <c r="E634" s="326" t="n"/>
    </row>
    <row r="635">
      <c r="D635" s="326" t="n"/>
      <c r="E635" s="326" t="n"/>
    </row>
    <row r="636">
      <c r="D636" s="326" t="n"/>
      <c r="E636" s="326" t="n"/>
    </row>
    <row r="637">
      <c r="D637" s="326" t="n"/>
      <c r="E637" s="326" t="n"/>
    </row>
    <row r="638">
      <c r="D638" s="326" t="n"/>
      <c r="E638" s="326" t="n"/>
    </row>
    <row r="639">
      <c r="D639" s="326" t="n"/>
      <c r="E639" s="326" t="n"/>
    </row>
    <row r="640">
      <c r="D640" s="326" t="n"/>
      <c r="E640" s="326" t="n"/>
    </row>
    <row r="641">
      <c r="D641" s="326" t="n"/>
      <c r="E641" s="326" t="n"/>
    </row>
    <row r="642">
      <c r="D642" s="326" t="n"/>
      <c r="E642" s="326" t="n"/>
    </row>
    <row r="643">
      <c r="D643" s="326" t="n"/>
      <c r="E643" s="326" t="n"/>
    </row>
    <row r="644">
      <c r="D644" s="326" t="n"/>
      <c r="E644" s="326" t="n"/>
    </row>
    <row r="645">
      <c r="D645" s="326" t="n"/>
      <c r="E645" s="326" t="n"/>
    </row>
    <row r="646">
      <c r="D646" s="326" t="n"/>
      <c r="E646" s="326" t="n"/>
    </row>
    <row r="647">
      <c r="D647" s="326" t="n"/>
      <c r="E647" s="326" t="n"/>
    </row>
    <row r="648">
      <c r="D648" s="326" t="n"/>
      <c r="E648" s="326" t="n"/>
    </row>
    <row r="649">
      <c r="D649" s="326" t="n"/>
      <c r="E649" s="326" t="n"/>
    </row>
    <row r="650">
      <c r="D650" s="326" t="n"/>
      <c r="E650" s="326" t="n"/>
    </row>
    <row r="651">
      <c r="D651" s="326" t="n"/>
      <c r="E651" s="326" t="n"/>
    </row>
    <row r="652">
      <c r="D652" s="326" t="n"/>
      <c r="E652" s="326" t="n"/>
    </row>
    <row r="653">
      <c r="D653" s="326" t="n"/>
      <c r="E653" s="326" t="n"/>
    </row>
    <row r="654">
      <c r="D654" s="326" t="n"/>
      <c r="E654" s="326" t="n"/>
    </row>
    <row r="655">
      <c r="D655" s="326" t="n"/>
      <c r="E655" s="326" t="n"/>
    </row>
    <row r="656">
      <c r="D656" s="326" t="n"/>
      <c r="E656" s="326" t="n"/>
    </row>
    <row r="657">
      <c r="D657" s="326" t="n"/>
      <c r="E657" s="326" t="n"/>
    </row>
    <row r="658">
      <c r="D658" s="326" t="n"/>
      <c r="E658" s="326" t="n"/>
    </row>
    <row r="659">
      <c r="D659" s="326" t="n"/>
      <c r="E659" s="326" t="n"/>
    </row>
    <row r="660">
      <c r="D660" s="326" t="n"/>
      <c r="E660" s="326" t="n"/>
    </row>
    <row r="661">
      <c r="D661" s="326" t="n"/>
      <c r="E661" s="326" t="n"/>
    </row>
    <row r="662">
      <c r="D662" s="326" t="n"/>
      <c r="E662" s="326" t="n"/>
    </row>
    <row r="663">
      <c r="D663" s="326" t="n"/>
      <c r="E663" s="326" t="n"/>
    </row>
    <row r="664">
      <c r="D664" s="326" t="n"/>
      <c r="E664" s="326" t="n"/>
    </row>
    <row r="665">
      <c r="D665" s="326" t="n"/>
      <c r="E665" s="326" t="n"/>
    </row>
    <row r="666">
      <c r="D666" s="326" t="n"/>
      <c r="E666" s="326" t="n"/>
    </row>
    <row r="667">
      <c r="D667" s="326" t="n"/>
      <c r="E667" s="326" t="n"/>
    </row>
    <row r="668">
      <c r="D668" s="326" t="n"/>
      <c r="E668" s="326" t="n"/>
    </row>
    <row r="669">
      <c r="D669" s="326" t="n"/>
      <c r="E669" s="326" t="n"/>
    </row>
    <row r="670">
      <c r="D670" s="326" t="n"/>
      <c r="E670" s="326" t="n"/>
    </row>
    <row r="671">
      <c r="D671" s="326" t="n"/>
      <c r="E671" s="326" t="n"/>
    </row>
    <row r="672">
      <c r="D672" s="326" t="n"/>
      <c r="E672" s="326" t="n"/>
    </row>
    <row r="673">
      <c r="D673" s="326" t="n"/>
      <c r="E673" s="326" t="n"/>
    </row>
    <row r="674">
      <c r="D674" s="326" t="n"/>
      <c r="E674" s="326" t="n"/>
    </row>
    <row r="675">
      <c r="D675" s="326" t="n"/>
      <c r="E675" s="326" t="n"/>
    </row>
    <row r="676">
      <c r="D676" s="326" t="n"/>
      <c r="E676" s="326" t="n"/>
    </row>
    <row r="677">
      <c r="D677" s="326" t="n"/>
      <c r="E677" s="326" t="n"/>
    </row>
    <row r="678">
      <c r="D678" s="326" t="n"/>
      <c r="E678" s="326" t="n"/>
    </row>
    <row r="679">
      <c r="D679" s="326" t="n"/>
      <c r="E679" s="326" t="n"/>
    </row>
    <row r="680">
      <c r="D680" s="326" t="n"/>
      <c r="E680" s="326" t="n"/>
    </row>
    <row r="681">
      <c r="D681" s="326" t="n"/>
      <c r="E681" s="326" t="n"/>
    </row>
    <row r="682">
      <c r="D682" s="326" t="n"/>
      <c r="E682" s="326" t="n"/>
    </row>
    <row r="683">
      <c r="D683" s="326" t="n"/>
      <c r="E683" s="326" t="n"/>
    </row>
    <row r="684">
      <c r="D684" s="326" t="n"/>
      <c r="E684" s="326" t="n"/>
    </row>
    <row r="685">
      <c r="D685" s="326" t="n"/>
      <c r="E685" s="326" t="n"/>
    </row>
    <row r="686">
      <c r="D686" s="326" t="n"/>
      <c r="E686" s="326" t="n"/>
    </row>
    <row r="687">
      <c r="D687" s="326" t="n"/>
      <c r="E687" s="326" t="n"/>
    </row>
    <row r="688">
      <c r="D688" s="326" t="n"/>
      <c r="E688" s="326" t="n"/>
    </row>
    <row r="689">
      <c r="D689" s="326" t="n"/>
      <c r="E689" s="326" t="n"/>
    </row>
    <row r="690">
      <c r="D690" s="326" t="n"/>
      <c r="E690" s="326" t="n"/>
    </row>
    <row r="691">
      <c r="D691" s="326" t="n"/>
      <c r="E691" s="326" t="n"/>
    </row>
    <row r="692">
      <c r="D692" s="326" t="n"/>
      <c r="E692" s="326" t="n"/>
    </row>
    <row r="693">
      <c r="D693" s="326" t="n"/>
      <c r="E693" s="326" t="n"/>
    </row>
    <row r="694">
      <c r="D694" s="326" t="n"/>
      <c r="E694" s="326" t="n"/>
    </row>
    <row r="695">
      <c r="D695" s="326" t="n"/>
      <c r="E695" s="326" t="n"/>
    </row>
    <row r="696">
      <c r="D696" s="326" t="n"/>
      <c r="E696" s="326" t="n"/>
    </row>
    <row r="697">
      <c r="D697" s="326" t="n"/>
      <c r="E697" s="326" t="n"/>
    </row>
    <row r="698">
      <c r="D698" s="326" t="n"/>
      <c r="E698" s="326" t="n"/>
    </row>
    <row r="699">
      <c r="D699" s="326" t="n"/>
      <c r="E699" s="326" t="n"/>
    </row>
    <row r="700">
      <c r="D700" s="326" t="n"/>
      <c r="E700" s="326" t="n"/>
    </row>
    <row r="701">
      <c r="D701" s="326" t="n"/>
      <c r="E701" s="326" t="n"/>
    </row>
    <row r="702">
      <c r="D702" s="326" t="n"/>
      <c r="E702" s="326" t="n"/>
    </row>
    <row r="703">
      <c r="D703" s="326" t="n"/>
      <c r="E703" s="326" t="n"/>
    </row>
    <row r="704">
      <c r="D704" s="326" t="n"/>
      <c r="E704" s="326" t="n"/>
    </row>
    <row r="705">
      <c r="D705" s="326" t="n"/>
      <c r="E705" s="326" t="n"/>
    </row>
    <row r="706">
      <c r="D706" s="326" t="n"/>
      <c r="E706" s="326" t="n"/>
    </row>
    <row r="707">
      <c r="D707" s="326" t="n"/>
      <c r="E707" s="326" t="n"/>
    </row>
    <row r="708">
      <c r="D708" s="326" t="n"/>
      <c r="E708" s="326" t="n"/>
    </row>
    <row r="709">
      <c r="D709" s="326" t="n"/>
      <c r="E709" s="326" t="n"/>
    </row>
    <row r="710">
      <c r="D710" s="326" t="n"/>
      <c r="E710" s="326" t="n"/>
    </row>
    <row r="711">
      <c r="D711" s="326" t="n"/>
      <c r="E711" s="326" t="n"/>
    </row>
    <row r="712">
      <c r="D712" s="326" t="n"/>
      <c r="E712" s="326" t="n"/>
    </row>
    <row r="713">
      <c r="D713" s="326" t="n"/>
      <c r="E713" s="326" t="n"/>
    </row>
    <row r="714">
      <c r="D714" s="326" t="n"/>
      <c r="E714" s="326" t="n"/>
    </row>
    <row r="715">
      <c r="D715" s="326" t="n"/>
      <c r="E715" s="326" t="n"/>
    </row>
    <row r="716">
      <c r="D716" s="326" t="n"/>
      <c r="E716" s="326" t="n"/>
    </row>
    <row r="717">
      <c r="D717" s="326" t="n"/>
      <c r="E717" s="326" t="n"/>
    </row>
    <row r="718">
      <c r="D718" s="326" t="n"/>
      <c r="E718" s="326" t="n"/>
    </row>
    <row r="719">
      <c r="D719" s="326" t="n"/>
      <c r="E719" s="326" t="n"/>
    </row>
    <row r="720">
      <c r="D720" s="326" t="n"/>
      <c r="E720" s="326" t="n"/>
    </row>
    <row r="721">
      <c r="D721" s="326" t="n"/>
      <c r="E721" s="326" t="n"/>
    </row>
    <row r="722">
      <c r="D722" s="326" t="n"/>
      <c r="E722" s="326" t="n"/>
    </row>
    <row r="723">
      <c r="D723" s="326" t="n"/>
      <c r="E723" s="326" t="n"/>
    </row>
    <row r="724">
      <c r="D724" s="326" t="n"/>
      <c r="E724" s="326" t="n"/>
    </row>
    <row r="725">
      <c r="D725" s="326" t="n"/>
      <c r="E725" s="326" t="n"/>
    </row>
    <row r="726">
      <c r="D726" s="326" t="n"/>
      <c r="E726" s="326" t="n"/>
    </row>
    <row r="727">
      <c r="D727" s="326" t="n"/>
      <c r="E727" s="326" t="n"/>
    </row>
    <row r="728">
      <c r="D728" s="326" t="n"/>
      <c r="E728" s="326" t="n"/>
    </row>
    <row r="729">
      <c r="D729" s="326" t="n"/>
      <c r="E729" s="326" t="n"/>
    </row>
    <row r="730">
      <c r="D730" s="326" t="n"/>
      <c r="E730" s="326" t="n"/>
    </row>
    <row r="731">
      <c r="D731" s="326" t="n"/>
      <c r="E731" s="326" t="n"/>
    </row>
    <row r="732">
      <c r="D732" s="326" t="n"/>
      <c r="E732" s="326" t="n"/>
    </row>
    <row r="733">
      <c r="D733" s="326" t="n"/>
      <c r="E733" s="326" t="n"/>
    </row>
    <row r="734">
      <c r="D734" s="326" t="n"/>
      <c r="E734" s="326" t="n"/>
    </row>
    <row r="735">
      <c r="D735" s="326" t="n"/>
      <c r="E735" s="326" t="n"/>
    </row>
    <row r="736">
      <c r="D736" s="326" t="n"/>
      <c r="E736" s="326" t="n"/>
    </row>
    <row r="737">
      <c r="D737" s="326" t="n"/>
      <c r="E737" s="326" t="n"/>
    </row>
    <row r="738">
      <c r="D738" s="326" t="n"/>
      <c r="E738" s="326" t="n"/>
    </row>
    <row r="739">
      <c r="D739" s="326" t="n"/>
      <c r="E739" s="326" t="n"/>
    </row>
    <row r="740">
      <c r="D740" s="326" t="n"/>
      <c r="E740" s="326" t="n"/>
    </row>
    <row r="741">
      <c r="D741" s="326" t="n"/>
      <c r="E741" s="326" t="n"/>
    </row>
    <row r="742">
      <c r="D742" s="326" t="n"/>
      <c r="E742" s="326" t="n"/>
    </row>
    <row r="743">
      <c r="D743" s="326" t="n"/>
      <c r="E743" s="326" t="n"/>
    </row>
    <row r="744">
      <c r="D744" s="326" t="n"/>
      <c r="E744" s="326" t="n"/>
    </row>
    <row r="745">
      <c r="D745" s="326" t="n"/>
      <c r="E745" s="326" t="n"/>
    </row>
    <row r="746">
      <c r="D746" s="326" t="n"/>
      <c r="E746" s="326" t="n"/>
    </row>
    <row r="747">
      <c r="D747" s="326" t="n"/>
      <c r="E747" s="326" t="n"/>
    </row>
    <row r="748">
      <c r="D748" s="326" t="n"/>
      <c r="E748" s="326" t="n"/>
    </row>
    <row r="749">
      <c r="D749" s="326" t="n"/>
      <c r="E749" s="326" t="n"/>
    </row>
    <row r="750">
      <c r="D750" s="326" t="n"/>
      <c r="E750" s="326" t="n"/>
    </row>
    <row r="751">
      <c r="D751" s="326" t="n"/>
      <c r="E751" s="326" t="n"/>
    </row>
    <row r="752">
      <c r="D752" s="326" t="n"/>
      <c r="E752" s="326" t="n"/>
    </row>
    <row r="753">
      <c r="D753" s="326" t="n"/>
      <c r="E753" s="326" t="n"/>
    </row>
    <row r="754">
      <c r="D754" s="326" t="n"/>
      <c r="E754" s="326" t="n"/>
    </row>
    <row r="755">
      <c r="D755" s="326" t="n"/>
      <c r="E755" s="326" t="n"/>
    </row>
    <row r="756">
      <c r="D756" s="326" t="n"/>
      <c r="E756" s="326" t="n"/>
    </row>
    <row r="757">
      <c r="D757" s="326" t="n"/>
      <c r="E757" s="326" t="n"/>
    </row>
    <row r="758">
      <c r="D758" s="326" t="n"/>
      <c r="E758" s="326" t="n"/>
    </row>
    <row r="759">
      <c r="D759" s="326" t="n"/>
      <c r="E759" s="326" t="n"/>
    </row>
    <row r="760">
      <c r="D760" s="326" t="n"/>
      <c r="E760" s="326" t="n"/>
    </row>
    <row r="761">
      <c r="D761" s="326" t="n"/>
      <c r="E761" s="326" t="n"/>
    </row>
    <row r="762">
      <c r="D762" s="326" t="n"/>
      <c r="E762" s="326" t="n"/>
    </row>
    <row r="763">
      <c r="D763" s="326" t="n"/>
      <c r="E763" s="326" t="n"/>
    </row>
    <row r="764">
      <c r="D764" s="326" t="n"/>
      <c r="E764" s="326" t="n"/>
    </row>
    <row r="765">
      <c r="D765" s="326" t="n"/>
      <c r="E765" s="326" t="n"/>
    </row>
    <row r="766">
      <c r="D766" s="326" t="n"/>
      <c r="E766" s="326" t="n"/>
    </row>
    <row r="767">
      <c r="D767" s="326" t="n"/>
      <c r="E767" s="326" t="n"/>
    </row>
    <row r="768">
      <c r="D768" s="326" t="n"/>
      <c r="E768" s="326" t="n"/>
    </row>
    <row r="769">
      <c r="D769" s="326" t="n"/>
      <c r="E769" s="326" t="n"/>
    </row>
    <row r="770">
      <c r="D770" s="326" t="n"/>
      <c r="E770" s="326" t="n"/>
    </row>
    <row r="771">
      <c r="D771" s="326" t="n"/>
      <c r="E771" s="326" t="n"/>
    </row>
    <row r="772">
      <c r="D772" s="326" t="n"/>
      <c r="E772" s="326" t="n"/>
    </row>
    <row r="773">
      <c r="D773" s="326" t="n"/>
      <c r="E773" s="326" t="n"/>
    </row>
    <row r="774">
      <c r="D774" s="326" t="n"/>
      <c r="E774" s="326" t="n"/>
    </row>
    <row r="775">
      <c r="D775" s="326" t="n"/>
      <c r="E775" s="326" t="n"/>
    </row>
    <row r="776">
      <c r="D776" s="326" t="n"/>
      <c r="E776" s="326" t="n"/>
    </row>
    <row r="777">
      <c r="D777" s="326" t="n"/>
      <c r="E777" s="326" t="n"/>
    </row>
    <row r="778">
      <c r="D778" s="326" t="n"/>
      <c r="E778" s="326" t="n"/>
    </row>
    <row r="779">
      <c r="D779" s="326" t="n"/>
      <c r="E779" s="326" t="n"/>
    </row>
    <row r="780">
      <c r="D780" s="326" t="n"/>
      <c r="E780" s="326" t="n"/>
    </row>
    <row r="781">
      <c r="D781" s="326" t="n"/>
      <c r="E781" s="326" t="n"/>
    </row>
    <row r="782">
      <c r="D782" s="326" t="n"/>
      <c r="E782" s="326" t="n"/>
    </row>
    <row r="783">
      <c r="D783" s="326" t="n"/>
      <c r="E783" s="326" t="n"/>
    </row>
    <row r="784">
      <c r="D784" s="326" t="n"/>
      <c r="E784" s="326" t="n"/>
    </row>
    <row r="785">
      <c r="D785" s="326" t="n"/>
      <c r="E785" s="326" t="n"/>
    </row>
    <row r="786">
      <c r="D786" s="326" t="n"/>
      <c r="E786" s="326" t="n"/>
    </row>
    <row r="787">
      <c r="D787" s="326" t="n"/>
      <c r="E787" s="326" t="n"/>
    </row>
    <row r="788">
      <c r="D788" s="326" t="n"/>
      <c r="E788" s="326" t="n"/>
    </row>
    <row r="789">
      <c r="D789" s="326" t="n"/>
      <c r="E789" s="326" t="n"/>
    </row>
    <row r="790">
      <c r="D790" s="326" t="n"/>
      <c r="E790" s="326" t="n"/>
    </row>
    <row r="791">
      <c r="D791" s="326" t="n"/>
      <c r="E791" s="326" t="n"/>
    </row>
    <row r="792">
      <c r="D792" s="326" t="n"/>
      <c r="E792" s="326" t="n"/>
    </row>
    <row r="793">
      <c r="D793" s="326" t="n"/>
      <c r="E793" s="326" t="n"/>
    </row>
    <row r="794">
      <c r="D794" s="326" t="n"/>
      <c r="E794" s="326" t="n"/>
    </row>
    <row r="795">
      <c r="D795" s="326" t="n"/>
      <c r="E795" s="326" t="n"/>
    </row>
    <row r="796">
      <c r="D796" s="326" t="n"/>
      <c r="E796" s="326" t="n"/>
    </row>
    <row r="797">
      <c r="D797" s="326" t="n"/>
      <c r="E797" s="326" t="n"/>
    </row>
    <row r="798">
      <c r="D798" s="326" t="n"/>
      <c r="E798" s="326" t="n"/>
    </row>
    <row r="799">
      <c r="D799" s="326" t="n"/>
      <c r="E799" s="326" t="n"/>
    </row>
    <row r="800">
      <c r="D800" s="326" t="n"/>
      <c r="E800" s="326" t="n"/>
    </row>
    <row r="801">
      <c r="D801" s="326" t="n"/>
      <c r="E801" s="326" t="n"/>
    </row>
    <row r="802">
      <c r="D802" s="326" t="n"/>
      <c r="E802" s="326" t="n"/>
    </row>
    <row r="803">
      <c r="D803" s="326" t="n"/>
      <c r="E803" s="326" t="n"/>
    </row>
    <row r="804">
      <c r="D804" s="326" t="n"/>
      <c r="E804" s="326" t="n"/>
    </row>
    <row r="805">
      <c r="D805" s="326" t="n"/>
      <c r="E805" s="326" t="n"/>
    </row>
    <row r="806">
      <c r="D806" s="326" t="n"/>
      <c r="E806" s="326" t="n"/>
    </row>
    <row r="807">
      <c r="D807" s="326" t="n"/>
      <c r="E807" s="326" t="n"/>
    </row>
    <row r="808">
      <c r="D808" s="326" t="n"/>
      <c r="E808" s="326" t="n"/>
    </row>
    <row r="809">
      <c r="D809" s="326" t="n"/>
      <c r="E809" s="326" t="n"/>
    </row>
    <row r="810">
      <c r="D810" s="326" t="n"/>
      <c r="E810" s="326" t="n"/>
    </row>
    <row r="811">
      <c r="D811" s="326" t="n"/>
      <c r="E811" s="326" t="n"/>
    </row>
    <row r="812">
      <c r="D812" s="326" t="n"/>
      <c r="E812" s="326" t="n"/>
    </row>
    <row r="813">
      <c r="D813" s="326" t="n"/>
      <c r="E813" s="326" t="n"/>
    </row>
    <row r="814">
      <c r="D814" s="326" t="n"/>
      <c r="E814" s="326" t="n"/>
    </row>
    <row r="815">
      <c r="D815" s="326" t="n"/>
      <c r="E815" s="326" t="n"/>
    </row>
    <row r="816">
      <c r="D816" s="326" t="n"/>
      <c r="E816" s="326" t="n"/>
    </row>
    <row r="817">
      <c r="D817" s="326" t="n"/>
      <c r="E817" s="326" t="n"/>
    </row>
    <row r="818">
      <c r="D818" s="326" t="n"/>
      <c r="E818" s="326" t="n"/>
    </row>
    <row r="819">
      <c r="D819" s="326" t="n"/>
      <c r="E819" s="326" t="n"/>
    </row>
    <row r="820">
      <c r="D820" s="326" t="n"/>
      <c r="E820" s="326" t="n"/>
    </row>
    <row r="821">
      <c r="D821" s="326" t="n"/>
      <c r="E821" s="326" t="n"/>
    </row>
    <row r="822">
      <c r="D822" s="326" t="n"/>
      <c r="E822" s="326" t="n"/>
    </row>
    <row r="823">
      <c r="D823" s="326" t="n"/>
      <c r="E823" s="326" t="n"/>
    </row>
    <row r="824">
      <c r="D824" s="326" t="n"/>
      <c r="E824" s="326" t="n"/>
    </row>
    <row r="825">
      <c r="D825" s="326" t="n"/>
      <c r="E825" s="326" t="n"/>
    </row>
    <row r="826">
      <c r="D826" s="326" t="n"/>
      <c r="E826" s="326" t="n"/>
    </row>
    <row r="827">
      <c r="D827" s="326" t="n"/>
      <c r="E827" s="326" t="n"/>
    </row>
    <row r="828">
      <c r="D828" s="326" t="n"/>
      <c r="E828" s="326" t="n"/>
    </row>
    <row r="829">
      <c r="D829" s="326" t="n"/>
      <c r="E829" s="326" t="n"/>
    </row>
    <row r="830">
      <c r="D830" s="326" t="n"/>
      <c r="E830" s="326" t="n"/>
    </row>
    <row r="831">
      <c r="D831" s="326" t="n"/>
      <c r="E831" s="326" t="n"/>
    </row>
    <row r="832">
      <c r="D832" s="326" t="n"/>
      <c r="E832" s="326" t="n"/>
    </row>
    <row r="833">
      <c r="D833" s="326" t="n"/>
      <c r="E833" s="326" t="n"/>
    </row>
    <row r="834">
      <c r="D834" s="326" t="n"/>
      <c r="E834" s="326" t="n"/>
    </row>
    <row r="835">
      <c r="D835" s="326" t="n"/>
      <c r="E835" s="326" t="n"/>
    </row>
    <row r="836">
      <c r="D836" s="326" t="n"/>
      <c r="E836" s="326" t="n"/>
    </row>
    <row r="837">
      <c r="D837" s="326" t="n"/>
      <c r="E837" s="326" t="n"/>
    </row>
    <row r="838">
      <c r="D838" s="326" t="n"/>
      <c r="E838" s="326" t="n"/>
    </row>
    <row r="839">
      <c r="D839" s="326" t="n"/>
      <c r="E839" s="326" t="n"/>
    </row>
    <row r="840">
      <c r="D840" s="326" t="n"/>
      <c r="E840" s="326" t="n"/>
    </row>
    <row r="841">
      <c r="D841" s="326" t="n"/>
      <c r="E841" s="326" t="n"/>
    </row>
    <row r="842">
      <c r="D842" s="326" t="n"/>
      <c r="E842" s="326" t="n"/>
    </row>
    <row r="843">
      <c r="D843" s="326" t="n"/>
      <c r="E843" s="326" t="n"/>
    </row>
    <row r="844">
      <c r="D844" s="326" t="n"/>
      <c r="E844" s="326" t="n"/>
    </row>
    <row r="845">
      <c r="D845" s="326" t="n"/>
      <c r="E845" s="326" t="n"/>
    </row>
    <row r="846">
      <c r="D846" s="326" t="n"/>
      <c r="E846" s="326" t="n"/>
    </row>
    <row r="847">
      <c r="D847" s="326" t="n"/>
      <c r="E847" s="326" t="n"/>
    </row>
    <row r="848">
      <c r="D848" s="326" t="n"/>
      <c r="E848" s="326" t="n"/>
    </row>
    <row r="849">
      <c r="D849" s="326" t="n"/>
      <c r="E849" s="326" t="n"/>
    </row>
    <row r="850">
      <c r="D850" s="326" t="n"/>
      <c r="E850" s="326" t="n"/>
    </row>
    <row r="851">
      <c r="D851" s="326" t="n"/>
      <c r="E851" s="326" t="n"/>
    </row>
    <row r="852">
      <c r="D852" s="326" t="n"/>
      <c r="E852" s="326" t="n"/>
    </row>
    <row r="853">
      <c r="D853" s="326" t="n"/>
      <c r="E853" s="326" t="n"/>
    </row>
    <row r="854">
      <c r="D854" s="326" t="n"/>
      <c r="E854" s="326" t="n"/>
    </row>
    <row r="855">
      <c r="D855" s="326" t="n"/>
      <c r="E855" s="326" t="n"/>
    </row>
    <row r="856">
      <c r="D856" s="326" t="n"/>
      <c r="E856" s="326" t="n"/>
    </row>
    <row r="857">
      <c r="D857" s="326" t="n"/>
      <c r="E857" s="326" t="n"/>
    </row>
    <row r="858">
      <c r="D858" s="326" t="n"/>
      <c r="E858" s="326" t="n"/>
    </row>
    <row r="859">
      <c r="D859" s="326" t="n"/>
      <c r="E859" s="326" t="n"/>
    </row>
    <row r="860">
      <c r="D860" s="326" t="n"/>
      <c r="E860" s="326" t="n"/>
    </row>
    <row r="861">
      <c r="D861" s="326" t="n"/>
      <c r="E861" s="326" t="n"/>
    </row>
    <row r="862">
      <c r="D862" s="326" t="n"/>
      <c r="E862" s="326" t="n"/>
    </row>
    <row r="863">
      <c r="D863" s="326" t="n"/>
      <c r="E863" s="326" t="n"/>
    </row>
    <row r="864">
      <c r="D864" s="326" t="n"/>
      <c r="E864" s="326" t="n"/>
    </row>
    <row r="865">
      <c r="D865" s="326" t="n"/>
      <c r="E865" s="326" t="n"/>
    </row>
    <row r="866">
      <c r="D866" s="326" t="n"/>
      <c r="E866" s="326" t="n"/>
    </row>
    <row r="867">
      <c r="D867" s="326" t="n"/>
      <c r="E867" s="326" t="n"/>
    </row>
    <row r="868">
      <c r="D868" s="326" t="n"/>
      <c r="E868" s="326" t="n"/>
    </row>
    <row r="869">
      <c r="D869" s="326" t="n"/>
      <c r="E869" s="326" t="n"/>
    </row>
    <row r="870">
      <c r="D870" s="326" t="n"/>
      <c r="E870" s="326" t="n"/>
    </row>
    <row r="871">
      <c r="D871" s="326" t="n"/>
      <c r="E871" s="326" t="n"/>
    </row>
    <row r="872">
      <c r="D872" s="326" t="n"/>
      <c r="E872" s="326" t="n"/>
    </row>
    <row r="873">
      <c r="D873" s="326" t="n"/>
      <c r="E873" s="326" t="n"/>
    </row>
    <row r="874">
      <c r="D874" s="326" t="n"/>
      <c r="E874" s="326" t="n"/>
    </row>
    <row r="875">
      <c r="D875" s="326" t="n"/>
      <c r="E875" s="326" t="n"/>
    </row>
    <row r="876">
      <c r="D876" s="326" t="n"/>
      <c r="E876" s="326" t="n"/>
    </row>
    <row r="877">
      <c r="D877" s="326" t="n"/>
      <c r="E877" s="326" t="n"/>
    </row>
    <row r="878">
      <c r="D878" s="326" t="n"/>
      <c r="E878" s="326" t="n"/>
    </row>
    <row r="879">
      <c r="D879" s="326" t="n"/>
      <c r="E879" s="326" t="n"/>
    </row>
    <row r="880">
      <c r="D880" s="326" t="n"/>
      <c r="E880" s="326" t="n"/>
    </row>
    <row r="881">
      <c r="D881" s="326" t="n"/>
      <c r="E881" s="326" t="n"/>
    </row>
    <row r="882">
      <c r="D882" s="326" t="n"/>
      <c r="E882" s="326" t="n"/>
    </row>
    <row r="883">
      <c r="D883" s="326" t="n"/>
      <c r="E883" s="326" t="n"/>
    </row>
    <row r="884">
      <c r="D884" s="326" t="n"/>
      <c r="E884" s="326" t="n"/>
    </row>
    <row r="885">
      <c r="D885" s="326" t="n"/>
      <c r="E885" s="326" t="n"/>
    </row>
    <row r="886">
      <c r="D886" s="326" t="n"/>
      <c r="E886" s="326" t="n"/>
    </row>
    <row r="887">
      <c r="D887" s="326" t="n"/>
      <c r="E887" s="326" t="n"/>
    </row>
    <row r="888">
      <c r="D888" s="326" t="n"/>
      <c r="E888" s="326" t="n"/>
    </row>
    <row r="889">
      <c r="D889" s="326" t="n"/>
      <c r="E889" s="326" t="n"/>
    </row>
    <row r="890">
      <c r="D890" s="326" t="n"/>
      <c r="E890" s="326" t="n"/>
    </row>
    <row r="891">
      <c r="D891" s="326" t="n"/>
      <c r="E891" s="326" t="n"/>
    </row>
    <row r="892">
      <c r="D892" s="326" t="n"/>
      <c r="E892" s="326" t="n"/>
    </row>
    <row r="893">
      <c r="D893" s="326" t="n"/>
      <c r="E893" s="326" t="n"/>
    </row>
    <row r="894">
      <c r="D894" s="326" t="n"/>
      <c r="E894" s="326" t="n"/>
    </row>
  </sheetData>
  <mergeCells count="58">
    <mergeCell ref="B62:C62"/>
    <mergeCell ref="B54:C54"/>
    <mergeCell ref="B7:C7"/>
    <mergeCell ref="B25:I25"/>
    <mergeCell ref="B96:B97"/>
    <mergeCell ref="V131:V132"/>
    <mergeCell ref="E51:E52"/>
    <mergeCell ref="B72:F72"/>
    <mergeCell ref="I141:Q141"/>
    <mergeCell ref="B31:C31"/>
    <mergeCell ref="B56:C56"/>
    <mergeCell ref="B58:C58"/>
    <mergeCell ref="B38:G38"/>
    <mergeCell ref="J136:N136"/>
    <mergeCell ref="B21:C21"/>
    <mergeCell ref="F51:F52"/>
    <mergeCell ref="B67:F67"/>
    <mergeCell ref="C135:E135"/>
    <mergeCell ref="B14:C14"/>
    <mergeCell ref="B3:H3"/>
    <mergeCell ref="B57:C57"/>
    <mergeCell ref="B8:C8"/>
    <mergeCell ref="B53:C53"/>
    <mergeCell ref="I96:I97"/>
    <mergeCell ref="B51:C52"/>
    <mergeCell ref="C125:E125"/>
    <mergeCell ref="J51:L51"/>
    <mergeCell ref="J148:Q148"/>
    <mergeCell ref="B69:F69"/>
    <mergeCell ref="H96:H97"/>
    <mergeCell ref="B10:C10"/>
    <mergeCell ref="O95:P95"/>
    <mergeCell ref="B35:G35"/>
    <mergeCell ref="J154:L154"/>
    <mergeCell ref="B70:H70"/>
    <mergeCell ref="C96:C97"/>
    <mergeCell ref="B65:C65"/>
    <mergeCell ref="B68:F68"/>
    <mergeCell ref="B6:C6"/>
    <mergeCell ref="J96:N96"/>
    <mergeCell ref="R120:U121"/>
    <mergeCell ref="B15:C15"/>
    <mergeCell ref="B1:H1"/>
    <mergeCell ref="D51:D52"/>
    <mergeCell ref="B20:C20"/>
    <mergeCell ref="B95:I95"/>
    <mergeCell ref="G96:G97"/>
    <mergeCell ref="B5:F5"/>
    <mergeCell ref="B80:F80"/>
    <mergeCell ref="J121:N121"/>
    <mergeCell ref="B159:M159"/>
    <mergeCell ref="J138:N138"/>
    <mergeCell ref="B32:C32"/>
    <mergeCell ref="D96:F96"/>
    <mergeCell ref="B71:G71"/>
    <mergeCell ref="B63:C63"/>
    <mergeCell ref="J110:N110"/>
    <mergeCell ref="B50:F50"/>
  </mergeCells>
  <conditionalFormatting sqref="B18:B21">
    <cfRule type="containsText" priority="217" operator="containsText" dxfId="12" text="LESS COLLECTED">
      <formula>NOT(ISERROR(SEARCH("LESS COLLECTED",B18)))</formula>
    </cfRule>
    <cfRule type="containsText" priority="218" operator="containsText" dxfId="0" text="LESS COLLECTED">
      <formula>NOT(ISERROR(SEARCH("LESS COLLECTED",B18)))</formula>
    </cfRule>
  </conditionalFormatting>
  <conditionalFormatting sqref="B1 B2:F2 B3 B4:F4 B5 B14:B15 B16:D17 B24:B32 B30:C31 B50 B57:B63 B89:B95 B113:F115 B159:B169 C18:D19 C24:F24 C26:C31 C63:F63 C73:F79 C89:E89 C91:F94 C102:E102 C112:E112 D26:F33 D58:F63 G93:I94 G103:I105 K99 P40:R51">
    <cfRule type="containsText" priority="545" operator="containsText" dxfId="0" text="LESS COLLECTED">
      <formula>NOT(ISERROR(SEARCH("LESS COLLECTED",B1)))</formula>
    </cfRule>
  </conditionalFormatting>
  <conditionalFormatting sqref="B40:C42 E40:G42">
    <cfRule type="containsText" priority="182" operator="containsText" dxfId="0" text="LESS COLLECTED">
      <formula>NOT(ISERROR(SEARCH("LESS COLLECTED",B40)))</formula>
    </cfRule>
  </conditionalFormatting>
  <conditionalFormatting sqref="C40:C42 E40:E42">
    <cfRule type="containsText" priority="181" operator="containsText" dxfId="1" text="EXCESS COLLECTED">
      <formula>NOT(ISERROR(SEARCH("EXCESS COLLECTED",C40)))</formula>
    </cfRule>
  </conditionalFormatting>
  <conditionalFormatting sqref="B29:F30 B39:C39 B43:C43 B44:G46 B51:F57 B101:C101 B107:F107 B151:B157 C101:C102 C108:F111 C111:C112 D26:E26 D49:F49 E39:G39 E43:G43 E101 P50:Q51">
    <cfRule type="containsText" priority="543" operator="containsText" dxfId="0" text="LESS COLLECTED">
      <formula>NOT(ISERROR(SEARCH("LESS COLLECTED",B26)))</formula>
    </cfRule>
  </conditionalFormatting>
  <conditionalFormatting sqref="B29:F30 B52:F52 B101:C101 B107:F107 B151:B157 C101:C102 C108:E110 C111:C112 D26:E26 D44:G46 D49:F49 E39:G39 E43:G43 E101 F108:F111 P50:Q51">
    <cfRule type="containsText" priority="542" operator="containsText" dxfId="1" text="EXCESS COLLECTED">
      <formula>NOT(ISERROR(SEARCH("EXCESS COLLECTED",B26)))</formula>
    </cfRule>
  </conditionalFormatting>
  <conditionalFormatting sqref="D43">
    <cfRule type="containsText" priority="14" operator="containsText" dxfId="0" text="LESS COLLECTED">
      <formula>NOT(ISERROR(SEARCH("LESS COLLECTED",D43)))</formula>
    </cfRule>
  </conditionalFormatting>
  <conditionalFormatting sqref="B170">
    <cfRule type="containsText" priority="5" operator="containsText" dxfId="0" text="LESS COLLECTED">
      <formula>NOT(ISERROR(SEARCH("LESS COLLECTED",B170)))</formula>
    </cfRule>
  </conditionalFormatting>
  <conditionalFormatting sqref="E16:E19">
    <cfRule type="containsText" priority="4" operator="containsText" dxfId="0" text="LESS COLLECTED">
      <formula>NOT(ISERROR(SEARCH("LESS COLLECTED",E16)))</formula>
    </cfRule>
  </conditionalFormatting>
  <conditionalFormatting sqref="D40:D42">
    <cfRule type="containsText" priority="2" operator="containsText" dxfId="0" text="LESS COLLECTED">
      <formula>NOT(ISERROR(SEARCH("LESS COLLECTED",D40)))</formula>
    </cfRule>
    <cfRule type="containsText" priority="1" operator="containsText" dxfId="1" text="EXCESS COLLECTED">
      <formula>NOT(ISERROR(SEARCH("EXCESS COLLECTED",D40)))</formula>
    </cfRule>
  </conditionalFormatting>
  <conditionalFormatting sqref="D39">
    <cfRule type="containsText" priority="3" operator="containsText" dxfId="0" text="LESS COLLECTED">
      <formula>NOT(ISERROR(SEARCH("LESS COLLECTED",D39)))</formula>
    </cfRule>
  </conditionalFormatting>
  <dataValidations count="1">
    <dataValidation sqref="I143:I146" showDropDown="0" showInputMessage="1" showErrorMessage="1" allowBlank="1" prompt="DD/MM/YYYY"/>
  </dataValidations>
  <printOptions horizontalCentered="1"/>
  <pageMargins left="0.236220472440945" right="0.236220472440945" top="0.248031496" bottom="0" header="0.511811023622047" footer="0.0393700787401575"/>
  <pageSetup orientation="landscape" paperSize="9" scale="30" fitToWidth="0"/>
  <rowBreaks count="2" manualBreakCount="2">
    <brk id="71" min="0" max="16383" man="1"/>
    <brk id="155" min="0" max="16" man="1"/>
  </rowBreaks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Note-1</t>
        </is>
      </c>
    </row>
    <row r="2">
      <c r="A2" t="inlineStr">
        <is>
          <t>Vasna Branch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t="inlineStr">
        <is>
          <t>Note-2</t>
        </is>
      </c>
      <c r="B27" t="inlineStr">
        <is>
          <t>In Vasna Branch, entry booked in GL 8546 dtd 02/05/2026 of Rs. 1395 but ommited to be booked in GL 8547. Hence difference arises.</t>
        </is>
      </c>
    </row>
    <row r="28"/>
    <row r="29">
      <c r="A29" t="inlineStr">
        <is>
          <t>Note-3</t>
        </is>
      </c>
      <c r="B29" t="inlineStr">
        <is>
          <t>In Surat Branch, entry dtd 22/05/2026 wrongly made in GL 8546, 8547 instead of being done in GL 1878, 1879 respectively.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t="inlineStr">
        <is>
          <t>Note-4</t>
        </is>
      </c>
      <c r="B52" t="inlineStr">
        <is>
          <t>Difference dur to rectification entry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7.42578125" customWidth="1" min="1" max="1"/>
    <col width="20" customWidth="1" min="2" max="2"/>
    <col width="41.28515625" customWidth="1" min="3" max="3"/>
    <col width="34.28515625" customWidth="1" min="4" max="4"/>
    <col width="15.5703125" customWidth="1" min="9" max="9"/>
    <col width="19.140625" customWidth="1" min="11" max="11"/>
  </cols>
  <sheetData>
    <row r="1">
      <c r="A1" s="1877" t="inlineStr">
        <is>
          <t>RowNo</t>
        </is>
      </c>
      <c r="B1" s="1877" t="inlineStr">
        <is>
          <t>GSTIN</t>
        </is>
      </c>
      <c r="C1" s="1877" t="inlineStr">
        <is>
          <t>Name</t>
        </is>
      </c>
      <c r="D1" s="1877" t="inlineStr">
        <is>
          <t>Status</t>
        </is>
      </c>
    </row>
    <row r="2">
      <c r="A2" s="1877" t="n">
        <v>591</v>
      </c>
      <c r="B2" s="1877" t="inlineStr">
        <is>
          <t>24AAIHS2564K1ZU</t>
        </is>
      </c>
      <c r="C2" s="1877" t="inlineStr">
        <is>
          <t>BHAIRAVNATH POLYSYNTH</t>
        </is>
      </c>
      <c r="D2" s="1877" t="inlineStr">
        <is>
          <t>Cancelled on application of Taxpayer</t>
        </is>
      </c>
    </row>
    <row r="3">
      <c r="A3" s="1877" t="n">
        <v>677</v>
      </c>
      <c r="B3" s="1877" t="inlineStr">
        <is>
          <t>24AAWPP0088K1Z3</t>
        </is>
      </c>
      <c r="C3" s="1877" t="inlineStr">
        <is>
          <t>ASHOK AUTO CENTRE</t>
        </is>
      </c>
      <c r="D3" s="1877" t="inlineStr">
        <is>
          <t>Cancelled on application of Taxpayer</t>
        </is>
      </c>
    </row>
    <row r="4">
      <c r="A4" s="1877" t="n">
        <v>678</v>
      </c>
      <c r="B4" s="1877" t="inlineStr">
        <is>
          <t>24AANFB5570B1ZP</t>
        </is>
      </c>
      <c r="C4" s="1877" t="inlineStr">
        <is>
          <t>B KALPESHKUMAR &amp; CO</t>
        </is>
      </c>
      <c r="D4" s="1877" t="inlineStr">
        <is>
          <t>Cancelled on application of Taxpayer</t>
        </is>
      </c>
    </row>
    <row r="5">
      <c r="A5" s="1877" t="n">
        <v>681</v>
      </c>
      <c r="B5" s="1877" t="inlineStr">
        <is>
          <t>24ARMPP4261B2ZX</t>
        </is>
      </c>
      <c r="C5" s="1877" t="inlineStr">
        <is>
          <t>BEENA TEXTILE</t>
        </is>
      </c>
      <c r="D5" s="1877" t="inlineStr">
        <is>
          <t>Cancelled on application of Taxpayer</t>
        </is>
      </c>
    </row>
    <row r="6">
      <c r="A6" s="1877" t="n">
        <v>774</v>
      </c>
      <c r="B6" s="1877" t="inlineStr">
        <is>
          <t>24AARPJ0462G1ZT</t>
        </is>
      </c>
      <c r="C6" s="1877" t="inlineStr">
        <is>
          <t>ADINATH PROVISION STORES</t>
        </is>
      </c>
      <c r="D6" s="1877" t="inlineStr">
        <is>
          <t>Cancelled suo-moto</t>
        </is>
      </c>
    </row>
    <row r="7">
      <c r="A7" s="1877" t="n">
        <v>777</v>
      </c>
      <c r="B7" s="1877" t="inlineStr">
        <is>
          <t>24BNRPS4663Q1ZW</t>
        </is>
      </c>
      <c r="C7" s="1877" t="inlineStr">
        <is>
          <t>ARASURI VASAN BHANDAR</t>
        </is>
      </c>
      <c r="D7" s="1877" t="inlineStr">
        <is>
          <t>Cancelled suo-moto</t>
        </is>
      </c>
    </row>
    <row r="8">
      <c r="A8" s="1877" t="n">
        <v>788</v>
      </c>
      <c r="B8" s="1877" t="inlineStr">
        <is>
          <t>24AAEFC8377J1Z5</t>
        </is>
      </c>
      <c r="C8" s="1877" t="inlineStr">
        <is>
          <t>CHANDRA CORPORATION</t>
        </is>
      </c>
      <c r="D8" s="1877" t="inlineStr">
        <is>
          <t>Cancelled suo-moto</t>
        </is>
      </c>
    </row>
    <row r="9">
      <c r="A9" s="1877" t="n">
        <v>809</v>
      </c>
      <c r="B9" s="1877" t="inlineStr">
        <is>
          <t>24ABOPG8463E1ZK</t>
        </is>
      </c>
      <c r="C9" s="1877" t="inlineStr">
        <is>
          <t>ARIHANT MEDICAL STORES</t>
        </is>
      </c>
      <c r="D9" s="1877" t="inlineStr">
        <is>
          <t>Cancelled on application of Taxpayer</t>
        </is>
      </c>
    </row>
    <row r="10">
      <c r="A10" s="1877" t="n">
        <v>883</v>
      </c>
      <c r="B10" s="1877" t="inlineStr">
        <is>
          <t>24AGDPD3739Q1Z6</t>
        </is>
      </c>
      <c r="C10" s="1877" t="inlineStr">
        <is>
          <t>OM SHRI GARMENT</t>
        </is>
      </c>
      <c r="D10" s="1877" t="inlineStr">
        <is>
          <t>Cancelled on application of Taxpayer</t>
        </is>
      </c>
    </row>
    <row r="11">
      <c r="A11" s="1877" t="n">
        <v>924</v>
      </c>
      <c r="B11" s="1877" t="inlineStr">
        <is>
          <t>24AGDPP2556M1Z5</t>
        </is>
      </c>
      <c r="C11" s="1877" t="inlineStr">
        <is>
          <t>KRISHNA TEXTILES</t>
        </is>
      </c>
      <c r="D11" s="1877" t="inlineStr">
        <is>
          <t>Cancelled on application of Taxpayer</t>
        </is>
      </c>
    </row>
    <row r="12">
      <c r="A12" s="1877" t="n">
        <v>939</v>
      </c>
      <c r="B12" s="1877" t="inlineStr">
        <is>
          <t>24ALRPJ1074B1ZE</t>
        </is>
      </c>
      <c r="C12" s="1877" t="inlineStr">
        <is>
          <t>M.K.ENTERPRISE</t>
        </is>
      </c>
      <c r="D12" s="1877" t="inlineStr">
        <is>
          <t>Cancelled on application of Taxpayer</t>
        </is>
      </c>
    </row>
    <row r="13">
      <c r="A13" s="1877" t="n">
        <v>941</v>
      </c>
      <c r="B13" s="1877" t="inlineStr">
        <is>
          <t>24BDWPM8697M1Z8</t>
        </is>
      </c>
      <c r="C13" s="1877" t="inlineStr">
        <is>
          <t>MEVADA OIL DEPO</t>
        </is>
      </c>
      <c r="D13" s="1877" t="inlineStr">
        <is>
          <t>Cancelled suo-moto</t>
        </is>
      </c>
    </row>
    <row r="14">
      <c r="A14" s="1877" t="n">
        <v>956</v>
      </c>
      <c r="B14" s="1877" t="inlineStr">
        <is>
          <t>24AACFM8929L1ZV</t>
        </is>
      </c>
      <c r="C14" s="1877" t="inlineStr">
        <is>
          <t>MEDATIA STORES</t>
        </is>
      </c>
      <c r="D14" s="1877" t="inlineStr">
        <is>
          <t>Cancelled on application of Taxpayer</t>
        </is>
      </c>
    </row>
    <row r="15">
      <c r="A15" s="1877" t="n">
        <v>1030</v>
      </c>
      <c r="B15" s="1877" t="inlineStr">
        <is>
          <t>24AAGHS9141G1Z2</t>
        </is>
      </c>
      <c r="C15" s="1877" t="inlineStr">
        <is>
          <t>AMEX ENTERPRISES</t>
        </is>
      </c>
      <c r="D15" s="1877" t="inlineStr">
        <is>
          <t>Cancelled on application of Taxpayer</t>
        </is>
      </c>
    </row>
    <row r="16">
      <c r="A16" s="1877" t="n">
        <v>1062</v>
      </c>
      <c r="B16" s="1877" t="inlineStr">
        <is>
          <t>24AEGPS5998R1Z9</t>
        </is>
      </c>
      <c r="C16" s="1877" t="inlineStr">
        <is>
          <t>MAHAVIR TEX FAB</t>
        </is>
      </c>
      <c r="D16" s="1877" t="inlineStr">
        <is>
          <t>Cancelled on application of Taxpayer</t>
        </is>
      </c>
    </row>
    <row r="17">
      <c r="A17" s="1877" t="n">
        <v>1073</v>
      </c>
      <c r="B17" s="1877" t="inlineStr">
        <is>
          <t>24CDMPS2226K1ZA</t>
        </is>
      </c>
      <c r="C17" s="1877" t="inlineStr">
        <is>
          <t>TULJA BHAVANI ELECTRICALS</t>
        </is>
      </c>
      <c r="D17" s="1877" t="inlineStr">
        <is>
          <t>Cancelled on application of Taxpayer</t>
        </is>
      </c>
    </row>
    <row r="18">
      <c r="A18" s="1877" t="n">
        <v>1101</v>
      </c>
      <c r="B18" s="1877" t="inlineStr">
        <is>
          <t>24BNEPS6233B1ZA</t>
        </is>
      </c>
      <c r="C18" s="1877" t="inlineStr">
        <is>
          <t>PURVIN KASHYAP SHAH</t>
        </is>
      </c>
      <c r="D18" s="1877" t="inlineStr">
        <is>
          <t>Cancelled on application of Taxpayer</t>
        </is>
      </c>
    </row>
    <row r="19">
      <c r="A19" s="1877" t="n">
        <v>1106</v>
      </c>
      <c r="B19" s="1877" t="inlineStr">
        <is>
          <t>24ADWPV8131G1Z0</t>
        </is>
      </c>
      <c r="C19" s="1877" t="inlineStr">
        <is>
          <t>RISHI CREATION</t>
        </is>
      </c>
      <c r="D19" s="1877" t="inlineStr">
        <is>
          <t>Inactive</t>
        </is>
      </c>
    </row>
    <row r="20">
      <c r="A20" s="1877" t="n">
        <v>1152</v>
      </c>
      <c r="B20" s="1877" t="inlineStr">
        <is>
          <t>24AAJFD9471D1ZF</t>
        </is>
      </c>
      <c r="C20" s="1877" t="inlineStr">
        <is>
          <t>DIYA FABRICS</t>
        </is>
      </c>
      <c r="D20" s="1877" t="inlineStr">
        <is>
          <t>Cancelled on application of Taxpayer</t>
        </is>
      </c>
    </row>
    <row r="21">
      <c r="A21" s="1877" t="n">
        <v>1224</v>
      </c>
      <c r="B21" s="1877" t="inlineStr">
        <is>
          <t>24AAPFK9865J1ZJ</t>
        </is>
      </c>
      <c r="C21" s="1877" t="inlineStr">
        <is>
          <t>K SAI CREATION</t>
        </is>
      </c>
      <c r="D21" s="1877" t="inlineStr">
        <is>
          <t>Cancelled suo-moto</t>
        </is>
      </c>
    </row>
    <row r="22">
      <c r="A22" s="1877" t="n">
        <v>1273</v>
      </c>
      <c r="B22" s="1877" t="inlineStr">
        <is>
          <t>24AAZPZ7777L1Z6</t>
        </is>
      </c>
      <c r="C22" s="1877" t="inlineStr">
        <is>
          <t>NIKHIL CREATION</t>
        </is>
      </c>
      <c r="D22" s="1877" t="inlineStr">
        <is>
          <t>Cancelled suo-moto</t>
        </is>
      </c>
    </row>
    <row r="23">
      <c r="A23" s="1877" t="n">
        <v>1330</v>
      </c>
      <c r="B23" s="1877" t="inlineStr">
        <is>
          <t>24AZUPT6260A1Z5</t>
        </is>
      </c>
      <c r="C23" s="1877" t="inlineStr">
        <is>
          <t>SHREE BAHUCHAR SELECTION</t>
        </is>
      </c>
      <c r="D23" s="1877" t="inlineStr">
        <is>
          <t>Cancelled on application of Taxpayer</t>
        </is>
      </c>
    </row>
    <row r="24">
      <c r="A24" s="1877" t="n">
        <v>1452</v>
      </c>
      <c r="B24" s="1877" t="inlineStr">
        <is>
          <t>24AVFPJ0763P1ZB</t>
        </is>
      </c>
      <c r="C24" s="1877" t="inlineStr">
        <is>
          <t>UCAN TRAVELS</t>
        </is>
      </c>
      <c r="D24" s="1877" t="inlineStr">
        <is>
          <t>Cancelled on application of Taxpayer</t>
        </is>
      </c>
    </row>
    <row r="25">
      <c r="A25" s="1877" t="n">
        <v>1460</v>
      </c>
      <c r="B25" s="1877" t="inlineStr">
        <is>
          <t>24EMUPS2027B1Z1</t>
        </is>
      </c>
      <c r="C25" s="1877" t="inlineStr">
        <is>
          <t>SHRI BALAJI LOGISTICS AHMEDABAD</t>
        </is>
      </c>
      <c r="D25" s="1877" t="inlineStr">
        <is>
          <t>Cancelled on application of Taxpayer</t>
        </is>
      </c>
    </row>
    <row r="26">
      <c r="A26" s="1877" t="n">
        <v>1472</v>
      </c>
      <c r="B26" s="1877" t="inlineStr">
        <is>
          <t>24AIKPD4193M1Z0</t>
        </is>
      </c>
      <c r="C26" s="1877" t="inlineStr">
        <is>
          <t>JAI GANESH ENTERPRISES</t>
        </is>
      </c>
      <c r="D26" s="1877" t="inlineStr">
        <is>
          <t>Cancelled suo-moto</t>
        </is>
      </c>
    </row>
    <row r="27">
      <c r="A27" s="1877" t="n">
        <v>1478</v>
      </c>
      <c r="B27" s="1877" t="inlineStr">
        <is>
          <t>24AGVPS0389M1ZH</t>
        </is>
      </c>
      <c r="C27" s="1877" t="inlineStr">
        <is>
          <t>Paridhi Textiles</t>
        </is>
      </c>
      <c r="D27" s="1877" t="inlineStr">
        <is>
          <t>Cancelled on application of Taxpayer</t>
        </is>
      </c>
    </row>
    <row r="28">
      <c r="A28" s="1877" t="n">
        <v>1488</v>
      </c>
      <c r="B28" s="1877" t="inlineStr">
        <is>
          <t>24AAUPP4685N1ZO</t>
        </is>
      </c>
      <c r="C28" s="1877" t="inlineStr">
        <is>
          <t>SHAKTI READYMADE STORES</t>
        </is>
      </c>
      <c r="D28" s="1877" t="inlineStr">
        <is>
          <t>Cancelled on application of Taxpayer</t>
        </is>
      </c>
    </row>
    <row r="29">
      <c r="A29" s="1877" t="n">
        <v>1506</v>
      </c>
      <c r="B29" s="1877" t="inlineStr">
        <is>
          <t>24AAFHN9209R1ZK</t>
        </is>
      </c>
      <c r="C29" s="1877" t="inlineStr">
        <is>
          <t>SHAH MANISHKUMAR RAJENDRAKUMAR</t>
        </is>
      </c>
      <c r="D29" s="1877" t="inlineStr">
        <is>
          <t>Cancelled on application of Taxpayer</t>
        </is>
      </c>
    </row>
    <row r="30">
      <c r="A30" s="1877" t="n">
        <v>1515</v>
      </c>
      <c r="B30" s="1877" t="inlineStr">
        <is>
          <t>24AAWPP0898D2Z7</t>
        </is>
      </c>
      <c r="C30" s="1877" t="inlineStr">
        <is>
          <t>ASHIT PATEL</t>
        </is>
      </c>
      <c r="D30" s="1877" t="inlineStr">
        <is>
          <t>Cancelled on application of Taxpayer</t>
        </is>
      </c>
    </row>
    <row r="31">
      <c r="A31" s="1877" t="n">
        <v>1516</v>
      </c>
      <c r="B31" s="1877" t="inlineStr">
        <is>
          <t>24AOHPP6912P2ZD</t>
        </is>
      </c>
      <c r="C31" s="1877" t="inlineStr">
        <is>
          <t>ILONA ASHIT PATEL</t>
        </is>
      </c>
      <c r="D31" s="1877" t="inlineStr">
        <is>
          <t>Cancelled on application of Taxpayer</t>
        </is>
      </c>
    </row>
    <row r="32">
      <c r="A32" s="1877" t="n">
        <v>1534</v>
      </c>
      <c r="B32" s="1877" t="inlineStr">
        <is>
          <t>24AIXPR1809F1ZZ</t>
        </is>
      </c>
      <c r="C32" s="1877" t="inlineStr">
        <is>
          <t>NAVKAR ENTERPRISE</t>
        </is>
      </c>
      <c r="D32" s="1877" t="inlineStr">
        <is>
          <t>Cancelled suo-moto</t>
        </is>
      </c>
    </row>
    <row r="33">
      <c r="A33" s="1877" t="n">
        <v>1535</v>
      </c>
      <c r="B33" s="1877" t="inlineStr">
        <is>
          <t>24AEKFS7944B1ZX</t>
        </is>
      </c>
      <c r="C33" s="1877" t="inlineStr">
        <is>
          <t>SHAH'S FOOD SUPPLIES LLP</t>
        </is>
      </c>
      <c r="D33" s="1877" t="inlineStr">
        <is>
          <t>Cancelled on application of Taxpayer</t>
        </is>
      </c>
    </row>
    <row r="34">
      <c r="A34" s="1877" t="n">
        <v>1545</v>
      </c>
      <c r="B34" s="1877" t="inlineStr">
        <is>
          <t>24BBXPJ6020N1Z7</t>
        </is>
      </c>
      <c r="C34" s="1877" t="inlineStr">
        <is>
          <t>JUST TRENDS</t>
        </is>
      </c>
      <c r="D34" s="1877" t="inlineStr">
        <is>
          <t>Cancelled on application of Taxpayer</t>
        </is>
      </c>
    </row>
    <row r="35">
      <c r="A35" s="1877" t="n">
        <v>1624</v>
      </c>
      <c r="B35" s="1877" t="inlineStr">
        <is>
          <t>24AFBFS2255R1ZL</t>
        </is>
      </c>
      <c r="C35" s="1877" t="inlineStr">
        <is>
          <t>SHRI BALAJI LOGISTICS AHMEDABAD</t>
        </is>
      </c>
      <c r="D35" s="1877" t="inlineStr">
        <is>
          <t>Cancelled on application of Taxpayer</t>
        </is>
      </c>
    </row>
    <row r="36">
      <c r="A36" s="1877" t="n">
        <v>1636</v>
      </c>
      <c r="B36" s="1877" t="inlineStr">
        <is>
          <t>24ADLPL8127D1ZN</t>
        </is>
      </c>
      <c r="C36" s="1877" t="inlineStr">
        <is>
          <t>DELIGHT</t>
        </is>
      </c>
      <c r="D36" s="1877" t="inlineStr">
        <is>
          <t>Cancelled suo-moto</t>
        </is>
      </c>
    </row>
    <row r="37">
      <c r="A37" s="1877" t="n">
        <v>1697</v>
      </c>
      <c r="B37" s="1877" t="inlineStr">
        <is>
          <t>24BBAPP2335P1ZI</t>
        </is>
      </c>
      <c r="C37" s="1877" t="inlineStr">
        <is>
          <t>KSB CONTROLS</t>
        </is>
      </c>
      <c r="D37" s="1877" t="inlineStr">
        <is>
          <t>Cancelled suo-moto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4.42578125" customWidth="1" min="2" max="2"/>
    <col width="16.42578125" customWidth="1" min="3" max="3"/>
    <col width="19" customWidth="1" min="4" max="4"/>
    <col width="14.85546875" customWidth="1" min="5" max="5"/>
    <col width="9.140625" customWidth="1" min="6" max="6"/>
  </cols>
  <sheetData>
    <row r="1">
      <c r="A1" s="1449" t="inlineStr">
        <is>
          <t>NUTAN NAGRIK SAHAKARI BANK LIMITED, ODHAV</t>
        </is>
      </c>
    </row>
    <row r="2">
      <c r="A2" s="502" t="n"/>
      <c r="B2" s="502" t="n"/>
      <c r="C2" s="502" t="n"/>
      <c r="D2" s="502" t="n"/>
    </row>
    <row r="3">
      <c r="A3" s="1449" t="inlineStr">
        <is>
          <t>GST ENTRIES FOR THE MONTH OF SEP 2026</t>
        </is>
      </c>
    </row>
    <row r="4" ht="16.5" customHeight="1">
      <c r="A4" s="503" t="n"/>
      <c r="B4" s="503" t="n"/>
      <c r="C4" s="503" t="n"/>
      <c r="D4" s="503" t="n"/>
    </row>
    <row r="5" ht="16.5" customHeight="1">
      <c r="A5" s="504" t="inlineStr">
        <is>
          <t>SR. NO</t>
        </is>
      </c>
      <c r="B5" s="504" t="inlineStr">
        <is>
          <t>PARTICULAR</t>
        </is>
      </c>
      <c r="C5" s="505" t="inlineStr">
        <is>
          <t>DR. RS.</t>
        </is>
      </c>
      <c r="D5" s="504" t="inlineStr">
        <is>
          <t>CR. RS</t>
        </is>
      </c>
    </row>
    <row r="6">
      <c r="A6" s="501" t="n"/>
      <c r="B6" s="501" t="n"/>
      <c r="C6" s="503" t="n"/>
      <c r="D6" s="501" t="n"/>
    </row>
    <row r="7">
      <c r="A7" s="506" t="n">
        <v>1</v>
      </c>
      <c r="B7" s="501" t="inlineStr">
        <is>
          <t>GL 1878 GGST PAYABLE A/C. DR….</t>
        </is>
      </c>
      <c r="C7" s="1878">
        <f>+'ODHAV '!D74</f>
        <v/>
      </c>
      <c r="D7" s="1879" t="n"/>
      <c r="E7" s="1880" t="n"/>
    </row>
    <row r="8">
      <c r="A8" s="506" t="n"/>
      <c r="B8" s="501" t="inlineStr">
        <is>
          <t>GL 1879 CGST PAYABLE A/C. DR….</t>
        </is>
      </c>
      <c r="C8" s="1878">
        <f>+'ODHAV '!E74</f>
        <v/>
      </c>
      <c r="D8" s="1879" t="n"/>
    </row>
    <row r="9">
      <c r="A9" s="506" t="n"/>
      <c r="B9" s="501" t="inlineStr">
        <is>
          <t>GL 1880 IGST PAYABLE A/C. DR….</t>
        </is>
      </c>
      <c r="C9" s="1878">
        <f>+'ODHAV '!F74</f>
        <v/>
      </c>
      <c r="D9" s="1879" t="n"/>
    </row>
    <row r="10">
      <c r="A10" s="506" t="n"/>
      <c r="B10" s="501" t="inlineStr">
        <is>
          <t xml:space="preserve">      TO HO </t>
        </is>
      </c>
      <c r="C10" s="1878" t="n"/>
      <c r="D10" s="1879">
        <f>SUM(C7:C9)</f>
        <v/>
      </c>
    </row>
    <row r="11">
      <c r="A11" s="506" t="n"/>
      <c r="B11" s="501" t="inlineStr">
        <is>
          <t>(BEING GST PAYABLE FOR THE MONTH OF</t>
        </is>
      </c>
      <c r="C11" s="1878" t="n"/>
      <c r="D11" s="1879" t="n"/>
    </row>
    <row r="12">
      <c r="A12" s="506" t="n"/>
      <c r="B12" s="501" t="inlineStr">
        <is>
          <t>AUG 2026 TRANSFER TO HO)</t>
        </is>
      </c>
      <c r="C12" s="1878" t="n"/>
      <c r="D12" s="1879" t="n"/>
    </row>
    <row r="13" ht="16.5" customHeight="1">
      <c r="A13" s="509" t="n"/>
      <c r="B13" s="510" t="n"/>
      <c r="C13" s="1881" t="n"/>
      <c r="D13" s="1882" t="n"/>
    </row>
    <row r="14">
      <c r="A14" s="506" t="n"/>
      <c r="B14" s="501" t="n"/>
      <c r="C14" s="1878" t="n"/>
      <c r="D14" s="1879" t="n"/>
    </row>
    <row r="15">
      <c r="A15" s="506" t="n">
        <v>2</v>
      </c>
      <c r="B15" s="501" t="inlineStr">
        <is>
          <t>HO DR…….</t>
        </is>
      </c>
      <c r="C15" s="1878">
        <f>+D17+D18+D19-C16</f>
        <v/>
      </c>
      <c r="D15" s="1879" t="n"/>
    </row>
    <row r="16">
      <c r="A16" s="506" t="n"/>
      <c r="B16" s="501" t="inlineStr">
        <is>
          <t>PL 4197 SERVICE TAX/GST EXPENSES A/C. DR</t>
        </is>
      </c>
      <c r="C16" s="1878">
        <f>(+D17+D18+D19)/2</f>
        <v/>
      </c>
      <c r="D16" s="1879" t="n"/>
    </row>
    <row r="17">
      <c r="A17" s="501" t="n"/>
      <c r="B17" s="501" t="inlineStr">
        <is>
          <t xml:space="preserve">      TO GL 8546 GGST RECEIVABLE A/C..</t>
        </is>
      </c>
      <c r="C17" s="1878" t="n"/>
      <c r="D17" s="1879">
        <f>+'ODHAV '!D81</f>
        <v/>
      </c>
    </row>
    <row r="18">
      <c r="A18" s="501" t="n"/>
      <c r="B18" s="501" t="inlineStr">
        <is>
          <t xml:space="preserve">      TO GL 8547 CGST RECEIVABLE A/C..</t>
        </is>
      </c>
      <c r="C18" s="1878" t="n"/>
      <c r="D18" s="1879">
        <f>+'ODHAV '!E81</f>
        <v/>
      </c>
    </row>
    <row r="19">
      <c r="A19" s="501" t="n"/>
      <c r="B19" s="501" t="inlineStr">
        <is>
          <t xml:space="preserve">      TO GL 8548 IGST RECEIVABLE A/C..</t>
        </is>
      </c>
      <c r="C19" s="1878" t="n"/>
      <c r="D19" s="1879">
        <f>+'ODHAV '!F81</f>
        <v/>
      </c>
    </row>
    <row r="20">
      <c r="A20" s="501" t="n"/>
      <c r="B20" s="501" t="inlineStr">
        <is>
          <t>(BEING 50% SET OFF TRF TO EXPS PL4197 AND</t>
        </is>
      </c>
      <c r="C20" s="1878" t="n"/>
      <c r="D20" s="1879" t="n"/>
    </row>
    <row r="21" ht="16.5" customHeight="1">
      <c r="A21" s="510" t="n"/>
      <c r="B21" s="510" t="inlineStr">
        <is>
          <t>50% TRF TO HO)</t>
        </is>
      </c>
      <c r="C21" s="1881" t="n"/>
      <c r="D21" s="1882" t="n"/>
    </row>
    <row r="22">
      <c r="C22" s="1883" t="n"/>
      <c r="D22" s="1883" t="n"/>
    </row>
    <row r="23">
      <c r="C23" s="1883" t="n"/>
      <c r="D23" s="1883" t="n"/>
    </row>
    <row r="24">
      <c r="C24" s="1883" t="n"/>
      <c r="D24" s="1883" t="n"/>
    </row>
    <row r="25">
      <c r="C25" s="1883" t="n"/>
      <c r="D25" s="1883" t="n"/>
    </row>
    <row r="26">
      <c r="C26" s="1883" t="n"/>
      <c r="D26" s="1883" t="n"/>
    </row>
    <row r="27">
      <c r="C27" s="1883" t="n"/>
      <c r="D27" s="1883" t="n"/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70.42578125" customWidth="1" min="2" max="2"/>
    <col width="20.5703125" customWidth="1" min="3" max="3"/>
    <col width="19.140625" customWidth="1" min="4" max="4"/>
    <col width="9.140625" customWidth="1" min="5" max="5"/>
  </cols>
  <sheetData>
    <row r="1">
      <c r="A1" s="1450" t="inlineStr">
        <is>
          <t>NUTAN NAGRIK SAHAKARI BANK LIMITED, RAKHIAL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+RAKHIAL!D74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+RAKHIAL!E74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+RAKHIAL!F74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SUM(C7:C9)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794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+(D17+D18+D19)/2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+RAKHIAL!D81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+RAKHIAL!E81</f>
        <v/>
      </c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+RAKHIAL!F81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C22" s="1883" t="n"/>
      <c r="D22" s="1883" t="n"/>
    </row>
    <row r="23">
      <c r="C23" s="1883" t="n"/>
      <c r="D23" s="1883" t="n"/>
    </row>
    <row r="24">
      <c r="C24" s="1883" t="n"/>
      <c r="D24" s="1883" t="n"/>
    </row>
    <row r="25">
      <c r="C25" s="1883" t="n"/>
      <c r="D25" s="1883" t="n"/>
    </row>
    <row r="26">
      <c r="C26" s="1883" t="n"/>
      <c r="D26" s="1883" t="n"/>
    </row>
    <row r="27">
      <c r="C27" s="1883" t="n"/>
      <c r="D27" s="1883" t="n"/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78.85546875" customWidth="1" min="2" max="2"/>
    <col width="17.42578125" customWidth="1" min="3" max="3"/>
    <col width="12.28515625" customWidth="1" min="5" max="5"/>
    <col width="14.85546875" customWidth="1" min="6" max="6"/>
    <col width="9.140625" customWidth="1" min="7" max="7"/>
    <col width="14.85546875" customWidth="1" min="8" max="8"/>
    <col width="9.140625" customWidth="1" min="9" max="9"/>
  </cols>
  <sheetData>
    <row r="1">
      <c r="A1" s="1450" t="inlineStr">
        <is>
          <t>NUTAN NAGRIK SAHAKARI BANK LIMITED, CHANGODAR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+CHANGODAR!D74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+CHANGODAR!E74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+CHANGODAR!F74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SUM(C7:C9)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794" t="n"/>
      <c r="C14" s="1880" t="n"/>
      <c r="D14" s="1886" t="n"/>
      <c r="E14" s="788" t="n"/>
      <c r="F14" s="788" t="n"/>
      <c r="G14" s="788" t="n"/>
      <c r="H14" s="788" t="n"/>
    </row>
    <row r="15" ht="15.75" customHeight="1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  <c r="E15" s="788" t="n"/>
      <c r="F15" s="788" t="n"/>
      <c r="G15" s="788" t="n"/>
      <c r="H15" s="788" t="n"/>
    </row>
    <row r="16">
      <c r="A16" s="1885" t="n"/>
      <c r="B16" s="794" t="inlineStr">
        <is>
          <t>PL 4197 SERVICE TAX/GST EXPENSES A/C. DR</t>
        </is>
      </c>
      <c r="C16" s="1880">
        <f>+(D17+D18+D19)/2</f>
        <v/>
      </c>
      <c r="D16" s="1886" t="n"/>
      <c r="E16" s="788" t="n"/>
      <c r="F16" s="788" t="n"/>
      <c r="G16" s="788" t="n"/>
      <c r="H16" s="788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+CHANGODAR!D81</f>
        <v/>
      </c>
      <c r="E17" s="788" t="n"/>
      <c r="F17" s="788" t="n"/>
      <c r="G17" s="788" t="n"/>
      <c r="H17" s="788" t="n"/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+CHANGODAR!E81</f>
        <v/>
      </c>
      <c r="E18" s="788" t="n"/>
      <c r="F18" s="788" t="n"/>
      <c r="G18" s="788" t="n"/>
      <c r="H18" s="788" t="n"/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+CHANGODAR!F81</f>
        <v/>
      </c>
      <c r="E19" s="788" t="n"/>
      <c r="F19" s="788" t="n"/>
      <c r="G19" s="788" t="n"/>
      <c r="H19" s="788" t="n"/>
    </row>
    <row r="20">
      <c r="A20" s="794" t="n"/>
      <c r="B20" s="794">
        <f>+ODHAV1!B20</f>
        <v/>
      </c>
      <c r="C20" s="1880" t="n"/>
      <c r="D20" s="1886" t="n"/>
      <c r="E20" s="788" t="n"/>
      <c r="F20" s="788" t="n"/>
      <c r="G20" s="788" t="n"/>
      <c r="H20" s="788" t="n"/>
    </row>
    <row r="21" ht="16.5" customHeight="1">
      <c r="A21" s="1888" t="n"/>
      <c r="B21" s="1888">
        <f>+ODHAV1!B21</f>
        <v/>
      </c>
      <c r="C21" s="1889" t="n"/>
      <c r="D21" s="1890" t="n"/>
      <c r="E21" s="788" t="n"/>
      <c r="F21" s="788" t="n"/>
      <c r="G21" s="788" t="n"/>
      <c r="H21" s="788" t="n"/>
    </row>
    <row r="22">
      <c r="C22" s="1883" t="n"/>
      <c r="D22" s="1883" t="n"/>
    </row>
    <row r="23">
      <c r="C23" s="1883" t="n"/>
      <c r="D23" s="1883" t="n"/>
    </row>
    <row r="24">
      <c r="C24" s="1883" t="n"/>
      <c r="D24" s="1883" t="n"/>
    </row>
    <row r="25">
      <c r="C25" s="1883" t="n"/>
      <c r="D25" s="1883" t="n"/>
    </row>
    <row r="26">
      <c r="C26" s="1883" t="n"/>
      <c r="D26" s="1883" t="n"/>
    </row>
    <row r="27">
      <c r="C27" s="1883" t="n"/>
      <c r="D27" s="1883" t="n"/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8.28515625" customWidth="1" min="2" max="2"/>
    <col width="17.42578125" customWidth="1" min="3" max="3"/>
    <col width="18.140625" customWidth="1" min="4" max="4"/>
    <col width="9.140625" customWidth="1" min="5" max="5"/>
    <col width="16.42578125" customWidth="1" min="6" max="6"/>
    <col width="10.7109375" customWidth="1" min="7" max="7"/>
    <col width="9.140625" customWidth="1" min="8" max="8"/>
  </cols>
  <sheetData>
    <row r="1">
      <c r="A1" s="1450" t="inlineStr">
        <is>
          <t>NUTAN NAGRIK SAHAKARI BANK LIMITED, NEW SHARDA MANDIR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'NEW SHARDA'!D74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'NEW SHARDA'!E74</f>
        <v/>
      </c>
      <c r="D8" s="1886" t="n"/>
    </row>
    <row r="9">
      <c r="A9" s="1885" t="n"/>
      <c r="B9" s="794" t="inlineStr">
        <is>
          <t>GL 1880 IGST PAYABLE A/C. DR….</t>
        </is>
      </c>
      <c r="C9" s="1891">
        <f>+'NEW SHARDA'!F74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794" t="n"/>
      <c r="C14" s="1880" t="n"/>
      <c r="D14" s="1886" t="n"/>
    </row>
    <row r="15">
      <c r="A15" s="1885" t="n">
        <v>2</v>
      </c>
      <c r="B15" s="794" t="inlineStr">
        <is>
          <t>GL 8546 GGST RECEIVABLE A/C.. DR..</t>
        </is>
      </c>
      <c r="C15" s="1880" t="n">
        <v>0</v>
      </c>
      <c r="D15" s="1886" t="n"/>
    </row>
    <row r="16">
      <c r="A16" s="1885" t="n"/>
      <c r="B16" s="794" t="inlineStr">
        <is>
          <t>GL 8547 GGST RECEIVABLE A/C..DR..</t>
        </is>
      </c>
      <c r="C16" s="1880" t="n">
        <v>0</v>
      </c>
      <c r="D16" s="1886" t="n"/>
    </row>
    <row r="17">
      <c r="A17" s="1885" t="n"/>
      <c r="B17" s="794" t="inlineStr">
        <is>
          <t xml:space="preserve">      TO GL 8548 IGST RECEIVABLE A/C..</t>
        </is>
      </c>
      <c r="C17" s="1880" t="n"/>
      <c r="D17" s="1886" t="n">
        <v>0</v>
      </c>
    </row>
    <row r="18">
      <c r="A18" s="1885" t="n"/>
      <c r="B18" s="794" t="inlineStr">
        <is>
          <t>(BEING REVERSAL OF ENTRY WRONGLY PASS BY</t>
        </is>
      </c>
      <c r="C18" s="1880" t="n"/>
      <c r="D18" s="1886" t="n"/>
    </row>
    <row r="19">
      <c r="A19" s="1885" t="n"/>
      <c r="B19" s="794" t="inlineStr">
        <is>
          <t>BRANCH IN CGST AND SGST INSTEAD OF IGST)</t>
        </is>
      </c>
      <c r="C19" s="1880" t="n"/>
      <c r="D19" s="1886" t="n"/>
    </row>
    <row r="20" ht="16.5" customHeight="1">
      <c r="A20" s="1885" t="n"/>
      <c r="B20" s="794" t="n"/>
      <c r="C20" s="1880" t="n"/>
      <c r="D20" s="1886" t="n"/>
    </row>
    <row r="21">
      <c r="A21" s="1892" t="n"/>
      <c r="B21" s="1893" t="n"/>
      <c r="C21" s="1894" t="n"/>
      <c r="D21" s="1894" t="n"/>
      <c r="F21" s="1880" t="n"/>
    </row>
    <row r="22">
      <c r="A22" s="1885" t="n">
        <v>3</v>
      </c>
      <c r="B22" s="794" t="inlineStr">
        <is>
          <t>HO DR…….</t>
        </is>
      </c>
      <c r="C22" s="1886">
        <f>+D24+D25+D26-C23</f>
        <v/>
      </c>
      <c r="D22" s="1886" t="n"/>
      <c r="F22" s="1880" t="n"/>
    </row>
    <row r="23">
      <c r="A23" s="1885" t="n"/>
      <c r="B23" s="794" t="inlineStr">
        <is>
          <t>PL 4197 SERVICE TAX/GST EXPENSES A/C. DR</t>
        </is>
      </c>
      <c r="C23" s="1886">
        <f>+SUM(D24:D26)/2</f>
        <v/>
      </c>
      <c r="D23" s="1886" t="n"/>
      <c r="G23" s="1880" t="n"/>
    </row>
    <row r="24">
      <c r="A24" s="794" t="n"/>
      <c r="B24" s="794" t="inlineStr">
        <is>
          <t xml:space="preserve">      TO GL 8546 GGST RECEIVABLE A/C..</t>
        </is>
      </c>
      <c r="C24" s="1886" t="n"/>
      <c r="D24" s="1886">
        <f>'NEW SHARDA'!D81</f>
        <v/>
      </c>
    </row>
    <row r="25">
      <c r="A25" s="794" t="n"/>
      <c r="B25" s="794" t="inlineStr">
        <is>
          <t xml:space="preserve">      TO GL 8547 CGST RECEIVABLE A/C..</t>
        </is>
      </c>
      <c r="C25" s="1886" t="n"/>
      <c r="D25" s="1886">
        <f>'NEW SHARDA'!E81</f>
        <v/>
      </c>
    </row>
    <row r="26">
      <c r="A26" s="794" t="n"/>
      <c r="B26" s="794" t="inlineStr">
        <is>
          <t xml:space="preserve">      TO GL 8548 IGST RECEIVABLE A/C..</t>
        </is>
      </c>
      <c r="C26" s="1886" t="n"/>
      <c r="D26" s="1886">
        <f>+'NEW SHARDA'!F81</f>
        <v/>
      </c>
    </row>
    <row r="27">
      <c r="A27" s="794" t="n"/>
      <c r="B27" s="794">
        <f>+ODHAV1!B20</f>
        <v/>
      </c>
      <c r="C27" s="1886" t="n"/>
      <c r="D27" s="1886" t="n"/>
    </row>
    <row r="28">
      <c r="A28" s="794" t="n"/>
      <c r="B28" s="794">
        <f>+ODHAV1!B21</f>
        <v/>
      </c>
      <c r="C28" s="1886" t="n"/>
      <c r="D28" s="1886" t="n"/>
    </row>
    <row r="29" ht="16.5" customHeight="1">
      <c r="A29" s="1888" t="n"/>
      <c r="B29" s="1888" t="n"/>
      <c r="C29" s="1895" t="n"/>
      <c r="D29" s="1895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92D050"/>
    <outlinePr summaryBelow="1" summaryRight="1"/>
    <pageSetUpPr/>
  </sheetPr>
  <dimension ref="A1:M671"/>
  <sheetViews>
    <sheetView workbookViewId="0">
      <selection activeCell="A1" sqref="A1"/>
    </sheetView>
  </sheetViews>
  <sheetFormatPr baseColWidth="8" defaultRowHeight="15"/>
  <cols>
    <col width="11.5703125" customWidth="1" min="1" max="1"/>
    <col width="64.85546875" customWidth="1" min="2" max="2"/>
    <col width="19" customWidth="1" min="3" max="3"/>
    <col width="16.42578125" customWidth="1" min="5" max="5"/>
    <col width="9.140625" customWidth="1" min="6" max="6"/>
  </cols>
  <sheetData>
    <row r="1">
      <c r="A1" s="1450" t="inlineStr">
        <is>
          <t>NUTAN NAGRIK SAHAKARI BANK LIMITED, ISANPUR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49" t="inlineStr">
        <is>
          <t>PARTICULAR</t>
        </is>
      </c>
      <c r="C5" s="93" t="inlineStr">
        <is>
          <t>DR. RS.</t>
        </is>
      </c>
      <c r="D5" s="1142" t="inlineStr">
        <is>
          <t>CR. RS.</t>
        </is>
      </c>
    </row>
    <row r="6" ht="15.75" customHeight="1">
      <c r="A6" s="794" t="n"/>
      <c r="B6" s="794" t="n"/>
      <c r="D6" s="794" t="n"/>
      <c r="E6" s="963" t="n"/>
      <c r="F6" s="963" t="n"/>
    </row>
    <row r="7" ht="16.5" customHeight="1">
      <c r="A7" s="1885" t="n">
        <v>1</v>
      </c>
      <c r="B7" s="794" t="inlineStr">
        <is>
          <t>GL 1878 GGST PAYABLE A/C. DR….</t>
        </is>
      </c>
      <c r="C7" s="1880">
        <f>+ISANPUR!D74</f>
        <v/>
      </c>
      <c r="D7" s="1886" t="n"/>
    </row>
    <row r="8" ht="16.5" customHeight="1">
      <c r="A8" s="1885" t="n"/>
      <c r="B8" s="794" t="inlineStr">
        <is>
          <t>GL 1879 CGST PAYABLE A/C. DR….</t>
        </is>
      </c>
      <c r="C8" s="1880">
        <f>+ISANPUR!E74</f>
        <v/>
      </c>
      <c r="D8" s="1886" t="n"/>
    </row>
    <row r="9" ht="16.5" customHeight="1">
      <c r="A9" s="1885" t="n"/>
      <c r="B9" s="794" t="inlineStr">
        <is>
          <t>GL 1880 IGST PAYABLE A/C. DR….</t>
        </is>
      </c>
      <c r="C9" s="1880">
        <f>+ISANPUR!F74</f>
        <v/>
      </c>
      <c r="D9" s="1886" t="n"/>
    </row>
    <row r="10" ht="16.5" customHeight="1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 ht="16.5" customHeight="1">
      <c r="A11" s="1885" t="n"/>
      <c r="B11" s="794">
        <f>+ODHAV1!B11</f>
        <v/>
      </c>
      <c r="C11" s="1880" t="n"/>
      <c r="D11" s="1886" t="n"/>
    </row>
    <row r="12" ht="16.5" customHeight="1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  <c r="E13" s="963" t="n"/>
      <c r="F13" s="963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+ISANPUR!D81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+ISANPUR!E81</f>
        <v/>
      </c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+ISANPUR!F81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 ht="16.5" customHeight="1">
      <c r="A22" s="1896" t="n"/>
      <c r="B22" s="1893" t="n"/>
      <c r="C22" s="1897" t="n"/>
      <c r="D22" s="1898" t="n"/>
      <c r="E22" s="875" t="n"/>
      <c r="F22" s="875" t="n"/>
      <c r="G22" s="875" t="n"/>
      <c r="H22" s="1899" t="n"/>
    </row>
    <row r="23">
      <c r="A23" s="1900" t="n">
        <v>3</v>
      </c>
      <c r="B23" s="794" t="inlineStr">
        <is>
          <t>GL 8546 GGST RECEIVABLE A/C..</t>
        </is>
      </c>
      <c r="C23" s="1883" t="n"/>
      <c r="D23" s="1901" t="n"/>
      <c r="E23" s="875" t="n"/>
      <c r="F23" s="875" t="n"/>
      <c r="G23" s="875" t="n"/>
      <c r="H23" s="1899" t="n"/>
    </row>
    <row r="24">
      <c r="A24" s="1902" t="n"/>
      <c r="B24" s="794" t="inlineStr">
        <is>
          <t>GL 8547 CGST RECEIVABLE A/C..</t>
        </is>
      </c>
      <c r="C24" s="1883" t="n"/>
      <c r="D24" s="1901" t="n"/>
      <c r="E24" s="875" t="n"/>
      <c r="F24" s="875" t="n"/>
      <c r="G24" s="875" t="n"/>
      <c r="H24" s="1899" t="n"/>
    </row>
    <row r="25">
      <c r="A25" s="1902" t="n"/>
      <c r="B25" s="794" t="inlineStr">
        <is>
          <t xml:space="preserve">      TO PL 4197 SERVICE TAX/GST EXPENSES A/C.</t>
        </is>
      </c>
      <c r="C25" s="1883" t="n"/>
      <c r="D25" s="1901" t="n"/>
      <c r="E25" s="875" t="n"/>
      <c r="F25" s="875" t="n"/>
      <c r="G25" s="875" t="n"/>
      <c r="H25" s="1899" t="n"/>
    </row>
    <row r="26" ht="15.75" customHeight="1">
      <c r="A26" s="1902" t="n"/>
      <c r="B26" s="794" t="inlineStr">
        <is>
          <t>(BEING WRONG ENTRY MADE EXPENSED OFF)</t>
        </is>
      </c>
      <c r="C26" s="1883" t="n"/>
      <c r="D26" s="1901" t="n"/>
      <c r="E26" s="1072" t="n"/>
      <c r="F26" s="1072" t="n"/>
      <c r="G26" s="1072" t="n"/>
      <c r="H26" s="1072" t="n"/>
      <c r="I26" s="1072" t="n"/>
    </row>
    <row r="27" ht="16.5" customHeight="1">
      <c r="A27" s="1903" t="n"/>
      <c r="B27" s="1888" t="n"/>
      <c r="C27" s="1904" t="n"/>
      <c r="D27" s="1895" t="n"/>
      <c r="E27" s="1072" t="n"/>
      <c r="F27" s="1072" t="n"/>
      <c r="G27" s="1072" t="n"/>
      <c r="H27" s="1072" t="n"/>
      <c r="I27" s="1072" t="n"/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>
      <c r="B433" s="1884" t="inlineStr">
        <is>
          <t>MARCH 2026 TRANSFER FROM BRANCH)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M562" s="1884" t="inlineStr">
        <is>
          <t>AS DISSCUSS WITH HARDIK BHAI ENTRY PASSED BY NIMESH BHAI</t>
        </is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>
      <c r="B580" s="1884" t="inlineStr">
        <is>
          <t>MARCH 2025 TRANSFER FROM BRANCH)</t>
        </is>
      </c>
    </row>
    <row r="581"/>
    <row r="582"/>
    <row r="583"/>
    <row r="584"/>
    <row r="585"/>
    <row r="586"/>
    <row r="587"/>
    <row r="588"/>
    <row r="589"/>
    <row r="590"/>
    <row r="591"/>
    <row r="592"/>
    <row r="593"/>
    <row r="594">
      <c r="B594" s="1884" t="inlineStr">
        <is>
          <t>LEDGER BALANCE FOR THE MONTH OF MARCH)</t>
        </is>
      </c>
    </row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>
      <c r="B671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92D050"/>
    <outlinePr summaryBelow="1" summaryRight="1"/>
    <pageSetUpPr/>
  </sheetPr>
  <dimension ref="A1:M687"/>
  <sheetViews>
    <sheetView workbookViewId="0">
      <selection activeCell="A1" sqref="A1"/>
    </sheetView>
  </sheetViews>
  <sheetFormatPr baseColWidth="8" defaultRowHeight="15"/>
  <cols>
    <col width="9.42578125" customWidth="1" min="1" max="1"/>
    <col width="63" customWidth="1" min="2" max="2"/>
    <col width="17.42578125" customWidth="1" min="3" max="3"/>
    <col width="17.42578125" customWidth="1" min="4" max="4"/>
    <col width="9.140625" customWidth="1" min="5" max="5"/>
  </cols>
  <sheetData>
    <row r="1">
      <c r="A1" s="1450" t="inlineStr">
        <is>
          <t>NUTAN NAGRIK SAHAKARI BANK LIMITED, MANINAGAR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MANINAGAR!D74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MANINAGAR!E74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+MANINAGAR!F74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+MANINAGAR!D81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+MANINAGAR!E81</f>
        <v/>
      </c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+MANINAGAR!F81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A22" s="1896" t="n"/>
      <c r="B22" s="1893" t="n"/>
      <c r="C22" s="1905" t="n"/>
      <c r="D22" s="1894" t="n"/>
    </row>
    <row r="23">
      <c r="A23" s="1906" t="n">
        <v>3</v>
      </c>
      <c r="B23" s="794" t="inlineStr">
        <is>
          <t>GL 1878 GGST PAYABLE A/C. DR….</t>
        </is>
      </c>
      <c r="C23" s="1880" t="n">
        <v>0</v>
      </c>
      <c r="D23" s="1886" t="n"/>
    </row>
    <row r="24">
      <c r="A24" s="1902" t="n"/>
      <c r="B24" s="794" t="inlineStr">
        <is>
          <t>GL 1879 CGST PAYABLE A/C. DR….</t>
        </is>
      </c>
      <c r="C24" s="1880">
        <f>+C23</f>
        <v/>
      </c>
      <c r="D24" s="1886" t="n"/>
    </row>
    <row r="25">
      <c r="A25" s="1902" t="n"/>
      <c r="B25" s="794" t="inlineStr">
        <is>
          <t xml:space="preserve">    TO PL 4197 SERVICE TAX/GST EXPENSES A/C</t>
        </is>
      </c>
      <c r="C25" s="1880" t="n"/>
      <c r="D25" s="1886">
        <f>+C23+C24</f>
        <v/>
      </c>
    </row>
    <row r="26">
      <c r="A26" s="1902" t="n"/>
      <c r="B26" s="794" t="inlineStr">
        <is>
          <t>(BEING MARCH 2026 ENTRY RECTIFIED)</t>
        </is>
      </c>
      <c r="C26" s="1880" t="n"/>
      <c r="D26" s="1886" t="n"/>
    </row>
    <row r="27">
      <c r="A27" s="1902" t="n"/>
      <c r="B27" s="794" t="n"/>
      <c r="C27" s="1880" t="n"/>
      <c r="D27" s="1886" t="n"/>
    </row>
    <row r="28" ht="16.5" customHeight="1">
      <c r="A28" s="1903" t="n"/>
      <c r="B28" s="1888" t="n"/>
      <c r="C28" s="1889" t="n"/>
      <c r="D28" s="1890" t="n"/>
    </row>
    <row r="29">
      <c r="C29" s="1880" t="n"/>
      <c r="D29" s="1880" t="n"/>
    </row>
    <row r="30">
      <c r="C30" s="1880" t="n"/>
      <c r="D30" s="1880" t="n"/>
    </row>
    <row r="31">
      <c r="C31" s="1880" t="n"/>
      <c r="D31" s="1880" t="n"/>
    </row>
    <row r="32">
      <c r="C32" s="1880" t="n"/>
      <c r="D32" s="1880" t="n"/>
    </row>
    <row r="33">
      <c r="C33" s="1880" t="n"/>
      <c r="D33" s="1880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>
      <c r="C50" s="1883" t="n"/>
      <c r="D50" s="1883" t="n"/>
    </row>
    <row r="51">
      <c r="C51" s="1883" t="n"/>
      <c r="D51" s="1883" t="n"/>
    </row>
    <row r="52">
      <c r="C52" s="1883" t="n"/>
      <c r="D52" s="1883" t="n"/>
    </row>
    <row r="53">
      <c r="C53" s="1883" t="n"/>
      <c r="D53" s="1883" t="n"/>
    </row>
    <row r="54">
      <c r="C54" s="1883" t="n"/>
      <c r="D54" s="1883" t="n"/>
    </row>
    <row r="55">
      <c r="C55" s="1883" t="n"/>
      <c r="D55" s="1883" t="n"/>
    </row>
    <row r="56">
      <c r="C56" s="1883" t="n"/>
      <c r="D56" s="1883" t="n"/>
    </row>
    <row r="57">
      <c r="C57" s="1883" t="n"/>
      <c r="D57" s="1883" t="n"/>
    </row>
    <row r="58">
      <c r="C58" s="1883" t="n"/>
      <c r="D58" s="1883" t="n"/>
    </row>
    <row r="59">
      <c r="C59" s="1883" t="n"/>
      <c r="D59" s="1883" t="n"/>
    </row>
    <row r="60">
      <c r="C60" s="1883" t="n"/>
      <c r="D60" s="1883" t="n"/>
    </row>
    <row r="61">
      <c r="C61" s="1883" t="n"/>
      <c r="D61" s="1883" t="n"/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>
      <c r="B449" s="1884" t="inlineStr">
        <is>
          <t>MARCH 2026 TRANSFER FROM BRANCH)</t>
        </is>
      </c>
    </row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>
      <c r="M578" s="1884" t="inlineStr">
        <is>
          <t>AS DISSCUSS WITH HARDIK BHAI ENTRY PASSED BY NIMESH BHAI</t>
        </is>
      </c>
    </row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>
      <c r="B596" s="1884" t="inlineStr">
        <is>
          <t>MARCH 2025 TRANSFER FROM BRANCH)</t>
        </is>
      </c>
    </row>
    <row r="597"/>
    <row r="598"/>
    <row r="599"/>
    <row r="600"/>
    <row r="601"/>
    <row r="602"/>
    <row r="603"/>
    <row r="604"/>
    <row r="605"/>
    <row r="606"/>
    <row r="607"/>
    <row r="608"/>
    <row r="609"/>
    <row r="610">
      <c r="B610" s="1884" t="inlineStr">
        <is>
          <t>LEDGER BALANCE FOR THE MONTH OF MARCH)</t>
        </is>
      </c>
    </row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>
      <c r="B687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6.42578125" customWidth="1" min="2" max="2"/>
    <col width="17.42578125" customWidth="1" min="3" max="3"/>
    <col width="9.140625" customWidth="1" min="5" max="5"/>
  </cols>
  <sheetData>
    <row r="1">
      <c r="A1" s="1450" t="inlineStr">
        <is>
          <t>NUTAN NAGRIK SAHAKARI BANK LIMITED, SHANTI COMMERCIAL CENTRE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+'SHANTI COMM'!D74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+'SHANTI COMM'!E74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+'SHANTI COMM'!F74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 ht="16.5" customHeight="1">
      <c r="A14" s="1892" t="n"/>
      <c r="B14" s="1893" t="n"/>
      <c r="C14" s="1905" t="n"/>
      <c r="D14" s="1894" t="n"/>
      <c r="E14" s="788" t="n"/>
      <c r="F14" s="788" t="n"/>
      <c r="G14" s="788" t="n"/>
      <c r="H14" s="788" t="n"/>
    </row>
    <row r="15" ht="16.5" customHeight="1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  <c r="E15" s="788" t="n"/>
      <c r="F15" s="788" t="n"/>
      <c r="G15" s="788" t="n"/>
      <c r="H15" s="788" t="n"/>
    </row>
    <row r="16" ht="16.5" customHeight="1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  <c r="E16" s="788" t="n"/>
      <c r="F16" s="788" t="n"/>
      <c r="G16" s="788" t="n"/>
      <c r="H16" s="788" t="n"/>
    </row>
    <row r="17" ht="16.5" customHeight="1">
      <c r="A17" s="794" t="n"/>
      <c r="B17" s="794" t="inlineStr">
        <is>
          <t xml:space="preserve">      TO GL 8546 GGST RECEIVABLE A/C..</t>
        </is>
      </c>
      <c r="C17" s="1880" t="n"/>
      <c r="D17" s="1886">
        <f>+'SHANTI COMM'!D81</f>
        <v/>
      </c>
      <c r="E17" s="788" t="n"/>
      <c r="F17" s="788" t="n"/>
      <c r="G17" s="788" t="n"/>
      <c r="H17" s="788" t="n"/>
    </row>
    <row r="18" ht="16.5" customHeight="1">
      <c r="A18" s="794" t="n"/>
      <c r="B18" s="794" t="inlineStr">
        <is>
          <t xml:space="preserve">      TO GL 8547 CGST RECEIVABLE A/C..</t>
        </is>
      </c>
      <c r="C18" s="1880" t="n"/>
      <c r="D18" s="1886">
        <f>+'SHANTI COMM'!E81</f>
        <v/>
      </c>
      <c r="E18" s="788" t="n"/>
      <c r="F18" s="788" t="n"/>
      <c r="G18" s="788" t="n"/>
      <c r="H18" s="788" t="n"/>
    </row>
    <row r="19" ht="16.5" customHeight="1">
      <c r="A19" s="794" t="n"/>
      <c r="B19" s="794" t="inlineStr">
        <is>
          <t xml:space="preserve">      TO GL 8548 IGST RECEIVABLE A/C..</t>
        </is>
      </c>
      <c r="C19" s="1880" t="n"/>
      <c r="D19" s="1886">
        <f>+'SHANTI COMM'!F81</f>
        <v/>
      </c>
      <c r="E19" s="788" t="n"/>
      <c r="F19" s="788" t="n"/>
      <c r="G19" s="788" t="n"/>
      <c r="H19" s="788" t="n"/>
    </row>
    <row r="20" ht="16.5" customHeight="1">
      <c r="A20" s="794" t="n"/>
      <c r="B20" s="794">
        <f>+ODHAV1!B20</f>
        <v/>
      </c>
      <c r="C20" s="1880" t="n"/>
      <c r="D20" s="1886" t="n"/>
      <c r="E20" s="788" t="n"/>
      <c r="F20" s="788" t="n"/>
      <c r="G20" s="788" t="n"/>
      <c r="H20" s="788" t="n"/>
    </row>
    <row r="21" ht="17.25" customHeight="1">
      <c r="A21" s="1888" t="n"/>
      <c r="B21" s="1888">
        <f>+ODHAV1!B21</f>
        <v/>
      </c>
      <c r="C21" s="1889" t="n"/>
      <c r="D21" s="1890" t="n"/>
      <c r="E21" s="788" t="n"/>
      <c r="F21" s="788" t="n"/>
      <c r="G21" s="788" t="n"/>
      <c r="H21" s="788" t="n"/>
    </row>
    <row r="22" ht="16.5" customHeight="1">
      <c r="A22" s="201" t="n"/>
      <c r="B22" s="202" t="n"/>
      <c r="C22" s="1894" t="n"/>
      <c r="D22" s="1894" t="n"/>
    </row>
    <row r="23" ht="16.5" customHeight="1">
      <c r="A23" s="1885" t="n">
        <v>3</v>
      </c>
      <c r="B23" s="794" t="inlineStr">
        <is>
          <t>GL 8546 GGST RECEIVABLE A/C..</t>
        </is>
      </c>
      <c r="C23" s="1886" t="n"/>
      <c r="D23" s="1886" t="n"/>
    </row>
    <row r="24" ht="16.5" customHeight="1">
      <c r="A24" s="115" t="n"/>
      <c r="B24" s="794" t="inlineStr">
        <is>
          <t>GL 8547 CGST RECEIVABLE A/C..</t>
        </is>
      </c>
      <c r="C24" s="1886" t="n"/>
      <c r="D24" s="1886" t="n">
        <v>0</v>
      </c>
    </row>
    <row r="25" ht="16.5" customHeight="1">
      <c r="A25" s="115" t="n"/>
      <c r="B25" s="794" t="inlineStr">
        <is>
          <t xml:space="preserve">       TO GL 1878 GGST PAYABLE A/C. DR….</t>
        </is>
      </c>
      <c r="C25" s="1886" t="n"/>
      <c r="D25" s="1886">
        <f>+C24</f>
        <v/>
      </c>
    </row>
    <row r="26" ht="16.5" customHeight="1">
      <c r="A26" s="115" t="n"/>
      <c r="B26" s="794" t="inlineStr">
        <is>
          <t xml:space="preserve">       TO GL 1879 CGST PAYABLE A/C. DR….</t>
        </is>
      </c>
      <c r="C26" s="1886" t="n"/>
      <c r="D26" s="1886">
        <f>+C24</f>
        <v/>
      </c>
    </row>
    <row r="27" ht="16.5" customHeight="1">
      <c r="A27" s="115" t="n"/>
      <c r="B27" s="794" t="inlineStr">
        <is>
          <t>(BEING TWO TIMES GST CHARGED IN 1878 PL)</t>
        </is>
      </c>
      <c r="C27" s="717" t="n"/>
      <c r="D27" s="717" t="n"/>
    </row>
    <row r="28" ht="16.5" customHeight="1">
      <c r="A28" s="115" t="n"/>
      <c r="B28" s="1167" t="n"/>
      <c r="C28" s="717" t="n"/>
      <c r="D28" s="717" t="n"/>
    </row>
    <row r="29" ht="17.25" customHeight="1">
      <c r="A29" s="423" t="n"/>
      <c r="B29" s="716" t="n"/>
      <c r="C29" s="718" t="n"/>
      <c r="D29" s="718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72.5703125" customWidth="1" min="2" max="2"/>
    <col width="18.7109375" customWidth="1" min="3" max="3"/>
    <col width="19.28515625" customWidth="1" min="4" max="4"/>
    <col width="9.140625" customWidth="1" min="5" max="5"/>
    <col width="19.28515625" customWidth="1" min="6" max="6"/>
    <col width="9.140625" customWidth="1" min="7" max="7"/>
  </cols>
  <sheetData>
    <row r="1">
      <c r="A1" s="1450" t="inlineStr">
        <is>
          <t>NUTAN NAGRIK SAHAKARI BANK LIMITED, MASKATI MARKET</t>
        </is>
      </c>
    </row>
    <row r="2"/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115" t="n"/>
      <c r="B6" s="115" t="n"/>
      <c r="D6" s="115" t="n"/>
    </row>
    <row r="7">
      <c r="A7" s="1907" t="n">
        <v>1</v>
      </c>
      <c r="B7" s="794" t="inlineStr">
        <is>
          <t>GL 1878 GGST PAYABLE A/C. DR….</t>
        </is>
      </c>
      <c r="C7" s="1884" t="n">
        <v>0</v>
      </c>
      <c r="D7" s="115" t="n"/>
    </row>
    <row r="8">
      <c r="A8" s="115" t="n"/>
      <c r="B8" s="794" t="inlineStr">
        <is>
          <t>GL 1879 CGST PAYABLE A/C. DR….</t>
        </is>
      </c>
      <c r="C8" s="1884" t="n">
        <v>0</v>
      </c>
      <c r="D8" s="115" t="n"/>
    </row>
    <row r="9">
      <c r="A9" s="115" t="n"/>
      <c r="B9" s="1908" t="inlineStr">
        <is>
          <t xml:space="preserve">TO GL 1880 IGST PAYABLE A/C. </t>
        </is>
      </c>
      <c r="D9" s="794" t="n">
        <v>0</v>
      </c>
    </row>
    <row r="10">
      <c r="A10" s="115" t="n"/>
      <c r="B10" s="794" t="inlineStr">
        <is>
          <t xml:space="preserve">(BEING GST PAYABLE OF IGST WRONGLY </t>
        </is>
      </c>
      <c r="D10" s="115" t="n"/>
    </row>
    <row r="11">
      <c r="A11" s="115" t="n"/>
      <c r="B11" s="794" t="inlineStr">
        <is>
          <t xml:space="preserve">RECORDED IN CGST AND SGST PAYABLE HENCE </t>
        </is>
      </c>
      <c r="D11" s="115" t="n"/>
    </row>
    <row r="12">
      <c r="A12" s="115" t="n"/>
      <c r="B12" s="794" t="inlineStr">
        <is>
          <t>SAME IS RECTIFIED)</t>
        </is>
      </c>
      <c r="D12" s="115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794" t="n"/>
      <c r="C14" s="1880" t="n"/>
      <c r="D14" s="1886" t="n"/>
    </row>
    <row r="15">
      <c r="A15" s="1885">
        <f>+A7+1</f>
        <v/>
      </c>
      <c r="B15" s="794" t="inlineStr">
        <is>
          <t xml:space="preserve">  GL 8546 GGST RECEIVABLE A/C..DR…</t>
        </is>
      </c>
      <c r="C15" s="1880" t="n">
        <v>0</v>
      </c>
      <c r="D15" s="1886" t="n"/>
    </row>
    <row r="16">
      <c r="A16" s="1885" t="n"/>
      <c r="B16" s="794" t="inlineStr">
        <is>
          <t xml:space="preserve">  GL 8547 CGST RECEIVABLE A/C..DR…</t>
        </is>
      </c>
      <c r="C16" s="1880" t="n">
        <v>0</v>
      </c>
      <c r="D16" s="1886" t="n"/>
    </row>
    <row r="17">
      <c r="A17" s="1885" t="n"/>
      <c r="B17" s="1909" t="inlineStr">
        <is>
          <t xml:space="preserve">TO GL 1878 GGST PAYABLE A/C. </t>
        </is>
      </c>
      <c r="C17" s="1880" t="n"/>
      <c r="D17" s="1886" t="n">
        <v>0</v>
      </c>
    </row>
    <row r="18">
      <c r="A18" s="1885" t="n"/>
      <c r="B18" s="1909" t="inlineStr">
        <is>
          <t xml:space="preserve">TO GL 1879 CGST PAYABLE A/C. </t>
        </is>
      </c>
      <c r="C18" s="1880" t="n"/>
      <c r="D18" s="1886">
        <f>+D17</f>
        <v/>
      </c>
      <c r="F18" s="396" t="n"/>
    </row>
    <row r="19">
      <c r="A19" s="1885" t="n"/>
      <c r="B19" s="794" t="inlineStr">
        <is>
          <t>(BEING WRONGLY ENTRY PASS BY BRACH HENCE</t>
        </is>
      </c>
      <c r="C19" s="1880" t="n"/>
      <c r="D19" s="1886" t="n"/>
      <c r="F19" s="396" t="n"/>
    </row>
    <row r="20">
      <c r="A20" s="1885" t="n"/>
      <c r="B20" s="794" t="inlineStr">
        <is>
          <t>SAME IS TO BE RECTIFIED)</t>
        </is>
      </c>
      <c r="C20" s="1880" t="n"/>
      <c r="D20" s="1886" t="n"/>
    </row>
    <row r="21">
      <c r="A21" s="1885" t="n"/>
      <c r="B21" s="794" t="n"/>
      <c r="C21" s="1880" t="n"/>
      <c r="D21" s="1886" t="n"/>
    </row>
    <row r="22" ht="16.5" customHeight="1">
      <c r="A22" s="1887" t="n"/>
      <c r="B22" s="1888" t="n"/>
      <c r="C22" s="1889" t="n"/>
      <c r="D22" s="1890" t="n"/>
    </row>
    <row r="23">
      <c r="A23" s="1885" t="n"/>
      <c r="B23" s="1893" t="n"/>
      <c r="C23" s="1880" t="n"/>
      <c r="D23" s="1886" t="n"/>
      <c r="E23" s="1451" t="n"/>
    </row>
    <row r="24">
      <c r="A24" s="1885">
        <f>+A15+1</f>
        <v/>
      </c>
      <c r="B24" s="794" t="inlineStr">
        <is>
          <t>GL 1878 GGST PAYABLE A/C. DR….</t>
        </is>
      </c>
      <c r="C24" s="1880">
        <f>+MASKATI!D74</f>
        <v/>
      </c>
      <c r="D24" s="1886" t="n"/>
      <c r="E24" s="1910" t="n"/>
    </row>
    <row r="25">
      <c r="A25" s="1885" t="n"/>
      <c r="B25" s="794" t="inlineStr">
        <is>
          <t>GL 1879 CGST PAYABLE A/C. DR….</t>
        </is>
      </c>
      <c r="C25" s="1880">
        <f>+MASKATI!E74</f>
        <v/>
      </c>
      <c r="D25" s="1886" t="n"/>
      <c r="E25" s="1910" t="n"/>
    </row>
    <row r="26">
      <c r="A26" s="1885" t="n"/>
      <c r="B26" s="794" t="inlineStr">
        <is>
          <t>GL 1880 IGST PAYABLE A/C. DR….</t>
        </is>
      </c>
      <c r="C26" s="1880">
        <f>+MASKATI!F74</f>
        <v/>
      </c>
      <c r="D26" s="1886" t="n"/>
      <c r="E26" s="1910" t="n"/>
    </row>
    <row r="27">
      <c r="A27" s="1885" t="n"/>
      <c r="B27" s="794" t="inlineStr">
        <is>
          <t xml:space="preserve">      TO HO </t>
        </is>
      </c>
      <c r="C27" s="1880" t="n"/>
      <c r="D27" s="1886">
        <f>+C24+C25+C26</f>
        <v/>
      </c>
      <c r="E27" s="1910" t="n"/>
    </row>
    <row r="28">
      <c r="A28" s="1885" t="n"/>
      <c r="B28" s="794">
        <f>+ODHAV1!B11</f>
        <v/>
      </c>
      <c r="C28" s="1880" t="n"/>
      <c r="D28" s="1886" t="n"/>
    </row>
    <row r="29">
      <c r="A29" s="1885" t="n"/>
      <c r="B29" s="794">
        <f>+ODHAV1!B12</f>
        <v/>
      </c>
      <c r="C29" s="1880" t="n"/>
      <c r="D29" s="1886" t="n"/>
    </row>
    <row r="30" ht="16.5" customHeight="1">
      <c r="A30" s="1887" t="n"/>
      <c r="B30" s="1888" t="n"/>
      <c r="C30" s="1889" t="n"/>
      <c r="D30" s="1886" t="n"/>
    </row>
    <row r="31" ht="16.5" customHeight="1">
      <c r="A31" s="1885" t="n"/>
      <c r="B31" s="1893" t="n"/>
      <c r="C31" s="1880" t="n"/>
      <c r="D31" s="1894" t="n"/>
    </row>
    <row r="32" ht="16.5" customHeight="1">
      <c r="A32" s="1885">
        <f>+A24+1</f>
        <v/>
      </c>
      <c r="B32" s="794" t="inlineStr">
        <is>
          <t>HO DR…….</t>
        </is>
      </c>
      <c r="C32" s="1880">
        <f>+D34+D35+D36-C33</f>
        <v/>
      </c>
      <c r="D32" s="1886" t="n"/>
    </row>
    <row r="33" ht="16.5" customHeight="1">
      <c r="A33" s="1885" t="n"/>
      <c r="B33" s="794" t="inlineStr">
        <is>
          <t>PL 4197 SERVICE TAX/GST EXPENSES A/C. DR</t>
        </is>
      </c>
      <c r="C33" s="1880">
        <f>+SUM(D34:D36)/2</f>
        <v/>
      </c>
      <c r="D33" s="1886" t="n"/>
    </row>
    <row r="34" ht="15.75" customHeight="1">
      <c r="A34" s="794" t="n"/>
      <c r="B34" s="794" t="inlineStr">
        <is>
          <t xml:space="preserve">      TO GL 8546 GGST RECEIVABLE A/C..</t>
        </is>
      </c>
      <c r="C34" s="1880" t="n"/>
      <c r="D34" s="1886">
        <f>+MASKATI!D81</f>
        <v/>
      </c>
    </row>
    <row r="35" ht="16.5" customHeight="1">
      <c r="A35" s="794" t="n"/>
      <c r="B35" s="794" t="inlineStr">
        <is>
          <t xml:space="preserve">      TO GL 8547 CGST RECEIVABLE A/C..</t>
        </is>
      </c>
      <c r="C35" s="1880" t="n"/>
      <c r="D35" s="1886">
        <f>+MASKATI!E81</f>
        <v/>
      </c>
    </row>
    <row r="36" ht="16.5" customHeight="1">
      <c r="A36" s="794" t="n"/>
      <c r="B36" s="794" t="inlineStr">
        <is>
          <t xml:space="preserve">      TO GL 8548 IGST RECEIVABLE A/C..</t>
        </is>
      </c>
      <c r="C36" s="1880" t="n"/>
      <c r="D36" s="1886">
        <f>+MASKATI!F81</f>
        <v/>
      </c>
    </row>
    <row r="37" ht="16.5" customHeight="1">
      <c r="A37" s="794" t="n"/>
      <c r="B37" s="1911">
        <f>+ODHAV1!B20</f>
        <v/>
      </c>
      <c r="C37" s="1880" t="n"/>
      <c r="D37" s="1886" t="n"/>
    </row>
    <row r="38" ht="17.25" customHeight="1">
      <c r="A38" s="1888" t="n"/>
      <c r="B38" s="1912">
        <f>+ODHAV1!B21</f>
        <v/>
      </c>
      <c r="C38" s="1889" t="n"/>
      <c r="D38" s="1890" t="n"/>
    </row>
    <row r="39" ht="16.5" customHeight="1">
      <c r="A39" s="1885" t="n"/>
      <c r="B39" s="1893" t="n"/>
      <c r="C39" s="1880" t="n"/>
      <c r="D39" s="1894" t="n"/>
    </row>
    <row r="40" ht="16.5" customHeight="1">
      <c r="A40" s="1885" t="n">
        <v>5</v>
      </c>
      <c r="B40" s="794" t="inlineStr">
        <is>
          <t>PL 4197 SERVICE TAX/GST EXPENSES A/C. DR…</t>
        </is>
      </c>
      <c r="C40" s="1880">
        <f>+D41+D42</f>
        <v/>
      </c>
      <c r="D40" s="1886" t="n"/>
    </row>
    <row r="41" ht="16.5" customHeight="1">
      <c r="A41" s="1885" t="n"/>
      <c r="B41" s="794" t="inlineStr">
        <is>
          <t xml:space="preserve">      TO GL 1878 GGST PAYABLE A/C.</t>
        </is>
      </c>
      <c r="C41" s="1880" t="n"/>
      <c r="D41" s="1886" t="n">
        <v>0</v>
      </c>
    </row>
    <row r="42" ht="16.5" customHeight="1">
      <c r="A42" s="794" t="n"/>
      <c r="B42" s="794" t="inlineStr">
        <is>
          <t xml:space="preserve">      TO GL 1879 CGST PAYABLE A/C.</t>
        </is>
      </c>
      <c r="C42" s="1880" t="n"/>
      <c r="D42" s="1886" t="n">
        <v>0</v>
      </c>
    </row>
    <row r="43" ht="16.5" customHeight="1">
      <c r="A43" s="794" t="n"/>
      <c r="B43" s="794" t="inlineStr">
        <is>
          <t>(BEING GST RECTIFICATION ENTRIES FOR THE MONTH OF</t>
        </is>
      </c>
      <c r="C43" s="1880" t="n"/>
      <c r="D43" s="1886" t="n"/>
    </row>
    <row r="44" ht="17.25" customHeight="1">
      <c r="A44" s="1888" t="n"/>
      <c r="B44" s="1912" t="inlineStr">
        <is>
          <t xml:space="preserve"> JAN 2025)</t>
        </is>
      </c>
      <c r="C44" s="1889" t="n"/>
      <c r="D44" s="1890" t="n"/>
    </row>
    <row r="45">
      <c r="C45" s="178" t="n"/>
      <c r="D45" s="178" t="n"/>
    </row>
    <row r="46">
      <c r="C46" s="178" t="n"/>
      <c r="D46" s="178" t="n"/>
    </row>
    <row r="47">
      <c r="C47" s="178" t="n"/>
      <c r="D47" s="178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167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167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167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167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167" t="inlineStr">
        <is>
          <t>(BEING CREDIT OF PERFORMA INVOICE TAKEN IN DEC-25 NOW REVERSE)</t>
        </is>
      </c>
    </row>
  </sheetData>
  <mergeCells count="3">
    <mergeCell ref="A1:D1"/>
    <mergeCell ref="A3:D3"/>
    <mergeCell ref="E23:G2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88.140625" customWidth="1" min="2" max="2"/>
    <col width="19.85546875" customWidth="1" min="3" max="3"/>
    <col width="24.85546875" customWidth="1" min="4" max="4"/>
    <col width="14.42578125" customWidth="1" min="5" max="5"/>
    <col width="11.85546875" customWidth="1" min="6" max="6"/>
    <col width="9.140625" customWidth="1" min="7" max="7"/>
  </cols>
  <sheetData>
    <row r="1">
      <c r="A1" s="1450" t="inlineStr">
        <is>
          <t>NUTAN NAGRIK SAHAKARI BANK LIMITED, VEJALPUR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+VEJALPUR!D74</f>
        <v/>
      </c>
      <c r="D7" s="1886" t="n"/>
      <c r="F7" s="1880" t="n"/>
    </row>
    <row r="8">
      <c r="A8" s="1885" t="n"/>
      <c r="B8" s="794" t="inlineStr">
        <is>
          <t>GL 1879 CGST PAYABLE A/C. DR….</t>
        </is>
      </c>
      <c r="C8" s="1880">
        <f>+VEJALPUR!E74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+VEJALPUR!F74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+VEJALPUR!D81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+VEJALPUR!E81</f>
        <v/>
      </c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+VEJALPUR!F81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A22" s="1893" t="n"/>
      <c r="B22" s="1913" t="n"/>
      <c r="C22" s="1898" t="n"/>
      <c r="D22" s="1898" t="n"/>
    </row>
    <row r="23">
      <c r="A23" s="1885" t="n">
        <v>3</v>
      </c>
      <c r="B23" s="1884" t="inlineStr">
        <is>
          <t>PL 4197 SERVICE TAX/GST EXPENSES A/C. DR</t>
        </is>
      </c>
      <c r="C23" s="1886" t="n">
        <v>0</v>
      </c>
      <c r="D23" s="1886" t="n"/>
    </row>
    <row r="24">
      <c r="A24" s="794" t="n"/>
      <c r="B24" s="1884" t="inlineStr">
        <is>
          <t xml:space="preserve">               TO GL 1878 GGST PAYABLE A/C.</t>
        </is>
      </c>
      <c r="C24" s="1886" t="n"/>
      <c r="D24" s="1886" t="n">
        <v>0</v>
      </c>
    </row>
    <row r="25">
      <c r="A25" s="794" t="n"/>
      <c r="B25" s="1884" t="inlineStr">
        <is>
          <t xml:space="preserve">               TO GL 1879 CGST PAYABLE A/C.</t>
        </is>
      </c>
      <c r="C25" s="1886" t="n"/>
      <c r="D25" s="1886" t="n">
        <v>0</v>
      </c>
    </row>
    <row r="26">
      <c r="A26" s="794" t="n"/>
      <c r="B26" s="1884" t="inlineStr">
        <is>
          <t>(BEING EXPENSE OFF ENTRY PASSED)</t>
        </is>
      </c>
      <c r="C26" s="1914" t="n"/>
      <c r="D26" s="1914" t="n"/>
    </row>
    <row r="27" ht="16.5" customHeight="1">
      <c r="A27" s="1888" t="n"/>
      <c r="B27" s="1915" t="n"/>
      <c r="C27" s="1916" t="n"/>
      <c r="D27" s="1916" t="n"/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2.7109375" customWidth="1" min="2" max="2"/>
    <col width="19.140625" customWidth="1" min="3" max="3"/>
    <col width="18.7109375" customWidth="1" min="4" max="4"/>
    <col hidden="1" width="9.140625" customWidth="1" min="5" max="5"/>
    <col width="9.140625" customWidth="1" min="6" max="6"/>
    <col width="14.28515625" customWidth="1" min="7" max="7"/>
    <col width="9.140625" customWidth="1" min="8" max="8"/>
  </cols>
  <sheetData>
    <row r="1">
      <c r="A1" s="1450" t="inlineStr">
        <is>
          <t>NUTAN NAGRIK SAHAKARI BANK LIMITED, JODHPUR/SATTELITE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+'JODHPUR-SATELLITE'!D74</f>
        <v/>
      </c>
      <c r="D7" s="1886" t="n"/>
      <c r="G7" s="790" t="n"/>
      <c r="H7" s="790" t="n"/>
      <c r="I7" s="790" t="n"/>
    </row>
    <row r="8">
      <c r="A8" s="1885" t="n"/>
      <c r="B8" s="794" t="inlineStr">
        <is>
          <t>GL 1879 CGST PAYABLE A/C. DR….</t>
        </is>
      </c>
      <c r="C8" s="1880">
        <f>+'JODHPUR-SATELLITE'!E74</f>
        <v/>
      </c>
      <c r="D8" s="1886" t="n"/>
      <c r="G8" s="790" t="n"/>
      <c r="H8" s="790" t="n"/>
      <c r="I8" s="790" t="n"/>
    </row>
    <row r="9">
      <c r="A9" s="1885" t="n"/>
      <c r="B9" s="794" t="inlineStr">
        <is>
          <t>GL 1880 IGST PAYABLE A/C. DR….</t>
        </is>
      </c>
      <c r="C9" s="1880">
        <f>+'JODHPUR-SATELLITE'!F74</f>
        <v/>
      </c>
      <c r="D9" s="1886" t="n"/>
      <c r="G9" s="790" t="n"/>
      <c r="H9" s="790" t="n"/>
      <c r="I9" s="790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  <c r="G10" s="790" t="n"/>
      <c r="H10" s="790" t="n"/>
      <c r="I10" s="790" t="n"/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794" t="n"/>
      <c r="C14" s="1880" t="n"/>
      <c r="D14" s="1886" t="n"/>
    </row>
    <row r="15">
      <c r="A15" s="1885" t="n">
        <v>2</v>
      </c>
      <c r="B15" s="794" t="inlineStr">
        <is>
          <t>GL 8547 CGST RECEIVABLE A/C.. DR..</t>
        </is>
      </c>
      <c r="C15" s="1880" t="n">
        <v>0</v>
      </c>
      <c r="D15" s="1886" t="n"/>
      <c r="G15" s="1883" t="n"/>
    </row>
    <row r="16">
      <c r="A16" s="1885" t="n"/>
      <c r="B16" s="794" t="inlineStr">
        <is>
          <t xml:space="preserve">      TO GL 8546 GGST RECEIVABLE A/C..</t>
        </is>
      </c>
      <c r="C16" s="1880" t="n"/>
      <c r="D16" s="1886" t="n">
        <v>0</v>
      </c>
    </row>
    <row r="17">
      <c r="A17" s="1885" t="n"/>
      <c r="B17" s="794" t="inlineStr">
        <is>
          <t xml:space="preserve">      TO GL 8547 CGST RECEIVABLE A/C..</t>
        </is>
      </c>
      <c r="C17" s="1880" t="n"/>
      <c r="D17" s="1886" t="n">
        <v>0</v>
      </c>
    </row>
    <row r="18">
      <c r="A18" s="1885" t="n"/>
      <c r="B18" s="794" t="inlineStr">
        <is>
          <t>(BEING REVERSAL OF ENTRY WRONGLY PASS BY</t>
        </is>
      </c>
      <c r="C18" s="1880" t="n"/>
      <c r="D18" s="1886" t="n"/>
    </row>
    <row r="19">
      <c r="A19" s="1885" t="n"/>
      <c r="B19" s="794" t="inlineStr">
        <is>
          <t>BRANCH IN GGST INSTEAD OF CGST)_</t>
        </is>
      </c>
      <c r="C19" s="1880" t="n"/>
      <c r="D19" s="1886" t="n"/>
    </row>
    <row r="20" ht="16.5" customHeight="1">
      <c r="A20" s="1887" t="n"/>
      <c r="B20" s="1888" t="n"/>
      <c r="C20" s="1889" t="n"/>
      <c r="D20" s="1890" t="n"/>
    </row>
    <row r="21" ht="15.75" customHeight="1">
      <c r="A21" s="1885" t="n"/>
      <c r="B21" s="794" t="n"/>
      <c r="C21" s="1880" t="n"/>
      <c r="D21" s="1886" t="n"/>
    </row>
    <row r="22">
      <c r="A22" s="1885">
        <f>+A15+1</f>
        <v/>
      </c>
      <c r="B22" s="794" t="inlineStr">
        <is>
          <t>HO DR…….</t>
        </is>
      </c>
      <c r="C22" s="1880">
        <f>+D24+D25+D26-C23</f>
        <v/>
      </c>
      <c r="D22" s="1886" t="n"/>
    </row>
    <row r="23">
      <c r="A23" s="1885" t="n"/>
      <c r="B23" s="794" t="inlineStr">
        <is>
          <t>PL 4197 SERVICE TAX/GST EXPENSES A/C. DR</t>
        </is>
      </c>
      <c r="C23" s="1880">
        <f>+SUM(D24:D26)/2</f>
        <v/>
      </c>
      <c r="D23" s="1886" t="n"/>
    </row>
    <row r="24">
      <c r="A24" s="794" t="n"/>
      <c r="B24" s="794" t="inlineStr">
        <is>
          <t xml:space="preserve">      TO GL 8546 GGST RECEIVABLE A/C..</t>
        </is>
      </c>
      <c r="C24" s="1880" t="n"/>
      <c r="D24" s="1886">
        <f>+'JODHPUR-SATELLITE'!D81</f>
        <v/>
      </c>
    </row>
    <row r="25">
      <c r="A25" s="794" t="n"/>
      <c r="B25" s="794" t="inlineStr">
        <is>
          <t xml:space="preserve">      TO GL 8547 CGST RECEIVABLE A/C..</t>
        </is>
      </c>
      <c r="C25" s="1880" t="n"/>
      <c r="D25" s="1886">
        <f>+'JODHPUR-SATELLITE'!E81</f>
        <v/>
      </c>
    </row>
    <row r="26">
      <c r="A26" s="794" t="n"/>
      <c r="B26" s="794" t="inlineStr">
        <is>
          <t xml:space="preserve">      TO GL 8548 IGST RECEIVABLE A/C..</t>
        </is>
      </c>
      <c r="C26" s="1880" t="n"/>
      <c r="D26" s="1886">
        <f>+'JODHPUR-SATELLITE'!F81</f>
        <v/>
      </c>
    </row>
    <row r="27">
      <c r="A27" s="794" t="n"/>
      <c r="B27" s="794">
        <f>+ODHAV1!B20</f>
        <v/>
      </c>
      <c r="C27" s="1880" t="n"/>
      <c r="D27" s="1886" t="n"/>
    </row>
    <row r="28" ht="16.5" customHeight="1">
      <c r="A28" s="1888" t="n"/>
      <c r="B28" s="1888">
        <f>+ODHAV1!B21</f>
        <v/>
      </c>
      <c r="C28" s="1889" t="n"/>
      <c r="D28" s="1890" t="n"/>
    </row>
    <row r="29">
      <c r="A29" s="1896" t="n"/>
      <c r="B29" s="1893" t="n"/>
      <c r="C29" s="1898" t="n"/>
      <c r="D29" s="1917" t="n"/>
    </row>
    <row r="30">
      <c r="A30" s="1902" t="n">
        <v>4</v>
      </c>
      <c r="B30" s="794" t="inlineStr">
        <is>
          <t>PL 4197 SERVICE TAX/GST EXPENSES A/C. DR</t>
        </is>
      </c>
      <c r="C30" s="1901">
        <f>+D31+D32</f>
        <v/>
      </c>
      <c r="D30" s="1918" t="n"/>
    </row>
    <row r="31">
      <c r="A31" s="1902" t="n"/>
      <c r="B31" s="794" t="inlineStr">
        <is>
          <t xml:space="preserve">       TO GL 1878 GGST PAYABLE A/C. DR….</t>
        </is>
      </c>
      <c r="C31" s="1901" t="n"/>
      <c r="D31" s="1918" t="n">
        <v>0</v>
      </c>
    </row>
    <row r="32">
      <c r="A32" s="1902" t="n"/>
      <c r="B32" s="794" t="inlineStr">
        <is>
          <t xml:space="preserve">       TO GL 1879 CGST PAYABLE A/C. DR….</t>
        </is>
      </c>
      <c r="C32" s="1901" t="n"/>
      <c r="D32" s="1918">
        <f>+D31</f>
        <v/>
      </c>
    </row>
    <row r="33">
      <c r="A33" s="1902" t="n"/>
      <c r="B33" s="794" t="inlineStr">
        <is>
          <t>(BEING GST BOOKED ON PL 3825 EXTERNAL</t>
        </is>
      </c>
      <c r="C33" s="1901" t="n"/>
      <c r="D33" s="1918" t="n"/>
    </row>
    <row r="34" ht="16.5" customHeight="1">
      <c r="A34" s="1903" t="n"/>
      <c r="B34" s="1919" t="inlineStr">
        <is>
          <t>AUDIT FEES)</t>
        </is>
      </c>
      <c r="C34" s="1895" t="n"/>
      <c r="D34" s="1920" t="n"/>
    </row>
    <row r="35">
      <c r="A35" s="1896" t="n"/>
      <c r="B35" s="1893" t="n"/>
      <c r="C35" s="1898" t="n"/>
      <c r="D35" s="1917" t="n"/>
    </row>
    <row r="36">
      <c r="A36" s="1902" t="n">
        <v>5</v>
      </c>
      <c r="B36" s="794" t="inlineStr">
        <is>
          <t>GL 1878 GGST PAYABLE A/C. DR….</t>
        </is>
      </c>
      <c r="C36" s="1901" t="n">
        <v>0</v>
      </c>
      <c r="D36" s="1918" t="n"/>
    </row>
    <row r="37">
      <c r="A37" s="1902" t="n"/>
      <c r="B37" s="794" t="inlineStr">
        <is>
          <t>GL 1879 CGST PAYABLE A/C. DR….</t>
        </is>
      </c>
      <c r="C37" s="1901" t="n">
        <v>0</v>
      </c>
      <c r="D37" s="1918" t="n"/>
    </row>
    <row r="38">
      <c r="A38" s="1902" t="n"/>
      <c r="B38" s="794" t="inlineStr">
        <is>
          <t xml:space="preserve">      TO HO </t>
        </is>
      </c>
      <c r="C38" s="1901" t="n"/>
      <c r="D38" s="1918">
        <f>+C36+C37</f>
        <v/>
      </c>
    </row>
    <row r="39">
      <c r="A39" s="1902" t="n"/>
      <c r="B39" s="794" t="inlineStr">
        <is>
          <t>(BEING GST PAYABLE FOR THE MONTH OF</t>
        </is>
      </c>
      <c r="C39" s="1901" t="n"/>
      <c r="D39" s="1918" t="n"/>
    </row>
    <row r="40" ht="16.5" customHeight="1">
      <c r="A40" s="1903" t="n"/>
      <c r="B40" s="1888" t="inlineStr">
        <is>
          <t>MARCH 2025 TRANSFER TO HO)</t>
        </is>
      </c>
      <c r="C40" s="1895" t="n"/>
      <c r="D40" s="1920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>
      <c r="C50" s="1883" t="n"/>
      <c r="D50" s="1883" t="n"/>
    </row>
    <row r="51">
      <c r="C51" s="1883" t="n"/>
      <c r="D51" s="1883" t="n"/>
    </row>
    <row r="52">
      <c r="C52" s="1883" t="n"/>
      <c r="D52" s="1883" t="n"/>
    </row>
    <row r="53">
      <c r="C53" s="1883" t="n"/>
      <c r="D53" s="1883" t="n"/>
    </row>
    <row r="54">
      <c r="C54" s="1883" t="n"/>
      <c r="D54" s="1883" t="n"/>
    </row>
    <row r="55">
      <c r="C55" s="1883" t="n"/>
      <c r="D55" s="1883" t="n"/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92D050"/>
    <outlinePr summaryBelow="1" summaryRight="1"/>
    <pageSetUpPr/>
  </sheetPr>
  <dimension ref="A1:N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8.85546875" customWidth="1" min="2" max="2"/>
    <col width="19.140625" customWidth="1" min="3" max="3"/>
    <col width="20.140625" customWidth="1" min="4" max="4"/>
    <col width="9.140625" customWidth="1" min="5" max="5"/>
  </cols>
  <sheetData>
    <row r="1">
      <c r="A1" s="1450" t="inlineStr">
        <is>
          <t>NUTAN NAGRIK SAHAKARI BANK LIMITED, PANJARAPOLE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C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6">
        <f>+PANJRAPOLE!D74</f>
        <v/>
      </c>
      <c r="D7" s="1886" t="n"/>
    </row>
    <row r="8">
      <c r="A8" s="1885" t="n"/>
      <c r="B8" s="794" t="inlineStr">
        <is>
          <t>GL 1879 CGST PAYABLE A/C. DR….</t>
        </is>
      </c>
      <c r="C8" s="1886">
        <f>+PANJRAPOLE!E74</f>
        <v/>
      </c>
      <c r="D8" s="1886" t="n"/>
    </row>
    <row r="9">
      <c r="A9" s="1885" t="n"/>
      <c r="B9" s="794" t="inlineStr">
        <is>
          <t>GL 1880 IGST PAYABLE A/C. DR….</t>
        </is>
      </c>
      <c r="C9" s="1886">
        <f>+PANJRAPOLE!F74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6" t="n"/>
      <c r="D10" s="1886">
        <f>+C7+C8+C9</f>
        <v/>
      </c>
    </row>
    <row r="11">
      <c r="A11" s="1885" t="n"/>
      <c r="B11" s="794">
        <f>+ODHAV1!B11</f>
        <v/>
      </c>
      <c r="C11" s="1886" t="n"/>
      <c r="D11" s="1886" t="n"/>
    </row>
    <row r="12">
      <c r="A12" s="1885" t="n"/>
      <c r="B12" s="794">
        <f>+ODHAV1!B12</f>
        <v/>
      </c>
      <c r="C12" s="1886" t="n"/>
      <c r="D12" s="1886" t="n"/>
    </row>
    <row r="13" ht="16.5" customHeight="1">
      <c r="A13" s="1887" t="n"/>
      <c r="B13" s="1888" t="n"/>
      <c r="C13" s="1890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+PANJRAPOLE!D81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+PANJRAPOLE!E81</f>
        <v/>
      </c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+PANJRAPOLE!F81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C22" s="1883" t="n"/>
      <c r="D22" s="1883" t="n"/>
    </row>
    <row r="23">
      <c r="C23" s="1883" t="n"/>
      <c r="D23" s="1883" t="n"/>
    </row>
    <row r="24">
      <c r="C24" s="1883" t="n"/>
      <c r="D24" s="1883" t="n"/>
    </row>
    <row r="25">
      <c r="C25" s="1883" t="n"/>
      <c r="D25" s="1883" t="n"/>
    </row>
    <row r="26">
      <c r="C26" s="1883" t="n"/>
      <c r="D26" s="1883" t="n"/>
    </row>
    <row r="27">
      <c r="C27" s="1883" t="n"/>
      <c r="D27" s="1883" t="n"/>
      <c r="N27" s="1884" t="inlineStr">
        <is>
          <t xml:space="preserve"> </t>
        </is>
      </c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1.42578125" customWidth="1" min="2" max="2"/>
    <col width="17.42578125" customWidth="1" min="3" max="3"/>
    <col width="9.140625" customWidth="1" min="5" max="5"/>
  </cols>
  <sheetData>
    <row r="1">
      <c r="A1" s="1450" t="inlineStr">
        <is>
          <t>NUTAN NAGRIK SAHAKARI BANK LIMITED, ASHRAM ROAD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+'ASHRAM ROAD'!D74</f>
        <v/>
      </c>
      <c r="D7" s="1886" t="n"/>
      <c r="F7" s="790" t="n"/>
      <c r="G7" s="790" t="n"/>
      <c r="H7" s="790" t="n"/>
    </row>
    <row r="8">
      <c r="A8" s="1885" t="n"/>
      <c r="B8" s="794" t="inlineStr">
        <is>
          <t>GL 1879 CGST PAYABLE A/C. DR….</t>
        </is>
      </c>
      <c r="C8" s="1880">
        <f>+'ASHRAM ROAD'!E74</f>
        <v/>
      </c>
      <c r="D8" s="1886" t="n"/>
      <c r="F8" s="790" t="n"/>
      <c r="G8" s="790" t="n"/>
      <c r="H8" s="790" t="n"/>
    </row>
    <row r="9">
      <c r="A9" s="1885" t="n"/>
      <c r="B9" s="794" t="inlineStr">
        <is>
          <t>GL 1880 IGST PAYABLE A/C. DR….</t>
        </is>
      </c>
      <c r="C9" s="1880">
        <f>+'ASHRAM ROAD'!F74</f>
        <v/>
      </c>
      <c r="D9" s="1886" t="n"/>
      <c r="F9" s="790" t="n"/>
      <c r="G9" s="790" t="n"/>
      <c r="H9" s="790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  <c r="F10" s="790" t="n"/>
      <c r="G10" s="790" t="n"/>
      <c r="H10" s="790" t="n"/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+'ASHRAM ROAD'!D81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+'ASHRAM ROAD'!E81</f>
        <v/>
      </c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+'ASHRAM ROAD'!F81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C22" s="1883" t="n"/>
      <c r="D22" s="1883" t="n"/>
    </row>
    <row r="23">
      <c r="C23" s="1883" t="n"/>
      <c r="D23" s="1883" t="n"/>
    </row>
    <row r="24">
      <c r="C24" s="1883" t="n"/>
      <c r="D24" s="1883" t="n"/>
    </row>
    <row r="25">
      <c r="C25" s="1883" t="n"/>
      <c r="D25" s="1883" t="n"/>
    </row>
    <row r="26">
      <c r="C26" s="1883" t="n"/>
      <c r="D26" s="1883" t="n"/>
    </row>
    <row r="27">
      <c r="C27" s="1883" t="n"/>
      <c r="D27" s="1883" t="n"/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8.5703125" customWidth="1" min="2" max="2"/>
    <col width="17.42578125" customWidth="1" min="3" max="3"/>
    <col width="20.140625" customWidth="1" min="4" max="4"/>
    <col width="13.28515625" customWidth="1" min="5" max="5"/>
    <col width="14.28515625" customWidth="1" min="6" max="6"/>
    <col width="9.140625" customWidth="1" min="7" max="7"/>
  </cols>
  <sheetData>
    <row r="1">
      <c r="A1" s="1450" t="inlineStr">
        <is>
          <t>NUTAN NAGRIK SAHAKARI BANK LIMITED, NARAYANNAGAR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 ht="15.75" customHeight="1">
      <c r="A6" s="115" t="n"/>
      <c r="B6" s="115" t="n"/>
      <c r="C6" s="1167" t="n"/>
      <c r="D6" s="115" t="n"/>
      <c r="E6" s="1451" t="n"/>
    </row>
    <row r="7">
      <c r="A7" s="1885" t="n">
        <v>1</v>
      </c>
      <c r="B7" s="794" t="inlineStr">
        <is>
          <t>GL 1878 GGST PAYABLE A/C. DR….</t>
        </is>
      </c>
      <c r="C7" s="1880">
        <f>+NARAYANNAGAR!D74</f>
        <v/>
      </c>
      <c r="D7" s="1886" t="n"/>
      <c r="E7" s="1910" t="n"/>
    </row>
    <row r="8">
      <c r="A8" s="1885" t="n"/>
      <c r="B8" s="794" t="inlineStr">
        <is>
          <t>GL 1879 CGST PAYABLE A/C. DR….</t>
        </is>
      </c>
      <c r="C8" s="1880">
        <f>+NARAYANNAGAR!E74</f>
        <v/>
      </c>
      <c r="D8" s="1886" t="n"/>
      <c r="E8" s="1910" t="n"/>
    </row>
    <row r="9">
      <c r="A9" s="1885" t="n"/>
      <c r="B9" s="794" t="inlineStr">
        <is>
          <t>GL 1880 IGST PAYABLE A/C. DR…..</t>
        </is>
      </c>
      <c r="C9" s="1880">
        <f>+NARAYANNAGAR!F74</f>
        <v/>
      </c>
      <c r="D9" s="1886" t="n"/>
      <c r="E9" s="1910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  <c r="E10" s="1910" t="n"/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5" t="n"/>
      <c r="B13" s="1888" t="n"/>
      <c r="C13" s="1889" t="n"/>
      <c r="D13" s="1890" t="n"/>
    </row>
    <row r="14">
      <c r="A14" s="1893" t="n"/>
      <c r="B14" s="1913" t="n"/>
      <c r="C14" s="1893" t="n"/>
      <c r="D14" s="1894" t="n"/>
    </row>
    <row r="15">
      <c r="A15" s="1885">
        <f>+A7+1</f>
        <v/>
      </c>
      <c r="B15" s="1884" t="inlineStr">
        <is>
          <t>HO DR…</t>
        </is>
      </c>
      <c r="C15" s="1886">
        <f>+(D17+D18+D19)/2</f>
        <v/>
      </c>
      <c r="D15" s="1886" t="n"/>
    </row>
    <row r="16">
      <c r="A16" s="1885" t="n"/>
      <c r="B16" s="1884" t="inlineStr">
        <is>
          <t>PL 4197 SERVICE TAX/GST EXPENSES A/C. DR</t>
        </is>
      </c>
      <c r="C16" s="1886">
        <f>+SUM(D17:D19)/2</f>
        <v/>
      </c>
      <c r="D16" s="1921" t="n"/>
    </row>
    <row r="17">
      <c r="A17" s="794" t="n"/>
      <c r="B17" s="1884" t="inlineStr">
        <is>
          <t xml:space="preserve">      TO GL 8546 GGST RECEIVABLE A/C..</t>
        </is>
      </c>
      <c r="C17" s="1886" t="n"/>
      <c r="D17" s="1921">
        <f>+NARAYANNAGAR!D82</f>
        <v/>
      </c>
      <c r="E17" s="1884" t="n">
        <v>0</v>
      </c>
    </row>
    <row r="18">
      <c r="A18" s="794" t="n"/>
      <c r="B18" s="1884" t="inlineStr">
        <is>
          <t xml:space="preserve">      TO GL 8547 CGST RECEIVABLE A/C..</t>
        </is>
      </c>
      <c r="C18" s="1886" t="n"/>
      <c r="D18" s="1886">
        <f>+NARAYANNAGAR!E82</f>
        <v/>
      </c>
      <c r="E18" s="1884" t="n">
        <v>0</v>
      </c>
    </row>
    <row r="19">
      <c r="A19" s="794" t="n"/>
      <c r="B19" s="1884" t="inlineStr">
        <is>
          <t xml:space="preserve">      TO GL 8548 IGST RECEIVABLE A/C..</t>
        </is>
      </c>
      <c r="C19" s="1886" t="n"/>
      <c r="D19" s="1886">
        <f>+NARAYANNAGAR!F82</f>
        <v/>
      </c>
    </row>
    <row r="20">
      <c r="A20" s="794" t="n"/>
      <c r="B20" s="1899">
        <f>+ODHAV1!B20</f>
        <v/>
      </c>
      <c r="C20" s="1886" t="n"/>
      <c r="D20" s="1886" t="n"/>
    </row>
    <row r="21">
      <c r="A21" s="794" t="n"/>
      <c r="B21" s="1884">
        <f>+ODHAV1!B21</f>
        <v/>
      </c>
      <c r="C21" s="1886" t="n"/>
      <c r="D21" s="1886" t="n"/>
    </row>
    <row r="22" ht="16.5" customHeight="1">
      <c r="A22" s="1887" t="n"/>
      <c r="B22" s="1915" t="n"/>
      <c r="C22" s="1890" t="n"/>
      <c r="D22" s="1890" t="n"/>
    </row>
    <row r="23">
      <c r="A23" s="1893" t="n"/>
      <c r="B23" s="1913" t="n"/>
      <c r="C23" s="1893" t="n"/>
      <c r="D23" s="1894" t="n"/>
    </row>
    <row r="24">
      <c r="A24" s="1885" t="n">
        <v>3</v>
      </c>
      <c r="B24" s="1884" t="inlineStr">
        <is>
          <t>GL 8546 GGST RECEIVABLE A/C. DR…</t>
        </is>
      </c>
      <c r="C24" s="1886" t="n">
        <v>0</v>
      </c>
      <c r="D24" s="1886" t="n"/>
      <c r="E24" s="1884" t="inlineStr">
        <is>
          <t xml:space="preserve"> </t>
        </is>
      </c>
    </row>
    <row r="25">
      <c r="A25" s="794" t="n"/>
      <c r="B25" s="1884" t="inlineStr">
        <is>
          <t>GL 8547 CGST RECEIVABLE A/C.DR…</t>
        </is>
      </c>
      <c r="C25" s="1886" t="n">
        <v>0</v>
      </c>
      <c r="D25" s="1886" t="n"/>
      <c r="E25" s="1891" t="inlineStr">
        <is>
          <t xml:space="preserve"> </t>
        </is>
      </c>
    </row>
    <row r="26">
      <c r="A26" s="794" t="n"/>
      <c r="B26" s="1884" t="inlineStr">
        <is>
          <t xml:space="preserve">       TO PL 4197 SERVICE TAX/GST EXPENSES A/C…</t>
        </is>
      </c>
      <c r="C26" s="1886" t="n"/>
      <c r="D26" s="1886">
        <f>+C24+C25</f>
        <v/>
      </c>
      <c r="E26" s="1884" t="inlineStr">
        <is>
          <t xml:space="preserve"> </t>
        </is>
      </c>
    </row>
    <row r="27">
      <c r="A27" s="794" t="n"/>
      <c r="B27" s="1884" t="inlineStr">
        <is>
          <t>(BEING GST WRONG ENTRY PASSED BY BRANCH</t>
        </is>
      </c>
      <c r="C27" s="1886" t="n"/>
      <c r="D27" s="1886" t="inlineStr">
        <is>
          <t xml:space="preserve"> </t>
        </is>
      </c>
    </row>
    <row r="28" ht="31.5" customHeight="1">
      <c r="A28" s="794" t="n"/>
      <c r="B28" s="1899" t="inlineStr">
        <is>
          <t>BRANCH HENCE SAME IS REVERSED AND TRANSFERRED TO PL AC)</t>
        </is>
      </c>
      <c r="C28" s="1886" t="n"/>
      <c r="D28" s="1886" t="n"/>
    </row>
    <row r="29" ht="16.5" customHeight="1">
      <c r="A29" s="1888" t="n"/>
      <c r="B29" s="1915" t="n"/>
      <c r="C29" s="1890" t="n"/>
      <c r="D29" s="1890" t="n"/>
    </row>
    <row r="30">
      <c r="A30" s="1922" t="n"/>
      <c r="C30" s="1880" t="n"/>
      <c r="D30" s="1880" t="n"/>
    </row>
    <row r="31">
      <c r="C31" s="1880" t="n"/>
      <c r="D31" s="1880" t="n"/>
    </row>
    <row r="32">
      <c r="C32" s="1880" t="n"/>
      <c r="D32" s="1880" t="n"/>
    </row>
    <row r="33">
      <c r="C33" s="1880" t="n"/>
      <c r="D33" s="1880" t="n"/>
    </row>
    <row r="34">
      <c r="C34" s="1880" t="n"/>
      <c r="D34" s="1880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>
      <c r="C50" s="1883" t="n"/>
      <c r="D50" s="1883" t="n"/>
    </row>
    <row r="51">
      <c r="C51" s="1883" t="n"/>
      <c r="D51" s="1883" t="n"/>
    </row>
    <row r="52">
      <c r="C52" s="1883" t="n"/>
      <c r="D52" s="1883" t="n"/>
    </row>
    <row r="53">
      <c r="C53" s="1883" t="n"/>
      <c r="D53" s="1883" t="n"/>
    </row>
    <row r="54">
      <c r="C54" s="1883" t="n"/>
      <c r="D54" s="1883" t="n"/>
    </row>
    <row r="55">
      <c r="C55" s="1883" t="n"/>
      <c r="D55" s="1883" t="n"/>
    </row>
    <row r="56">
      <c r="C56" s="1883" t="n"/>
      <c r="D56" s="1883" t="n"/>
    </row>
    <row r="57">
      <c r="C57" s="1883" t="n"/>
      <c r="D57" s="1883" t="n"/>
    </row>
    <row r="58">
      <c r="C58" s="1883" t="n"/>
      <c r="D58" s="1883" t="n"/>
    </row>
    <row r="59">
      <c r="C59" s="1883" t="n"/>
      <c r="D59" s="1883" t="n"/>
    </row>
    <row r="60">
      <c r="C60" s="1883" t="n"/>
      <c r="D60" s="1883" t="n"/>
    </row>
    <row r="61">
      <c r="C61" s="1883" t="n"/>
      <c r="D61" s="1883" t="n"/>
    </row>
    <row r="62">
      <c r="C62" s="1883" t="n"/>
      <c r="D62" s="1883" t="n"/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3">
    <mergeCell ref="E6:G10"/>
    <mergeCell ref="A1:D1"/>
    <mergeCell ref="A3:D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92D050"/>
    <outlinePr summaryBelow="1" summaryRight="1"/>
    <pageSetUpPr/>
  </sheetPr>
  <dimension ref="A1:M680"/>
  <sheetViews>
    <sheetView workbookViewId="0">
      <selection activeCell="A1" sqref="A1"/>
    </sheetView>
  </sheetViews>
  <sheetFormatPr baseColWidth="8" defaultRowHeight="15"/>
  <cols>
    <col width="10.5703125" customWidth="1" min="1" max="1"/>
    <col width="78.5703125" customWidth="1" min="2" max="2"/>
    <col width="19" customWidth="1" min="3" max="3"/>
    <col width="19.85546875" customWidth="1" min="4" max="4"/>
    <col width="15.28515625" customWidth="1" min="5" max="5"/>
    <col width="18.85546875" customWidth="1" min="6" max="6"/>
    <col width="9.140625" customWidth="1" min="7" max="7"/>
  </cols>
  <sheetData>
    <row r="1">
      <c r="A1" s="1450" t="inlineStr">
        <is>
          <t>NUTAN NAGRIK SAHAKARI BANK LIMITED, NARANPURA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  <c r="E6" s="1451" t="n"/>
    </row>
    <row r="7">
      <c r="A7" s="1885" t="n">
        <v>1</v>
      </c>
      <c r="B7" s="794" t="inlineStr">
        <is>
          <t>GL 1878 GGST PAYABLE A/C. DR….</t>
        </is>
      </c>
      <c r="C7" s="1880">
        <f>+NARANPURA!D74</f>
        <v/>
      </c>
      <c r="D7" s="1886" t="n"/>
      <c r="E7" s="1910" t="n"/>
    </row>
    <row r="8">
      <c r="A8" s="1885" t="n"/>
      <c r="B8" s="794" t="inlineStr">
        <is>
          <t>GL 1879 CGST PAYABLE A/C. DR….</t>
        </is>
      </c>
      <c r="C8" s="1880">
        <f>+NARANPURA!E74</f>
        <v/>
      </c>
      <c r="D8" s="1886" t="n"/>
      <c r="E8" s="1910" t="n"/>
    </row>
    <row r="9">
      <c r="A9" s="1885" t="n"/>
      <c r="B9" s="794" t="inlineStr">
        <is>
          <t>GL 1880 IGST PAYABLE A/C. DR….</t>
        </is>
      </c>
      <c r="C9" s="1880">
        <f>+NARANPURA!F74</f>
        <v/>
      </c>
      <c r="D9" s="1886" t="n"/>
      <c r="E9" s="1910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  <c r="E10" s="1910" t="n"/>
    </row>
    <row r="11">
      <c r="A11" s="1885" t="n"/>
      <c r="B11" s="794">
        <f>+ODHAV1!B11</f>
        <v/>
      </c>
      <c r="C11" s="1880" t="n"/>
      <c r="D11" s="1886" t="n"/>
      <c r="E11" s="1910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 ht="16.5" customHeight="1">
      <c r="A14" s="1892" t="n"/>
      <c r="B14" s="1893" t="n"/>
      <c r="C14" s="1905" t="n"/>
      <c r="D14" s="1894" t="n"/>
      <c r="E14" s="788" t="n"/>
      <c r="F14" s="788" t="n"/>
      <c r="G14" s="788" t="n"/>
      <c r="H14" s="788" t="n"/>
    </row>
    <row r="15" ht="15.75" customHeight="1">
      <c r="A15" s="1885" t="n"/>
      <c r="B15" s="794" t="n"/>
      <c r="C15" s="1880" t="n"/>
      <c r="D15" s="1886" t="n"/>
      <c r="E15" s="788" t="n"/>
      <c r="F15" s="788" t="n"/>
      <c r="G15" s="788" t="n"/>
      <c r="H15" s="788" t="n"/>
    </row>
    <row r="16" ht="16.5" customHeight="1">
      <c r="A16" s="1885" t="n">
        <v>2</v>
      </c>
      <c r="B16" s="794" t="inlineStr">
        <is>
          <t>HO DR…….</t>
        </is>
      </c>
      <c r="C16" s="1880">
        <f>+D18+D19+D20-C17</f>
        <v/>
      </c>
      <c r="D16" s="1886" t="n"/>
      <c r="E16" s="788" t="n"/>
      <c r="F16" s="788" t="n"/>
      <c r="G16" s="788" t="n"/>
      <c r="H16" s="788" t="n"/>
    </row>
    <row r="17" ht="16.5" customHeight="1">
      <c r="A17" s="1885" t="n"/>
      <c r="B17" s="794" t="inlineStr">
        <is>
          <t>PL 4197 SERVICE TAX/GST EXPENSES A/C. DR</t>
        </is>
      </c>
      <c r="C17" s="1880">
        <f>+SUM(D18:D20)/2</f>
        <v/>
      </c>
      <c r="D17" s="1886" t="n"/>
      <c r="E17" s="788" t="n"/>
      <c r="F17" s="788" t="n"/>
      <c r="G17" s="788" t="n"/>
      <c r="H17" s="788" t="n"/>
    </row>
    <row r="18" ht="16.5" customHeight="1">
      <c r="A18" s="794" t="n"/>
      <c r="B18" s="794" t="inlineStr">
        <is>
          <t xml:space="preserve">      TO GL 8546 GGST RECEIVABLE A/C..</t>
        </is>
      </c>
      <c r="C18" s="1880" t="n"/>
      <c r="D18" s="1886">
        <f>+NARANPURA!D82</f>
        <v/>
      </c>
      <c r="E18" s="788" t="n"/>
      <c r="F18" s="788" t="n"/>
      <c r="G18" s="788" t="n"/>
      <c r="H18" s="788" t="n"/>
    </row>
    <row r="19" ht="16.5" customHeight="1">
      <c r="A19" s="794" t="n"/>
      <c r="B19" s="794" t="inlineStr">
        <is>
          <t xml:space="preserve">      TO GL 8547 CGST RECEIVABLE A/C..</t>
        </is>
      </c>
      <c r="C19" s="1880" t="n"/>
      <c r="D19" s="1886">
        <f>+NARANPURA!E82</f>
        <v/>
      </c>
      <c r="E19" s="788" t="n"/>
      <c r="F19" s="788" t="n"/>
      <c r="G19" s="788" t="n"/>
      <c r="H19" s="788" t="n"/>
    </row>
    <row r="20" ht="16.5" customHeight="1">
      <c r="A20" s="794" t="n"/>
      <c r="B20" s="794" t="inlineStr">
        <is>
          <t xml:space="preserve">      TO GL 8548 IGST RECEIVABLE A/C..</t>
        </is>
      </c>
      <c r="C20" s="1880" t="n"/>
      <c r="D20" s="1886">
        <f>+NARANPURA!F82</f>
        <v/>
      </c>
      <c r="E20" s="788" t="n"/>
      <c r="F20" s="788" t="n"/>
      <c r="G20" s="788" t="n"/>
      <c r="H20" s="788" t="n"/>
    </row>
    <row r="21" ht="16.5" customHeight="1">
      <c r="A21" s="794" t="n"/>
      <c r="B21" s="794">
        <f>+ODHAV1!B20</f>
        <v/>
      </c>
      <c r="C21" s="1880" t="n"/>
      <c r="D21" s="1886" t="n"/>
      <c r="E21" s="788" t="n"/>
      <c r="F21" s="788" t="n"/>
      <c r="G21" s="788" t="n"/>
      <c r="H21" s="788" t="n"/>
    </row>
    <row r="22" ht="18.75" customHeight="1">
      <c r="A22" s="1888" t="n"/>
      <c r="B22" s="1888">
        <f>+ODHAV1!B21</f>
        <v/>
      </c>
      <c r="C22" s="1889" t="n"/>
      <c r="D22" s="1890" t="n"/>
      <c r="E22" s="788" t="n"/>
      <c r="F22" s="788" t="n"/>
      <c r="G22" s="788" t="n"/>
      <c r="H22" s="788" t="n"/>
    </row>
    <row r="23" ht="18.75" customHeight="1">
      <c r="A23" s="794" t="n"/>
      <c r="C23" s="1894" t="n"/>
      <c r="D23" s="1886" t="n"/>
      <c r="E23" s="788" t="n"/>
      <c r="F23" s="788" t="n"/>
      <c r="G23" s="788" t="n"/>
      <c r="H23" s="788" t="n"/>
    </row>
    <row r="24" ht="18.75" customHeight="1">
      <c r="A24" s="794" t="n">
        <v>3</v>
      </c>
      <c r="B24" s="1902" t="inlineStr">
        <is>
          <t>PL 4197 SERVICE TAX/GST EXPENSES A/C. DR</t>
        </is>
      </c>
      <c r="C24" s="1886">
        <f>+D25+D26</f>
        <v/>
      </c>
      <c r="D24" s="1886" t="n"/>
      <c r="E24" s="788" t="n"/>
      <c r="F24" s="788" t="n"/>
      <c r="G24" s="788" t="n"/>
      <c r="H24" s="788" t="n"/>
    </row>
    <row r="25" ht="18.75" customHeight="1">
      <c r="A25" s="794" t="n"/>
      <c r="B25" s="1902" t="inlineStr">
        <is>
          <t xml:space="preserve">        TO GL 1878 GGST PAYABLE A/C.</t>
        </is>
      </c>
      <c r="C25" s="1886" t="n"/>
      <c r="D25" s="1886" t="n">
        <v>0</v>
      </c>
      <c r="E25" s="788" t="n"/>
      <c r="F25" s="788" t="n"/>
      <c r="G25" s="788" t="n"/>
      <c r="H25" s="788" t="n"/>
    </row>
    <row r="26" ht="18.75" customHeight="1">
      <c r="A26" s="794" t="n"/>
      <c r="B26" s="1902" t="inlineStr">
        <is>
          <t xml:space="preserve">        TO GL 1879 CGST PAYABLE A/C. </t>
        </is>
      </c>
      <c r="C26" s="1886" t="n"/>
      <c r="D26" s="1886" t="n">
        <v>0</v>
      </c>
      <c r="E26" s="788" t="n"/>
      <c r="F26" s="788" t="n"/>
      <c r="G26" s="788" t="n"/>
      <c r="H26" s="788" t="n"/>
    </row>
    <row r="27" ht="18.75" customHeight="1">
      <c r="A27" s="794" t="n"/>
      <c r="B27" s="1884" t="inlineStr">
        <is>
          <t>(RECTIFICATION OF MARCH-26 MADE)</t>
        </is>
      </c>
      <c r="C27" s="1890" t="n"/>
      <c r="D27" s="1886" t="n"/>
      <c r="E27" s="788" t="n"/>
      <c r="F27" s="788" t="n"/>
      <c r="G27" s="788" t="n"/>
      <c r="H27" s="788" t="n"/>
    </row>
    <row r="28">
      <c r="A28" s="1893" t="n"/>
      <c r="B28" s="1913" t="n"/>
      <c r="C28" s="1893" t="n"/>
      <c r="D28" s="1894" t="n"/>
      <c r="E28" s="790" t="n"/>
      <c r="F28" s="790" t="n"/>
      <c r="G28" s="790" t="n"/>
      <c r="H28" s="790" t="n"/>
    </row>
    <row r="29">
      <c r="A29" s="1885" t="n">
        <v>3</v>
      </c>
      <c r="B29" s="1884" t="inlineStr">
        <is>
          <t>GL 8546 GGST RECEIVABLE A/C..</t>
        </is>
      </c>
      <c r="C29" s="1886" t="n">
        <v>0</v>
      </c>
      <c r="D29" s="1886" t="n">
        <v>0</v>
      </c>
      <c r="E29" s="790" t="n"/>
      <c r="F29" s="790" t="n"/>
      <c r="G29" s="790" t="n"/>
      <c r="H29" s="790" t="n"/>
    </row>
    <row r="30">
      <c r="A30" s="794" t="n"/>
      <c r="B30" s="1884" t="inlineStr">
        <is>
          <t>GL 8547 CGST RECEIVABLE A/C..</t>
        </is>
      </c>
      <c r="C30" s="1886" t="n">
        <v>0</v>
      </c>
      <c r="D30" s="1886" t="n">
        <v>0</v>
      </c>
      <c r="E30" s="790" t="n"/>
      <c r="F30" s="790" t="n"/>
      <c r="G30" s="790" t="n"/>
      <c r="H30" s="790" t="n"/>
    </row>
    <row r="31">
      <c r="A31" s="794" t="n"/>
      <c r="B31" s="1884" t="inlineStr">
        <is>
          <t xml:space="preserve">        TO PL 4197 SERVICE TAX/GST EXPENSES A/C. DR</t>
        </is>
      </c>
      <c r="C31" s="1886" t="n"/>
      <c r="D31" s="1886">
        <f>+C29+C30</f>
        <v/>
      </c>
      <c r="E31" s="790" t="n"/>
      <c r="F31" s="790" t="n"/>
      <c r="G31" s="790" t="n"/>
      <c r="H31" s="790" t="n"/>
    </row>
    <row r="32">
      <c r="A32" s="794" t="n"/>
      <c r="B32" s="1884" t="inlineStr">
        <is>
          <t>(BEING GST RECIFICATION ENTRY DONE IN NARANPURA</t>
        </is>
      </c>
      <c r="C32" s="1886" t="n"/>
      <c r="D32" s="1886" t="n"/>
      <c r="E32" s="790" t="n"/>
      <c r="F32" s="790" t="n"/>
      <c r="G32" s="790" t="n"/>
      <c r="H32" s="790" t="n"/>
    </row>
    <row r="33">
      <c r="A33" s="794" t="n"/>
      <c r="B33" s="1899" t="inlineStr">
        <is>
          <t xml:space="preserve"> BRANCH HENCE SAME IS TRANSFERRED TO PL AC)</t>
        </is>
      </c>
      <c r="C33" s="1886" t="n"/>
      <c r="D33" s="1886" t="n"/>
      <c r="E33" s="790" t="n"/>
      <c r="F33" s="790" t="n"/>
      <c r="G33" s="790" t="n"/>
      <c r="H33" s="790" t="n"/>
    </row>
    <row r="34" ht="16.5" customHeight="1">
      <c r="A34" s="1888" t="n"/>
      <c r="B34" s="1915" t="n"/>
      <c r="C34" s="1890" t="n"/>
      <c r="D34" s="1890" t="n"/>
      <c r="E34" s="790" t="n"/>
      <c r="F34" s="790" t="n"/>
      <c r="G34" s="790" t="n"/>
      <c r="H34" s="790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>
      <c r="C50" s="1883" t="n"/>
      <c r="D50" s="1883" t="n"/>
    </row>
    <row r="51">
      <c r="C51" s="1883" t="n"/>
      <c r="D51" s="1883" t="n"/>
    </row>
    <row r="52">
      <c r="C52" s="1883" t="n"/>
      <c r="D52" s="1883" t="n"/>
    </row>
    <row r="53">
      <c r="C53" s="1883" t="n"/>
      <c r="D53" s="1883" t="n"/>
    </row>
    <row r="54">
      <c r="C54" s="1883" t="n"/>
      <c r="D54" s="1883" t="n"/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>
      <c r="B442" s="1884" t="inlineStr">
        <is>
          <t>MARCH 2026 TRANSFER FROM BRANCH)</t>
        </is>
      </c>
    </row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>
      <c r="M571" s="1884" t="inlineStr">
        <is>
          <t>AS DISSCUSS WITH HARDIK BHAI ENTRY PASSED BY NIMESH BHAI</t>
        </is>
      </c>
    </row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>
      <c r="B589" s="1884" t="inlineStr">
        <is>
          <t>MARCH 2025 TRANSFER FROM BRANCH)</t>
        </is>
      </c>
    </row>
    <row r="590"/>
    <row r="591"/>
    <row r="592"/>
    <row r="593"/>
    <row r="594"/>
    <row r="595"/>
    <row r="596"/>
    <row r="597"/>
    <row r="598"/>
    <row r="599"/>
    <row r="600"/>
    <row r="601"/>
    <row r="602"/>
    <row r="603">
      <c r="B603" s="1884" t="inlineStr">
        <is>
          <t>LEDGER BALANCE FOR THE MONTH OF MARCH)</t>
        </is>
      </c>
    </row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>
      <c r="B680" s="1884" t="inlineStr">
        <is>
          <t>(BEING CREDIT OF PERFORMA INVOICE TAKEN IN DEC-25 NOW REVERSE)</t>
        </is>
      </c>
    </row>
  </sheetData>
  <mergeCells count="3">
    <mergeCell ref="A1:D1"/>
    <mergeCell ref="E6:F11"/>
    <mergeCell ref="A3:D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92D050"/>
    <outlinePr summaryBelow="1" summaryRight="1"/>
    <pageSetUpPr/>
  </sheetPr>
  <dimension ref="A1:M666"/>
  <sheetViews>
    <sheetView workbookViewId="0">
      <selection activeCell="A1" sqref="A1"/>
    </sheetView>
  </sheetViews>
  <sheetFormatPr baseColWidth="8" defaultRowHeight="15"/>
  <cols>
    <col width="11.5703125" customWidth="1" min="1" max="1"/>
    <col width="76.85546875" customWidth="1" min="2" max="2"/>
    <col width="18.28515625" customWidth="1" min="3" max="3"/>
    <col width="19.140625" customWidth="1" min="4" max="4"/>
    <col width="9.140625" customWidth="1" min="5" max="5"/>
    <col width="12.28515625" customWidth="1" min="6" max="6"/>
    <col width="9.140625" customWidth="1" min="7" max="7"/>
  </cols>
  <sheetData>
    <row r="1">
      <c r="A1" s="1450" t="inlineStr">
        <is>
          <t>NUTAN NAGRIK SAHAKARI BANK LIMITED, DRIVE IN ROAD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'DRIVE IN'!D74</f>
        <v/>
      </c>
      <c r="D7" s="1886" t="n"/>
      <c r="E7" s="1451" t="n"/>
    </row>
    <row r="8">
      <c r="A8" s="1885" t="n"/>
      <c r="B8" s="794" t="inlineStr">
        <is>
          <t>GL 1879 CGST PAYABLE A/C. DR….</t>
        </is>
      </c>
      <c r="C8" s="1880">
        <f>'DRIVE IN'!E74</f>
        <v/>
      </c>
      <c r="D8" s="1886" t="n"/>
      <c r="E8" s="1910" t="n"/>
    </row>
    <row r="9">
      <c r="A9" s="1885" t="n"/>
      <c r="B9" s="794" t="inlineStr">
        <is>
          <t>GL 1880 IGST PAYABLE A/C. DR….</t>
        </is>
      </c>
      <c r="C9" s="1880">
        <f>+'DRIVE IN'!F74</f>
        <v/>
      </c>
      <c r="D9" s="1886" t="n"/>
      <c r="E9" s="1910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  <c r="E10" s="1910" t="n"/>
    </row>
    <row r="11">
      <c r="A11" s="1885" t="n"/>
      <c r="B11" s="794">
        <f>+ODHAV1!B11</f>
        <v/>
      </c>
      <c r="C11" s="1880" t="n"/>
      <c r="D11" s="1886" t="n"/>
      <c r="E11" s="1910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 ht="15.75" customHeight="1">
      <c r="A14" s="1885" t="n"/>
      <c r="B14" s="1893" t="n"/>
      <c r="C14" s="1880" t="n"/>
      <c r="D14" s="1886" t="n"/>
      <c r="E14" s="788" t="n"/>
      <c r="F14" s="788" t="n"/>
      <c r="G14" s="788" t="n"/>
      <c r="H14" s="788" t="n"/>
      <c r="I14" s="788" t="n"/>
    </row>
    <row r="15">
      <c r="A15" s="1885" t="n">
        <v>2</v>
      </c>
      <c r="B15" s="794" t="inlineStr">
        <is>
          <t>HO DR…….</t>
        </is>
      </c>
      <c r="C15" s="1880">
        <f>+D17+D18+D19-C16</f>
        <v/>
      </c>
      <c r="D15" s="1886" t="n"/>
      <c r="E15" s="1451" t="n"/>
      <c r="H15" s="788" t="n"/>
      <c r="I15" s="788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  <c r="E16" s="1910" t="n"/>
      <c r="H16" s="788" t="n"/>
      <c r="I16" s="788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+'DRIVE IN'!D81</f>
        <v/>
      </c>
      <c r="E17" s="1910" t="n"/>
      <c r="H17" s="788" t="n"/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+'DRIVE IN'!E81</f>
        <v/>
      </c>
      <c r="E18" s="1910" t="n"/>
      <c r="H18" s="788" t="n"/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+'DRIVE IN'!F81</f>
        <v/>
      </c>
      <c r="E19" s="1910" t="n"/>
      <c r="H19" s="788" t="n"/>
    </row>
    <row r="20">
      <c r="A20" s="794" t="n"/>
      <c r="B20" s="794">
        <f>+ODHAV1!B20</f>
        <v/>
      </c>
      <c r="C20" s="1880" t="n"/>
      <c r="D20" s="1886" t="n"/>
      <c r="E20" s="788" t="n"/>
      <c r="F20" s="788" t="n"/>
      <c r="G20" s="788" t="n"/>
      <c r="H20" s="788" t="n"/>
    </row>
    <row r="21" ht="16.5" customHeight="1">
      <c r="A21" s="1888" t="n"/>
      <c r="B21" s="1888">
        <f>+ODHAV1!B21</f>
        <v/>
      </c>
      <c r="C21" s="1889" t="n"/>
      <c r="D21" s="1890" t="n"/>
      <c r="E21" s="788" t="n"/>
      <c r="F21" s="788" t="n"/>
      <c r="G21" s="788" t="n"/>
      <c r="H21" s="788" t="n"/>
    </row>
    <row r="22">
      <c r="C22" s="1883" t="n"/>
      <c r="D22" s="1883" t="n"/>
      <c r="E22" s="788" t="n"/>
      <c r="F22" s="788" t="n"/>
      <c r="G22" s="788" t="n"/>
      <c r="H22" s="788" t="n"/>
    </row>
    <row r="23">
      <c r="C23" s="1883" t="n"/>
      <c r="D23" s="1883" t="n"/>
      <c r="E23" s="788" t="n"/>
      <c r="F23" s="788" t="n"/>
      <c r="G23" s="788" t="n"/>
      <c r="H23" s="788" t="n"/>
    </row>
    <row r="24">
      <c r="C24" s="1883" t="n"/>
      <c r="D24" s="1883" t="n"/>
    </row>
    <row r="25">
      <c r="C25" s="1883" t="n"/>
      <c r="D25" s="1883" t="n"/>
    </row>
    <row r="26">
      <c r="C26" s="1883" t="n"/>
      <c r="D26" s="1883" t="n"/>
    </row>
    <row r="27">
      <c r="C27" s="1883" t="n"/>
      <c r="D27" s="1883" t="n"/>
    </row>
    <row r="28">
      <c r="C28" s="1883" t="n"/>
      <c r="D28" s="1883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>
      <c r="B428" s="1884" t="inlineStr">
        <is>
          <t>MARCH 2026 TRANSFER FROM BRANCH)</t>
        </is>
      </c>
    </row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>
      <c r="M557" s="1884" t="inlineStr">
        <is>
          <t>AS DISSCUSS WITH HARDIK BHAI ENTRY PASSED BY NIMESH BHAI</t>
        </is>
      </c>
    </row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>
      <c r="B575" s="1884" t="inlineStr">
        <is>
          <t>MARCH 2025 TRANSFER FROM BRANCH)</t>
        </is>
      </c>
    </row>
    <row r="576"/>
    <row r="577"/>
    <row r="578"/>
    <row r="579"/>
    <row r="580"/>
    <row r="581"/>
    <row r="582"/>
    <row r="583"/>
    <row r="584"/>
    <row r="585"/>
    <row r="586"/>
    <row r="587"/>
    <row r="588"/>
    <row r="589">
      <c r="B589" s="1884" t="inlineStr">
        <is>
          <t>LEDGER BALANCE FOR THE MONTH OF MARCH)</t>
        </is>
      </c>
    </row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>
      <c r="B666" s="1884" t="inlineStr">
        <is>
          <t>(BEING CREDIT OF PERFORMA INVOICE TAKEN IN DEC-25 NOW REVERSE)</t>
        </is>
      </c>
    </row>
  </sheetData>
  <mergeCells count="4">
    <mergeCell ref="A1:D1"/>
    <mergeCell ref="E15:G19"/>
    <mergeCell ref="A3:D3"/>
    <mergeCell ref="E7:G1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92D050"/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1.5703125" customWidth="1" min="1" max="1"/>
    <col width="72.5703125" customWidth="1" min="2" max="2"/>
    <col width="20.140625" customWidth="1" min="3" max="3"/>
    <col width="9.140625" customWidth="1" min="5" max="5"/>
    <col width="14.28515625" customWidth="1" min="7" max="7"/>
    <col width="9.140625" customWidth="1" min="8" max="8"/>
    <col width="15" customWidth="1" min="9" max="9"/>
    <col width="9.140625" customWidth="1" min="10" max="10"/>
  </cols>
  <sheetData>
    <row r="1">
      <c r="A1" s="1450" t="inlineStr">
        <is>
          <t>NUTAN NAGRIK SAHAKARI BANK LIMITED, VASNA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201" t="n"/>
      <c r="B6" s="201" t="n"/>
      <c r="C6" s="202" t="n"/>
      <c r="D6" s="201" t="n"/>
    </row>
    <row r="7" ht="15.75" customHeight="1">
      <c r="A7" s="1885" t="n">
        <v>1</v>
      </c>
      <c r="B7" s="794" t="inlineStr">
        <is>
          <t>GL 1878 GGST PAYABLE A/C. DR….</t>
        </is>
      </c>
      <c r="C7" s="1880">
        <f>+'VASANA '!D74</f>
        <v/>
      </c>
      <c r="D7" s="1886" t="n"/>
      <c r="E7" s="1073" t="n"/>
      <c r="F7" s="1156" t="n"/>
      <c r="G7" s="1156" t="n"/>
      <c r="H7" s="1156" t="n"/>
    </row>
    <row r="8">
      <c r="A8" s="1885" t="n"/>
      <c r="B8" s="794" t="inlineStr">
        <is>
          <t>GL 1879 CGST PAYABLE A/C. DR….</t>
        </is>
      </c>
      <c r="C8" s="1880">
        <f>+'VASANA '!E74</f>
        <v/>
      </c>
      <c r="D8" s="1886" t="n"/>
      <c r="E8" s="1073" t="n"/>
      <c r="F8" s="1156" t="n"/>
      <c r="G8" s="1156" t="n"/>
      <c r="H8" s="1156" t="n"/>
    </row>
    <row r="9">
      <c r="A9" s="1885" t="n"/>
      <c r="B9" s="794" t="inlineStr">
        <is>
          <t>GL 1880 IGST PAYABLE A/C. DR….</t>
        </is>
      </c>
      <c r="C9" s="1880">
        <f>+'VASANA '!F74</f>
        <v/>
      </c>
      <c r="D9" s="1886" t="n"/>
      <c r="E9" s="1073" t="n"/>
      <c r="F9" s="1156" t="n"/>
      <c r="G9" s="1156" t="n"/>
      <c r="H9" s="115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  <c r="E10" s="1073" t="n"/>
      <c r="F10" s="1156" t="n"/>
      <c r="G10" s="1156" t="n"/>
      <c r="H10" s="1156" t="n"/>
    </row>
    <row r="11">
      <c r="A11" s="1885" t="n"/>
      <c r="B11" s="794">
        <f>+ODHAV1!B11</f>
        <v/>
      </c>
      <c r="C11" s="1880" t="n"/>
      <c r="D11" s="1886" t="n"/>
      <c r="E11" s="1073" t="n"/>
      <c r="F11" s="1156" t="n"/>
      <c r="G11" s="1156" t="n"/>
      <c r="H11" s="115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794" t="n"/>
      <c r="C14" s="1880" t="n"/>
      <c r="D14" s="1886" t="n"/>
    </row>
    <row r="15">
      <c r="A15" s="1885" t="n">
        <v>2</v>
      </c>
      <c r="B15" s="794" t="inlineStr">
        <is>
          <t>GL 8548 GGST RECEIVABLE A/C.. DR..</t>
        </is>
      </c>
      <c r="C15" s="1880" t="n">
        <v>0</v>
      </c>
      <c r="D15" s="1886" t="n"/>
    </row>
    <row r="16">
      <c r="A16" s="1885" t="n"/>
      <c r="B16" s="794" t="inlineStr">
        <is>
          <t xml:space="preserve">      TO GL 8546 GGST RECEIVABLE A/C..</t>
        </is>
      </c>
      <c r="C16" s="1880" t="n"/>
      <c r="D16" s="1886">
        <f>+C15/2</f>
        <v/>
      </c>
    </row>
    <row r="17">
      <c r="A17" s="1885" t="n"/>
      <c r="B17" s="794" t="inlineStr">
        <is>
          <t xml:space="preserve">      TO GL 8547 CGST RECEIVABLE A/C..</t>
        </is>
      </c>
      <c r="C17" s="1880" t="n"/>
      <c r="D17" s="1886">
        <f>+D16</f>
        <v/>
      </c>
    </row>
    <row r="18">
      <c r="A18" s="1885" t="n"/>
      <c r="B18" s="794" t="inlineStr">
        <is>
          <t>(BEING REVERSAL OF ENTRY WRONGLY PASS BY</t>
        </is>
      </c>
      <c r="C18" s="1880" t="n"/>
      <c r="D18" s="1886" t="n"/>
    </row>
    <row r="19">
      <c r="A19" s="1885" t="n"/>
      <c r="B19" s="794" t="inlineStr">
        <is>
          <t>BRANCH IN CGST AND SGST INSTEAD OF IGST)</t>
        </is>
      </c>
      <c r="C19" s="1880" t="n"/>
      <c r="D19" s="1886" t="n"/>
    </row>
    <row r="20" ht="16.5" customHeight="1">
      <c r="A20" s="1887" t="n"/>
      <c r="B20" s="1888" t="n"/>
      <c r="C20" s="1889" t="n"/>
      <c r="D20" s="1890" t="n"/>
      <c r="G20" s="1891" t="n"/>
    </row>
    <row r="21">
      <c r="A21" s="1885" t="n"/>
      <c r="B21" s="794" t="n"/>
      <c r="C21" s="1880" t="n"/>
      <c r="D21" s="1886" t="n"/>
    </row>
    <row r="22">
      <c r="A22" s="1885" t="n">
        <v>3</v>
      </c>
      <c r="B22" s="794" t="inlineStr">
        <is>
          <t>HO DR…….</t>
        </is>
      </c>
      <c r="C22" s="1880">
        <f>+D24+D25+D26-C23</f>
        <v/>
      </c>
      <c r="D22" s="1886" t="n"/>
      <c r="E22" s="1073" t="n"/>
      <c r="F22" s="1156" t="n"/>
      <c r="G22" s="1156" t="n"/>
      <c r="H22" s="1156" t="n"/>
      <c r="I22" s="1899" t="n"/>
      <c r="J22" s="1899" t="n"/>
    </row>
    <row r="23">
      <c r="A23" s="1885" t="n"/>
      <c r="B23" s="794" t="inlineStr">
        <is>
          <t>PL 4197 SERVICE TAX/GST EXPENSES A/C. DR</t>
        </is>
      </c>
      <c r="C23" s="1880">
        <f>+SUM(D24:D26)/2</f>
        <v/>
      </c>
      <c r="D23" s="1886" t="n"/>
      <c r="E23" s="1073" t="n"/>
      <c r="F23" s="1156" t="n"/>
      <c r="G23" s="1156" t="n"/>
      <c r="H23" s="1156" t="n"/>
      <c r="I23" s="1899" t="n"/>
      <c r="J23" s="1899" t="n"/>
    </row>
    <row r="24">
      <c r="A24" s="794" t="n"/>
      <c r="B24" s="794" t="inlineStr">
        <is>
          <t xml:space="preserve">      TO GL 8546 GGST RECEIVABLE A/C..</t>
        </is>
      </c>
      <c r="C24" s="1880" t="n"/>
      <c r="D24" s="1886">
        <f>+'VASANA '!D81</f>
        <v/>
      </c>
      <c r="E24" s="1073" t="n"/>
      <c r="F24" s="1156" t="n"/>
      <c r="G24" s="1156" t="n"/>
      <c r="H24" s="1156" t="n"/>
      <c r="I24" s="1899" t="n"/>
      <c r="J24" s="1899" t="n"/>
    </row>
    <row r="25">
      <c r="A25" s="794" t="n"/>
      <c r="B25" s="794" t="inlineStr">
        <is>
          <t xml:space="preserve">      TO GL 8547 CGST RECEIVABLE A/C..</t>
        </is>
      </c>
      <c r="C25" s="1880" t="n"/>
      <c r="D25" s="1886">
        <f>+'VASANA '!E81</f>
        <v/>
      </c>
      <c r="E25" s="1073" t="n"/>
      <c r="F25" s="1156" t="n"/>
      <c r="G25" s="1156" t="n"/>
      <c r="H25" s="1156" t="n"/>
      <c r="I25" s="1899" t="n"/>
      <c r="J25" s="1899" t="n"/>
    </row>
    <row r="26">
      <c r="A26" s="794" t="n"/>
      <c r="B26" s="794" t="inlineStr">
        <is>
          <t xml:space="preserve">      TO GL 8548 IGST RECEIVABLE A/C..</t>
        </is>
      </c>
      <c r="C26" s="1880" t="n"/>
      <c r="D26" s="1886">
        <f>+'VASANA '!F81</f>
        <v/>
      </c>
      <c r="E26" s="1073" t="n"/>
      <c r="F26" s="1156" t="n"/>
      <c r="G26" s="1156" t="n"/>
      <c r="H26" s="1156" t="n"/>
      <c r="I26" s="1899" t="n"/>
      <c r="J26" s="1899" t="n"/>
    </row>
    <row r="27">
      <c r="A27" s="794" t="n"/>
      <c r="B27" s="794">
        <f>+ODHAV1!B20</f>
        <v/>
      </c>
      <c r="C27" s="1880" t="n"/>
      <c r="D27" s="1886" t="n"/>
      <c r="F27" s="1899" t="n"/>
      <c r="G27" s="1899" t="n"/>
      <c r="H27" s="1899" t="n"/>
      <c r="I27" s="1899" t="n"/>
      <c r="J27" s="1899" t="n"/>
    </row>
    <row r="28" ht="16.5" customHeight="1">
      <c r="A28" s="1888" t="n"/>
      <c r="B28" s="1888">
        <f>+ODHAV1!B21</f>
        <v/>
      </c>
      <c r="C28" s="1889" t="n"/>
      <c r="D28" s="1890" t="n"/>
    </row>
    <row r="29">
      <c r="C29" s="1883" t="n"/>
      <c r="D29" s="1883" t="n"/>
    </row>
    <row r="30">
      <c r="C30" s="1883" t="n"/>
      <c r="D30" s="1883" t="n"/>
    </row>
    <row r="31" ht="15.75" customHeight="1">
      <c r="A31" s="1454" t="inlineStr">
        <is>
          <t>Note- Difference of Rs 125632.42/- arises in receivable ledger. The entry for the same will be passed by the branch.</t>
        </is>
      </c>
      <c r="F31" s="1455" t="inlineStr">
        <is>
          <t>Remove this in OCT'2026</t>
        </is>
      </c>
    </row>
    <row r="32"/>
    <row r="33">
      <c r="C33" s="1883" t="n"/>
      <c r="D33" s="1883" t="n"/>
      <c r="F33" s="790" t="n"/>
      <c r="G33" s="790" t="n"/>
      <c r="H33" s="790" t="n"/>
    </row>
    <row r="34">
      <c r="C34" s="1883" t="n"/>
      <c r="D34" s="1883" t="n"/>
      <c r="F34" s="790" t="n"/>
      <c r="G34" s="790" t="n"/>
      <c r="H34" s="790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</sheetData>
  <mergeCells count="4">
    <mergeCell ref="A1:D1"/>
    <mergeCell ref="A31:D32"/>
    <mergeCell ref="F31:H32"/>
    <mergeCell ref="A3:D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1.42578125" customWidth="1" min="2" max="2"/>
    <col width="17.42578125" customWidth="1" min="3" max="3"/>
    <col width="9.140625" customWidth="1" min="5" max="5"/>
    <col width="13.5703125" customWidth="1" min="6" max="6"/>
    <col width="9.140625" customWidth="1" min="7" max="7"/>
  </cols>
  <sheetData>
    <row r="1">
      <c r="A1" s="1450" t="inlineStr">
        <is>
          <t>NUTAN NAGRIK SAHAKARI BANK LIMITED, SURAT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0">
        <f>+SURAT!D74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+SURAT!E74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+SURAT!F74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+(D17+D18+D19)/2</f>
        <v/>
      </c>
      <c r="D15" s="1886" t="n"/>
      <c r="E15" s="1073" t="n"/>
      <c r="F15" s="1156" t="n"/>
      <c r="G15" s="115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  <c r="E16" s="1073" t="n"/>
      <c r="F16" s="1156" t="n"/>
      <c r="G16" s="115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+SURAT!D81</f>
        <v/>
      </c>
      <c r="E17" s="1073" t="n"/>
      <c r="F17" s="1156" t="n"/>
      <c r="G17" s="1156" t="n"/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+SURAT!E81</f>
        <v/>
      </c>
      <c r="E18" s="1073" t="n"/>
      <c r="F18" s="1156" t="n"/>
      <c r="G18" s="1156" t="n"/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+SURAT!F81</f>
        <v/>
      </c>
      <c r="E19" s="1073" t="n"/>
      <c r="F19" s="1156" t="n"/>
      <c r="G19" s="1156" t="n"/>
    </row>
    <row r="20">
      <c r="A20" s="794" t="n"/>
      <c r="B20" s="794">
        <f>+ODHAV1!B20</f>
        <v/>
      </c>
      <c r="C20" s="1880" t="n"/>
      <c r="D20" s="1886" t="n"/>
      <c r="E20" s="1073" t="n"/>
      <c r="F20" s="1156" t="n"/>
      <c r="G20" s="1156" t="n"/>
    </row>
    <row r="21" ht="16.5" customHeight="1">
      <c r="A21" s="1888" t="n"/>
      <c r="B21" s="1888">
        <f>+ODHAV1!B21</f>
        <v/>
      </c>
      <c r="C21" s="1889" t="n"/>
      <c r="D21" s="1890" t="n"/>
    </row>
    <row r="22" ht="15.75" customHeight="1">
      <c r="A22" s="1893" t="n"/>
      <c r="B22" s="1913" t="n"/>
      <c r="C22" s="1898" t="n"/>
      <c r="D22" s="1917" t="n"/>
      <c r="E22" s="1073" t="n"/>
      <c r="F22" s="1156" t="n"/>
      <c r="G22" s="1156" t="n"/>
    </row>
    <row r="23">
      <c r="A23" s="1885">
        <f>+A15+1</f>
        <v/>
      </c>
      <c r="B23" s="1884" t="inlineStr">
        <is>
          <t>GL 8546 GGST RECEIVABLE A/C..  DR….</t>
        </is>
      </c>
      <c r="C23" s="1901" t="n"/>
      <c r="D23" s="1918" t="n"/>
      <c r="E23" s="1073" t="n"/>
      <c r="F23" s="1156" t="n"/>
      <c r="G23" s="1156" t="n"/>
    </row>
    <row r="24">
      <c r="A24" s="794" t="n"/>
      <c r="B24" s="1884" t="inlineStr">
        <is>
          <t>GL 8547 CGST RECEIVABLE A/C..  DR….</t>
        </is>
      </c>
      <c r="C24" s="1901" t="n"/>
      <c r="D24" s="1918" t="n"/>
      <c r="E24" s="1073" t="n"/>
      <c r="F24" s="1156" t="n"/>
      <c r="G24" s="1156" t="n"/>
    </row>
    <row r="25">
      <c r="A25" s="794" t="n"/>
      <c r="B25" s="1884" t="inlineStr">
        <is>
          <t xml:space="preserve">           TO GL 1878 GGST PAYABLE A/C.</t>
        </is>
      </c>
      <c r="C25" s="1901" t="n"/>
      <c r="D25" s="1918">
        <f>+C24</f>
        <v/>
      </c>
      <c r="E25" s="1073" t="n"/>
      <c r="F25" s="1156" t="n"/>
      <c r="G25" s="1156" t="n"/>
    </row>
    <row r="26">
      <c r="A26" s="794" t="n"/>
      <c r="B26" s="1884" t="inlineStr">
        <is>
          <t xml:space="preserve">           TO GL 1879 CGST PAYABLE A/C. DR….</t>
        </is>
      </c>
      <c r="C26" s="1901" t="n"/>
      <c r="D26" s="1918">
        <f>+C24</f>
        <v/>
      </c>
      <c r="E26" s="1073" t="n"/>
      <c r="F26" s="1156" t="n"/>
      <c r="G26" s="1156" t="n"/>
    </row>
    <row r="27">
      <c r="A27" s="794" t="n"/>
      <c r="C27" s="1901" t="n"/>
      <c r="D27" s="1918" t="n"/>
      <c r="E27" s="1073" t="n"/>
      <c r="F27" s="1156" t="n"/>
      <c r="G27" s="1156" t="n"/>
    </row>
    <row r="28" ht="16.5" customHeight="1">
      <c r="A28" s="1888" t="n"/>
      <c r="B28" s="1915" t="n"/>
      <c r="C28" s="1895" t="n"/>
      <c r="D28" s="1920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74.85546875" customWidth="1" min="2" max="2"/>
    <col width="20.140625" customWidth="1" min="3" max="3"/>
    <col width="16.7109375" customWidth="1" min="5" max="5"/>
    <col width="9.140625" customWidth="1" min="6" max="6"/>
  </cols>
  <sheetData>
    <row r="1">
      <c r="A1" s="1450" t="inlineStr">
        <is>
          <t>NUTAN NAGRIK SAHAKARI BANK LIMITED, LAW GARDEN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1142" t="inlineStr">
        <is>
          <t>DR. RS.</t>
        </is>
      </c>
      <c r="D5" s="1142" t="inlineStr">
        <is>
          <t>CR. RS</t>
        </is>
      </c>
    </row>
    <row r="6">
      <c r="A6" s="794" t="n"/>
      <c r="B6" s="794" t="n"/>
      <c r="C6" s="794" t="n"/>
      <c r="D6" s="794" t="n"/>
    </row>
    <row r="7">
      <c r="A7" s="1885" t="n">
        <v>1</v>
      </c>
      <c r="B7" s="794" t="inlineStr">
        <is>
          <t>GL 1878 GGST PAYABLE A/C. DR….</t>
        </is>
      </c>
      <c r="C7" s="1886">
        <f>+'LAW GARDEN'!D74</f>
        <v/>
      </c>
      <c r="D7" s="1886" t="n"/>
    </row>
    <row r="8">
      <c r="A8" s="1885" t="n"/>
      <c r="B8" s="794" t="inlineStr">
        <is>
          <t>GL 1879 CGST PAYABLE A/C. DR….</t>
        </is>
      </c>
      <c r="C8" s="1886">
        <f>+'LAW GARDEN'!E74</f>
        <v/>
      </c>
      <c r="D8" s="1886" t="n"/>
    </row>
    <row r="9">
      <c r="A9" s="1885" t="n"/>
      <c r="B9" s="794" t="inlineStr">
        <is>
          <t>GL 1880 IGST PAYABLE A/C. DR….</t>
        </is>
      </c>
      <c r="C9" s="1886">
        <f>+'LAW GARDEN'!F74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6" t="n"/>
      <c r="D10" s="1886">
        <f>+C7+C8+C9</f>
        <v/>
      </c>
    </row>
    <row r="11">
      <c r="A11" s="1885" t="n"/>
      <c r="B11" s="794">
        <f>+ODHAV1!B11</f>
        <v/>
      </c>
      <c r="C11" s="1886" t="n"/>
      <c r="D11" s="1886" t="n"/>
    </row>
    <row r="12">
      <c r="A12" s="1885" t="n"/>
      <c r="B12" s="794">
        <f>+ODHAV1!B12</f>
        <v/>
      </c>
      <c r="C12" s="1886" t="n"/>
      <c r="D12" s="1886" t="n"/>
    </row>
    <row r="13" ht="16.5" customHeight="1">
      <c r="A13" s="1887" t="n"/>
      <c r="B13" s="1888" t="n"/>
      <c r="C13" s="1890" t="n"/>
      <c r="D13" s="1890" t="n"/>
    </row>
    <row r="14">
      <c r="A14" s="1885" t="n"/>
      <c r="B14" s="794" t="n"/>
      <c r="C14" s="1886" t="n"/>
      <c r="D14" s="1886" t="n"/>
      <c r="E14" s="1069" t="n"/>
      <c r="F14" s="1069" t="n"/>
      <c r="G14" s="1069" t="n"/>
    </row>
    <row r="15">
      <c r="A15" s="1885" t="n">
        <v>2</v>
      </c>
      <c r="B15" s="794" t="inlineStr">
        <is>
          <t>GL 1878 GGST PAYABLE A/C. DR….</t>
        </is>
      </c>
      <c r="C15" s="1886" t="n">
        <v>0</v>
      </c>
      <c r="D15" s="1886" t="n"/>
      <c r="E15" s="1069" t="n"/>
      <c r="F15" s="1069" t="n"/>
      <c r="G15" s="1069" t="n"/>
      <c r="L15" s="1884">
        <f>2362/2</f>
        <v/>
      </c>
    </row>
    <row r="16">
      <c r="A16" s="1885" t="n"/>
      <c r="B16" s="794" t="inlineStr">
        <is>
          <t>GL 1879 CGST PAYABLE A/C. DR….</t>
        </is>
      </c>
      <c r="C16" s="1886" t="n">
        <v>0</v>
      </c>
      <c r="D16" s="1886" t="n"/>
      <c r="E16" s="1069" t="n"/>
      <c r="F16" s="1069" t="n"/>
      <c r="G16" s="1069" t="n"/>
    </row>
    <row r="17">
      <c r="A17" s="1885" t="n"/>
      <c r="B17" s="794" t="inlineStr">
        <is>
          <t xml:space="preserve">         TO PL 4197 SERVICE TAX/GST EXPENSES A/C. </t>
        </is>
      </c>
      <c r="C17" s="1886" t="n"/>
      <c r="D17" s="1886">
        <f>+C15+C16</f>
        <v/>
      </c>
      <c r="E17" s="1069" t="n"/>
      <c r="F17" s="1069" t="n"/>
      <c r="G17" s="1069" t="n"/>
    </row>
    <row r="18">
      <c r="A18" s="1885" t="n"/>
      <c r="B18" s="1884" t="inlineStr">
        <is>
          <t>(BEING GST RECIFICATION ENTRY DONE)</t>
        </is>
      </c>
      <c r="C18" s="1886" t="n"/>
      <c r="D18" s="1886" t="n"/>
      <c r="E18" s="1069" t="n"/>
      <c r="F18" s="1069" t="n"/>
      <c r="G18" s="1069" t="n"/>
    </row>
    <row r="19" ht="16.5" customHeight="1">
      <c r="A19" s="1887" t="n"/>
      <c r="B19" s="1888" t="n"/>
      <c r="C19" s="1890" t="n"/>
      <c r="D19" s="1890" t="n"/>
      <c r="E19" s="1069" t="n"/>
      <c r="F19" s="1069" t="n"/>
      <c r="G19" s="1069" t="n"/>
    </row>
    <row r="20">
      <c r="A20" s="1885" t="n"/>
      <c r="B20" s="794" t="n"/>
      <c r="C20" s="1886" t="n"/>
      <c r="D20" s="1886" t="n"/>
      <c r="E20" s="788" t="n"/>
      <c r="F20" s="788" t="n"/>
      <c r="G20" s="788" t="n"/>
      <c r="H20" s="788" t="n"/>
    </row>
    <row r="21">
      <c r="A21" s="1885" t="n">
        <v>3</v>
      </c>
      <c r="B21" s="794" t="inlineStr">
        <is>
          <t>HO DR…….</t>
        </is>
      </c>
      <c r="C21" s="1886">
        <f>+D23+D24+D25-C22</f>
        <v/>
      </c>
      <c r="D21" s="1886" t="n"/>
      <c r="E21" s="788" t="n"/>
      <c r="F21" s="788" t="n"/>
      <c r="G21" s="788" t="n"/>
      <c r="H21" s="788" t="n"/>
    </row>
    <row r="22">
      <c r="A22" s="1885" t="n"/>
      <c r="B22" s="794" t="inlineStr">
        <is>
          <t>PL 4197 SERVICE TAX/GST EXPENSES A/C. DR</t>
        </is>
      </c>
      <c r="C22" s="1886">
        <f>+SUM(D23:D25)/2</f>
        <v/>
      </c>
      <c r="D22" s="1886" t="n"/>
      <c r="E22" s="788" t="n"/>
      <c r="F22" s="788" t="n"/>
      <c r="G22" s="788" t="n"/>
      <c r="H22" s="788" t="n"/>
    </row>
    <row r="23">
      <c r="A23" s="794" t="n"/>
      <c r="B23" s="794" t="inlineStr">
        <is>
          <t xml:space="preserve">      TO GL 8546 GGST RECEIVABLE A/C..</t>
        </is>
      </c>
      <c r="C23" s="1886" t="n"/>
      <c r="D23" s="1886">
        <f>+'LAW GARDEN'!D81</f>
        <v/>
      </c>
      <c r="E23" s="788" t="n"/>
      <c r="F23" s="788" t="n"/>
      <c r="G23" s="788" t="n"/>
      <c r="H23" s="788" t="n"/>
    </row>
    <row r="24">
      <c r="A24" s="794" t="n"/>
      <c r="B24" s="794" t="inlineStr">
        <is>
          <t xml:space="preserve">      TO GL 8547 CGST RECEIVABLE A/C..</t>
        </is>
      </c>
      <c r="C24" s="1886" t="n"/>
      <c r="D24" s="1886">
        <f>+'LAW GARDEN'!E81</f>
        <v/>
      </c>
      <c r="E24" s="788" t="n"/>
      <c r="F24" s="788" t="n"/>
      <c r="G24" s="788" t="n"/>
      <c r="H24" s="788" t="n"/>
    </row>
    <row r="25">
      <c r="A25" s="794" t="n"/>
      <c r="B25" s="794" t="inlineStr">
        <is>
          <t xml:space="preserve">      TO GL 8548 IGST RECEIVABLE A/C..</t>
        </is>
      </c>
      <c r="C25" s="1886" t="n"/>
      <c r="D25" s="1886">
        <f>+'LAW GARDEN'!F81</f>
        <v/>
      </c>
      <c r="E25" s="788" t="n"/>
      <c r="F25" s="788" t="n"/>
      <c r="G25" s="788" t="n"/>
      <c r="H25" s="788" t="n"/>
    </row>
    <row r="26" ht="17.25" customHeight="1">
      <c r="A26" s="794" t="n"/>
      <c r="B26" s="794">
        <f>+ODHAV1!B20</f>
        <v/>
      </c>
      <c r="C26" s="1886" t="n"/>
      <c r="D26" s="1886" t="n"/>
      <c r="E26" s="788" t="n"/>
      <c r="F26" s="788" t="n"/>
      <c r="G26" s="788" t="n"/>
      <c r="H26" s="788" t="n"/>
    </row>
    <row r="27" ht="16.5" customHeight="1">
      <c r="A27" s="1888" t="n"/>
      <c r="B27" s="1888">
        <f>+ODHAV1!B21</f>
        <v/>
      </c>
      <c r="C27" s="1890" t="n"/>
      <c r="D27" s="1890" t="n"/>
      <c r="E27" s="788" t="n"/>
      <c r="F27" s="788" t="n"/>
      <c r="G27" s="788" t="n"/>
      <c r="H27" s="788" t="n"/>
    </row>
    <row r="28" ht="15.75" customHeight="1">
      <c r="A28" s="1896" t="n"/>
      <c r="B28" s="1893" t="n"/>
      <c r="C28" s="1898" t="n"/>
      <c r="D28" s="1917" t="n"/>
      <c r="E28" s="1073" t="n"/>
      <c r="F28" s="1156" t="n"/>
      <c r="G28" s="1156" t="n"/>
    </row>
    <row r="29">
      <c r="A29" s="1902" t="n">
        <v>4</v>
      </c>
      <c r="B29" s="1923" t="inlineStr">
        <is>
          <t>GL 8546 GGST RECEIVABLE A/C..</t>
        </is>
      </c>
      <c r="C29" s="1901" t="n">
        <v>0</v>
      </c>
      <c r="D29" s="1918" t="n"/>
      <c r="E29" s="1073" t="n"/>
      <c r="F29" s="1156" t="n"/>
      <c r="G29" s="1156" t="n"/>
    </row>
    <row r="30">
      <c r="A30" s="1902" t="n"/>
      <c r="B30" s="794" t="inlineStr">
        <is>
          <t>GL 8547 CGST RECEIVABLE A/C..</t>
        </is>
      </c>
      <c r="C30" s="1901" t="n">
        <v>0</v>
      </c>
      <c r="D30" s="1918" t="n"/>
      <c r="E30" s="1073" t="n"/>
      <c r="F30" s="1156" t="n"/>
      <c r="G30" s="1156" t="n"/>
    </row>
    <row r="31">
      <c r="A31" s="1902" t="n"/>
      <c r="B31" s="1924" t="inlineStr">
        <is>
          <t>TO PL 4197 SERVICE TAX/GST EXPENSES A/C. DR</t>
        </is>
      </c>
      <c r="C31" s="1901" t="n"/>
      <c r="D31" s="1918">
        <f>+C29+C30</f>
        <v/>
      </c>
      <c r="E31" s="1073" t="n"/>
      <c r="F31" s="1156" t="n"/>
      <c r="G31" s="1156" t="n"/>
    </row>
    <row r="32">
      <c r="A32" s="1902" t="n"/>
      <c r="B32" s="794" t="inlineStr">
        <is>
          <t>(BEING GST RECTIFICATION ENTRIES FOR THE MONTH OF</t>
        </is>
      </c>
      <c r="C32" s="1901" t="n"/>
      <c r="D32" s="1918" t="n"/>
      <c r="E32" s="1073" t="n"/>
      <c r="F32" s="1156" t="n"/>
      <c r="G32" s="1156" t="n"/>
    </row>
    <row r="33">
      <c r="A33" s="1902" t="n"/>
      <c r="B33" s="794" t="inlineStr">
        <is>
          <t xml:space="preserve"> MARCH  2025)</t>
        </is>
      </c>
      <c r="C33" s="1901" t="n"/>
      <c r="D33" s="1918" t="n"/>
      <c r="E33" s="1073" t="n"/>
      <c r="F33" s="1156" t="n"/>
      <c r="G33" s="1156" t="n"/>
    </row>
    <row r="34" ht="16.5" customHeight="1">
      <c r="A34" s="1903" t="n"/>
      <c r="B34" s="1912" t="n"/>
      <c r="C34" s="1895" t="n"/>
      <c r="D34" s="1920" t="n"/>
      <c r="E34" s="1073" t="n"/>
      <c r="F34" s="1156" t="n"/>
      <c r="G34" s="1156" t="n"/>
    </row>
    <row r="35">
      <c r="A35" s="1893" t="n"/>
      <c r="B35" s="1913" t="n"/>
      <c r="C35" s="1898" t="n"/>
      <c r="D35" s="1898" t="n"/>
    </row>
    <row r="36">
      <c r="A36" s="794" t="n">
        <v>5</v>
      </c>
      <c r="B36" s="794" t="inlineStr">
        <is>
          <t>PL 4197 SERVICE TAX/GST EXPENSES A/C. DR</t>
        </is>
      </c>
      <c r="C36" s="1901">
        <f>+D37+D38</f>
        <v/>
      </c>
      <c r="D36" s="1901" t="n"/>
    </row>
    <row r="37">
      <c r="A37" s="794" t="n"/>
      <c r="B37" s="1884" t="inlineStr">
        <is>
          <t xml:space="preserve">        TO GL 1878 GGST PAYABLE A/C..</t>
        </is>
      </c>
      <c r="C37" s="1901" t="n"/>
      <c r="D37" s="1901" t="n">
        <v>0</v>
      </c>
    </row>
    <row r="38">
      <c r="A38" s="794" t="n"/>
      <c r="B38" s="1884" t="inlineStr">
        <is>
          <t xml:space="preserve">        TO GL 1879 CGST PAYABLE A/C…</t>
        </is>
      </c>
      <c r="C38" s="1901" t="n"/>
      <c r="D38" s="1901" t="n">
        <v>0</v>
      </c>
    </row>
    <row r="39">
      <c r="A39" s="794" t="n"/>
      <c r="B39" s="1884" t="inlineStr">
        <is>
          <t xml:space="preserve">(BEING GST NOT CHARGED BUT INCOME BOOKED </t>
        </is>
      </c>
      <c r="C39" s="1901" t="n"/>
      <c r="D39" s="1901" t="n"/>
    </row>
    <row r="40">
      <c r="A40" s="794" t="n"/>
      <c r="B40" s="1884" t="inlineStr">
        <is>
          <t>IN PL, NOW ENTRY BEING PASSED)</t>
        </is>
      </c>
      <c r="C40" s="1901" t="n"/>
      <c r="D40" s="1901" t="n"/>
    </row>
    <row r="41" ht="16.5" customHeight="1">
      <c r="A41" s="1888" t="n"/>
      <c r="B41" s="1915" t="n"/>
      <c r="C41" s="1895" t="n"/>
      <c r="D41" s="1895" t="n"/>
    </row>
    <row r="42">
      <c r="A42" s="1896" t="n"/>
      <c r="B42" s="1893" t="n"/>
      <c r="C42" s="1898" t="n"/>
      <c r="D42" s="1917" t="n"/>
    </row>
    <row r="43">
      <c r="A43" s="1902" t="n">
        <v>6</v>
      </c>
      <c r="B43" s="794" t="inlineStr">
        <is>
          <t>GL 1878 GGST PAYABLE A/C. DR….</t>
        </is>
      </c>
      <c r="C43" s="1901" t="n">
        <v>0</v>
      </c>
      <c r="D43" s="1918" t="n"/>
    </row>
    <row r="44">
      <c r="A44" s="1902" t="n"/>
      <c r="B44" s="794" t="inlineStr">
        <is>
          <t>GL 1879 CGST PAYABLE A/C. DR….</t>
        </is>
      </c>
      <c r="C44" s="1901" t="n">
        <v>0</v>
      </c>
      <c r="D44" s="1918" t="n"/>
    </row>
    <row r="45">
      <c r="A45" s="1902" t="n"/>
      <c r="B45" s="794" t="inlineStr">
        <is>
          <t>GL 1880 IGST PAYABLE A/C. DR….</t>
        </is>
      </c>
      <c r="C45" s="1901" t="n"/>
      <c r="D45" s="1918" t="n"/>
    </row>
    <row r="46">
      <c r="A46" s="1902" t="n"/>
      <c r="B46" s="794" t="inlineStr">
        <is>
          <t xml:space="preserve">      TO HO </t>
        </is>
      </c>
      <c r="C46" s="1901" t="n"/>
      <c r="D46" s="1918">
        <f>+C43+C44</f>
        <v/>
      </c>
    </row>
    <row r="47">
      <c r="A47" s="1902" t="n"/>
      <c r="B47" s="794" t="inlineStr">
        <is>
          <t>(BEING GST PAYABLE FOR THE MONTH OF</t>
        </is>
      </c>
      <c r="C47" s="1901" t="n"/>
      <c r="D47" s="1918" t="n"/>
    </row>
    <row r="48">
      <c r="A48" s="1902" t="n"/>
      <c r="B48" s="794" t="inlineStr">
        <is>
          <t>MARCH 2025 TRANSFER TO HO)</t>
        </is>
      </c>
      <c r="C48" s="1901" t="n"/>
      <c r="D48" s="1918" t="n"/>
    </row>
    <row r="49" ht="16.5" customHeight="1">
      <c r="A49" s="1903" t="n"/>
      <c r="B49" s="1888" t="n"/>
      <c r="C49" s="1895" t="n"/>
      <c r="D49" s="1920" t="n"/>
    </row>
    <row r="50">
      <c r="C50" s="1883" t="n"/>
      <c r="D50" s="1883" t="n"/>
    </row>
    <row r="51">
      <c r="C51" s="1883" t="n"/>
      <c r="D51" s="1883" t="n"/>
    </row>
    <row r="52">
      <c r="C52" s="1883" t="n"/>
      <c r="D52" s="1883" t="n"/>
    </row>
    <row r="53">
      <c r="C53" s="1883" t="n"/>
      <c r="D53" s="1883" t="n"/>
    </row>
    <row r="54">
      <c r="C54" s="1883" t="n"/>
      <c r="D54" s="1883" t="n"/>
    </row>
    <row r="55">
      <c r="C55" s="1883" t="n"/>
      <c r="D55" s="1883" t="n"/>
    </row>
    <row r="56">
      <c r="C56" s="1883" t="n"/>
      <c r="D56" s="1883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4.85546875" customWidth="1" min="2" max="2"/>
    <col width="19.28515625" customWidth="1" min="3" max="3"/>
    <col width="20.140625" customWidth="1" min="4" max="4"/>
    <col width="9.140625" customWidth="1" min="5" max="5"/>
  </cols>
  <sheetData>
    <row r="1">
      <c r="A1" s="1450" t="inlineStr">
        <is>
          <t>NUTAN NAGRIK SAHAKARI BANK LIMITED, NEW CLOTH MARKET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201" t="n"/>
      <c r="B6" s="201" t="n"/>
      <c r="C6" s="202" t="n"/>
      <c r="D6" s="201" t="n"/>
    </row>
    <row r="7">
      <c r="A7" s="1885" t="n">
        <v>1</v>
      </c>
      <c r="B7" s="794" t="inlineStr">
        <is>
          <t>GL 1878 GGST PAYABLE A/C. DR….</t>
        </is>
      </c>
      <c r="C7" s="1880">
        <f>+'NEW CLOTH'!D74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+'NEW CLOTH'!E74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+'NEW CLOTH'!F74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794" t="n"/>
      <c r="C14" s="1880" t="n"/>
      <c r="D14" s="1886" t="n"/>
    </row>
    <row r="15">
      <c r="A15" s="1885" t="n">
        <v>2</v>
      </c>
      <c r="B15" s="794" t="inlineStr">
        <is>
          <t xml:space="preserve"> PL 3310 MIS. INCOME  A/C.. DR</t>
        </is>
      </c>
      <c r="C15" s="1880" t="n">
        <v>0</v>
      </c>
      <c r="D15" s="1886" t="n"/>
    </row>
    <row r="16">
      <c r="A16" s="794" t="n"/>
      <c r="B16" s="794" t="inlineStr">
        <is>
          <t xml:space="preserve">       TO GL 1878 GGST PAYABLE A/C. </t>
        </is>
      </c>
      <c r="C16" s="1880" t="n"/>
      <c r="D16" s="1886" t="n">
        <v>0</v>
      </c>
    </row>
    <row r="17">
      <c r="A17" s="794" t="n"/>
      <c r="B17" s="794" t="inlineStr">
        <is>
          <t xml:space="preserve">       TO GL 1879 CGST PAYABLE A/C.</t>
        </is>
      </c>
      <c r="C17" s="1880" t="n"/>
      <c r="D17" s="1886" t="n">
        <v>0</v>
      </c>
    </row>
    <row r="18">
      <c r="A18" s="794" t="n"/>
      <c r="B18" s="794" t="inlineStr">
        <is>
          <t xml:space="preserve">(BEING REVERSAL OF GST AMOUNT AS BRANCH </t>
        </is>
      </c>
      <c r="C18" s="1880" t="n"/>
      <c r="D18" s="1886">
        <f>+NARAYANNAGAR!F82</f>
        <v/>
      </c>
    </row>
    <row r="19">
      <c r="A19" s="794" t="n"/>
      <c r="B19" s="1925" t="inlineStr">
        <is>
          <t>DIRECT CREDIT THE TOTAL AMOUNT IN PL 3310)</t>
        </is>
      </c>
      <c r="C19" s="1880" t="n"/>
      <c r="D19" s="1886" t="n"/>
    </row>
    <row r="20" ht="16.5" customHeight="1">
      <c r="A20" s="1888" t="n"/>
      <c r="B20" s="1888" t="n"/>
      <c r="C20" s="1889" t="n"/>
      <c r="D20" s="1890" t="n"/>
    </row>
    <row r="21">
      <c r="A21" s="1885" t="n"/>
      <c r="B21" s="1893" t="n"/>
      <c r="C21" s="1880" t="n"/>
      <c r="D21" s="1886" t="n"/>
    </row>
    <row r="22">
      <c r="A22" s="1885" t="n">
        <v>3</v>
      </c>
      <c r="B22" s="794" t="inlineStr">
        <is>
          <t>HO DR…….</t>
        </is>
      </c>
      <c r="C22" s="1880">
        <f>+(D24+D25+D26)/2</f>
        <v/>
      </c>
      <c r="D22" s="1886" t="n"/>
    </row>
    <row r="23">
      <c r="A23" s="1885" t="n"/>
      <c r="B23" s="794" t="inlineStr">
        <is>
          <t>PL 4197 SERVICE TAX/GST EXPENSES A/C. DR</t>
        </is>
      </c>
      <c r="C23" s="1880">
        <f>+SUM(D24:D26)/2</f>
        <v/>
      </c>
      <c r="D23" s="1886" t="n"/>
    </row>
    <row r="24">
      <c r="A24" s="794" t="n"/>
      <c r="B24" s="794" t="inlineStr">
        <is>
          <t xml:space="preserve">      TO GL 8546 GGST RECEIVABLE A/C..</t>
        </is>
      </c>
      <c r="C24" s="1880" t="n"/>
      <c r="D24" s="1886">
        <f>+'NEW CLOTH'!D81</f>
        <v/>
      </c>
    </row>
    <row r="25">
      <c r="A25" s="794" t="n"/>
      <c r="B25" s="794" t="inlineStr">
        <is>
          <t xml:space="preserve">      TO GL 8547 CGST RECEIVABLE A/C..</t>
        </is>
      </c>
      <c r="C25" s="1880" t="n"/>
      <c r="D25" s="1886">
        <f>+'NEW CLOTH'!E81</f>
        <v/>
      </c>
    </row>
    <row r="26">
      <c r="A26" s="794" t="n"/>
      <c r="B26" s="794" t="inlineStr">
        <is>
          <t xml:space="preserve">      TO GL 8548 IGST RECEIVABLE A/C..</t>
        </is>
      </c>
      <c r="C26" s="1880" t="n"/>
      <c r="D26" s="1886">
        <f>+'NEW CLOTH'!F81</f>
        <v/>
      </c>
    </row>
    <row r="27">
      <c r="A27" s="794" t="n"/>
      <c r="B27" s="794">
        <f>+ODHAV1!B20</f>
        <v/>
      </c>
      <c r="C27" s="1880" t="n"/>
      <c r="D27" s="1886" t="n"/>
    </row>
    <row r="28" ht="16.5" customHeight="1">
      <c r="A28" s="1888" t="n"/>
      <c r="B28" s="1888">
        <f>+ODHAV1!B21</f>
        <v/>
      </c>
      <c r="C28" s="1889" t="n"/>
      <c r="D28" s="1890" t="n"/>
    </row>
    <row r="29">
      <c r="C29" s="1883" t="n"/>
      <c r="D29" s="1883" t="n"/>
    </row>
    <row r="30">
      <c r="C30" s="1883" t="n"/>
      <c r="D30" s="1883" t="n"/>
    </row>
    <row r="31">
      <c r="C31" s="1883" t="n"/>
      <c r="D31" s="1883" t="n"/>
    </row>
    <row r="32">
      <c r="C32" s="1883" t="n"/>
      <c r="D32" s="1883" t="n"/>
    </row>
    <row r="33">
      <c r="C33" s="1883" t="n"/>
      <c r="D33" s="1883" t="n"/>
    </row>
    <row r="34">
      <c r="C34" s="1883" t="n"/>
      <c r="D34" s="1883" t="n"/>
    </row>
    <row r="35">
      <c r="C35" s="1883" t="n"/>
      <c r="D35" s="1883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>
      <c r="C50" s="1883" t="n"/>
      <c r="D50" s="1883" t="n"/>
    </row>
    <row r="51">
      <c r="C51" s="1883" t="n"/>
      <c r="D51" s="1883" t="n"/>
    </row>
    <row r="52">
      <c r="C52" s="1883" t="n"/>
      <c r="D52" s="1883" t="n"/>
    </row>
    <row r="53">
      <c r="C53" s="1883" t="n"/>
      <c r="D53" s="1883" t="n"/>
    </row>
    <row r="54">
      <c r="C54" s="1883" t="n"/>
      <c r="D54" s="1883" t="n"/>
    </row>
    <row r="55">
      <c r="C55" s="1883" t="n"/>
      <c r="D55" s="1883" t="n"/>
    </row>
    <row r="56">
      <c r="C56" s="1883" t="n"/>
      <c r="D56" s="1883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92D050"/>
    <outlinePr summaryBelow="1" summaryRight="1"/>
    <pageSetUpPr/>
  </sheetPr>
  <dimension ref="A1:M691"/>
  <sheetViews>
    <sheetView workbookViewId="0">
      <selection activeCell="A1" sqref="A1"/>
    </sheetView>
  </sheetViews>
  <sheetFormatPr baseColWidth="8" defaultRowHeight="15"/>
  <cols>
    <col width="12.42578125" customWidth="1" min="1" max="1"/>
    <col width="69.5703125" customWidth="1" min="2" max="2"/>
    <col width="18" customWidth="1" min="3" max="3"/>
    <col width="17.42578125" customWidth="1" min="4" max="4"/>
    <col width="13.42578125" customWidth="1" min="5" max="5"/>
    <col width="12.5703125" customWidth="1" min="6" max="6"/>
    <col width="9.140625" customWidth="1" min="7" max="7"/>
  </cols>
  <sheetData>
    <row r="1">
      <c r="A1" s="1450" t="inlineStr">
        <is>
          <t>NUTAN NAGRIK SAHAKARI BANK LIMITED, BAPUNAGAR</t>
        </is>
      </c>
    </row>
    <row r="2"/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 ht="16.5" customHeight="1">
      <c r="A6" s="1892" t="n"/>
      <c r="B6" s="1893" t="n"/>
      <c r="C6" s="1905" t="n"/>
      <c r="D6" s="1894" t="n"/>
    </row>
    <row r="7">
      <c r="A7" s="1885" t="n">
        <v>1</v>
      </c>
      <c r="B7" s="794" t="inlineStr">
        <is>
          <t>GL 1878 GGST PAYABLE A/C. DR….</t>
        </is>
      </c>
      <c r="C7" s="1880">
        <f>+BAPUNAGAR!D74</f>
        <v/>
      </c>
      <c r="D7" s="1886" t="n"/>
      <c r="E7" s="1451" t="n"/>
    </row>
    <row r="8">
      <c r="A8" s="1885" t="n"/>
      <c r="B8" s="794" t="inlineStr">
        <is>
          <t>GL 1879 CGST PAYABLE A/C. DR….</t>
        </is>
      </c>
      <c r="C8" s="1880">
        <f>+BAPUNAGAR!E74</f>
        <v/>
      </c>
      <c r="D8" s="1886" t="n"/>
      <c r="E8" s="1910" t="n"/>
    </row>
    <row r="9">
      <c r="A9" s="1885" t="n"/>
      <c r="B9" s="794" t="inlineStr">
        <is>
          <t>GL 1880 IGST PAYABLE A/C. DR….</t>
        </is>
      </c>
      <c r="C9" s="1880">
        <f>+BAPUNAGAR!F74</f>
        <v/>
      </c>
      <c r="D9" s="1886" t="n"/>
      <c r="E9" s="1910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  <c r="E10" s="1910" t="n"/>
    </row>
    <row r="11" ht="16.5" customHeight="1">
      <c r="A11" s="1885" t="n"/>
      <c r="B11" s="794">
        <f>+ODHAV1!B11</f>
        <v/>
      </c>
      <c r="C11" s="1880" t="n"/>
      <c r="D11" s="1886" t="n"/>
    </row>
    <row r="12" ht="16.5" customHeight="1">
      <c r="A12" s="1885" t="n"/>
      <c r="B12" s="794">
        <f>+ODHAV1!B12</f>
        <v/>
      </c>
      <c r="C12" s="1880" t="n"/>
      <c r="D12" s="1886" t="n"/>
    </row>
    <row r="13" ht="17.25" customHeight="1">
      <c r="A13" s="1887" t="n"/>
      <c r="B13" s="1888" t="n"/>
      <c r="C13" s="1889" t="n"/>
      <c r="D13" s="1890" t="n"/>
    </row>
    <row r="14" ht="16.5" customHeight="1">
      <c r="A14" s="1885" t="n"/>
      <c r="B14" s="1893" t="n"/>
      <c r="C14" s="1880" t="n"/>
      <c r="D14" s="1886" t="n"/>
    </row>
    <row r="15" ht="16.5" customHeight="1">
      <c r="A15" s="1885" t="n">
        <v>2</v>
      </c>
      <c r="B15" s="794" t="inlineStr">
        <is>
          <t>HO DR…….</t>
        </is>
      </c>
      <c r="C15" s="1880">
        <f>+(D17+D18+D19)/2</f>
        <v/>
      </c>
      <c r="D15" s="1886" t="n"/>
    </row>
    <row r="16" ht="16.5" customHeight="1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 ht="16.5" customHeight="1">
      <c r="A17" s="794" t="n"/>
      <c r="B17" s="794" t="inlineStr">
        <is>
          <t xml:space="preserve">      TO GL 8546 GGST RECEIVABLE A/C..</t>
        </is>
      </c>
      <c r="C17" s="1880" t="n"/>
      <c r="D17" s="1886">
        <f>+BAPUNAGAR!D81</f>
        <v/>
      </c>
    </row>
    <row r="18" ht="16.5" customHeight="1">
      <c r="A18" s="794" t="n"/>
      <c r="B18" s="794" t="inlineStr">
        <is>
          <t xml:space="preserve">      TO GL 8547 CGST RECEIVABLE A/C..</t>
        </is>
      </c>
      <c r="C18" s="1880" t="n"/>
      <c r="D18" s="1886">
        <f>+BAPUNAGAR!E81</f>
        <v/>
      </c>
    </row>
    <row r="19" ht="16.5" customHeight="1">
      <c r="A19" s="794" t="n"/>
      <c r="B19" s="794" t="inlineStr">
        <is>
          <t xml:space="preserve">      TO GL 8548 IGST RECEIVABLE A/C..</t>
        </is>
      </c>
      <c r="C19" s="1880" t="n"/>
      <c r="D19" s="1886">
        <f>+BAPUNAGAR!F81</f>
        <v/>
      </c>
    </row>
    <row r="20" ht="16.5" customHeight="1">
      <c r="A20" s="794" t="n"/>
      <c r="B20" s="794">
        <f>+ODHAV1!B20</f>
        <v/>
      </c>
      <c r="C20" s="1880" t="n"/>
      <c r="D20" s="1886" t="n"/>
    </row>
    <row r="21" ht="17.25" customHeight="1">
      <c r="A21" s="1888" t="n"/>
      <c r="B21" s="1888">
        <f>+ODHAV1!B21</f>
        <v/>
      </c>
      <c r="C21" s="1889" t="n"/>
      <c r="D21" s="1890" t="n"/>
    </row>
    <row r="22" ht="16.5" customHeight="1">
      <c r="A22" s="1893" t="n"/>
      <c r="B22" s="1893" t="n"/>
      <c r="C22" s="1905" t="n"/>
      <c r="D22" s="1894" t="n"/>
    </row>
    <row r="23">
      <c r="A23" s="794" t="n"/>
      <c r="B23" s="794" t="inlineStr">
        <is>
          <t>PL 4197 SERVICE TAX/GST EXPENSES A/C. DR</t>
        </is>
      </c>
      <c r="C23" s="1880">
        <f>+D24+D25</f>
        <v/>
      </c>
      <c r="D23" s="1886" t="n"/>
      <c r="E23" s="1451" t="n"/>
    </row>
    <row r="24">
      <c r="A24" s="794" t="n"/>
      <c r="B24" s="794" t="inlineStr">
        <is>
          <t xml:space="preserve">    TO GL 8546 GGST RECEIVABLE A/C..</t>
        </is>
      </c>
      <c r="C24" s="1880" t="n"/>
      <c r="D24" s="1886" t="n">
        <v>0</v>
      </c>
      <c r="E24" s="1910" t="n"/>
    </row>
    <row r="25">
      <c r="A25" s="794" t="n"/>
      <c r="B25" s="794" t="inlineStr">
        <is>
          <t xml:space="preserve">   TO GL 8547 CGST RECEIVABLE A/C..</t>
        </is>
      </c>
      <c r="C25" s="1880" t="n"/>
      <c r="D25" s="1886" t="n">
        <v>0</v>
      </c>
      <c r="E25" s="1910" t="n"/>
    </row>
    <row r="26">
      <c r="A26" s="794" t="n"/>
      <c r="B26" s="794" t="n"/>
      <c r="C26" s="1880" t="n"/>
      <c r="D26" s="1886" t="n"/>
      <c r="E26" s="1910" t="n"/>
    </row>
    <row r="27" ht="16.5" customHeight="1">
      <c r="A27" s="794" t="n"/>
      <c r="B27" s="794" t="n"/>
      <c r="C27" s="1880" t="n"/>
      <c r="D27" s="1886" t="n"/>
    </row>
    <row r="28" ht="17.25" customHeight="1">
      <c r="A28" s="1888" t="n"/>
      <c r="B28" s="1888" t="n"/>
      <c r="C28" s="1889" t="n"/>
      <c r="D28" s="1890" t="n"/>
    </row>
    <row r="29" ht="16.5" customHeight="1">
      <c r="A29" s="794" t="n"/>
      <c r="B29" s="1884" t="n"/>
      <c r="C29" s="1880" t="n"/>
      <c r="D29" s="1921" t="n"/>
    </row>
    <row r="30" ht="16.5" customHeight="1">
      <c r="A30" s="794" t="n"/>
      <c r="B30" s="1884" t="n"/>
      <c r="C30" s="1880" t="n"/>
      <c r="D30" s="1921" t="n"/>
    </row>
    <row r="31" ht="16.5" customHeight="1">
      <c r="A31" s="794" t="n"/>
      <c r="B31" s="1884" t="n"/>
      <c r="C31" s="1880" t="n"/>
      <c r="D31" s="1921" t="n"/>
    </row>
    <row r="32" ht="17.25" customHeight="1">
      <c r="A32" s="794" t="n"/>
      <c r="B32" s="1884" t="n"/>
      <c r="C32" s="1880" t="n"/>
      <c r="D32" s="1921" t="n"/>
    </row>
    <row r="33" ht="16.5" customHeight="1">
      <c r="A33" s="201" t="n"/>
      <c r="B33" s="202" t="n"/>
      <c r="C33" s="1894" t="n"/>
      <c r="D33" s="1894" t="n"/>
      <c r="E33" s="966" t="n"/>
      <c r="F33" s="905" t="n"/>
      <c r="G33" s="905" t="n"/>
      <c r="H33" s="905" t="n"/>
    </row>
    <row r="34" ht="16.5" customHeight="1">
      <c r="A34" s="1885" t="n">
        <v>3</v>
      </c>
      <c r="B34" s="794" t="inlineStr">
        <is>
          <t>PL 4197 SERVICE TAX/GST EXPENSES A/C. DR</t>
        </is>
      </c>
      <c r="C34" s="1886">
        <f>+D35+D36</f>
        <v/>
      </c>
      <c r="D34" s="1886" t="n"/>
      <c r="E34" s="966" t="n"/>
      <c r="F34" s="905" t="n"/>
      <c r="G34" s="905" t="n"/>
      <c r="H34" s="905" t="n"/>
    </row>
    <row r="35" ht="16.5" customHeight="1">
      <c r="A35" s="115" t="n"/>
      <c r="B35" s="794" t="inlineStr">
        <is>
          <t xml:space="preserve">       TO GL 1878 GGST PAYABLE A/C. DR….</t>
        </is>
      </c>
      <c r="C35" s="1886" t="n"/>
      <c r="D35" s="1886" t="n">
        <v>0</v>
      </c>
      <c r="E35" s="966" t="n"/>
      <c r="F35" s="1030" t="n"/>
      <c r="G35" s="1030" t="n"/>
      <c r="H35" s="1030" t="n"/>
    </row>
    <row r="36" ht="16.5" customHeight="1">
      <c r="A36" s="115" t="n"/>
      <c r="B36" s="794" t="inlineStr">
        <is>
          <t xml:space="preserve">       TO GL 1879 CGST PAYABLE A/C. DR….</t>
        </is>
      </c>
      <c r="C36" s="1886" t="n"/>
      <c r="D36" s="1886">
        <f>+D35</f>
        <v/>
      </c>
      <c r="E36" s="966" t="n"/>
      <c r="F36" s="1030" t="n"/>
      <c r="G36" s="1030" t="n"/>
      <c r="H36" s="1030" t="n"/>
    </row>
    <row r="37" ht="16.5" customHeight="1">
      <c r="A37" s="115" t="n"/>
      <c r="B37" s="794" t="inlineStr">
        <is>
          <t>(BEING GST WRONGLY CHARGED TO GL 1878 )</t>
        </is>
      </c>
      <c r="C37" s="717" t="n"/>
      <c r="D37" s="717" t="n"/>
      <c r="E37" s="966" t="n"/>
      <c r="F37" s="1030" t="n"/>
      <c r="G37" s="1030" t="n"/>
      <c r="H37" s="1030" t="n"/>
    </row>
    <row r="38" ht="17.25" customHeight="1">
      <c r="A38" s="423" t="n"/>
      <c r="B38" s="716" t="n"/>
      <c r="C38" s="718" t="n"/>
      <c r="D38" s="718" t="n"/>
      <c r="E38" s="905" t="n"/>
      <c r="F38" s="905" t="n"/>
      <c r="G38" s="905" t="n"/>
    </row>
    <row r="39" ht="17.25" customHeight="1">
      <c r="A39" s="201" t="n"/>
      <c r="B39" s="202" t="n"/>
      <c r="C39" s="967" t="n"/>
      <c r="D39" s="967" t="n"/>
      <c r="E39" s="905" t="n"/>
      <c r="F39" s="905" t="n"/>
      <c r="G39" s="905" t="n"/>
    </row>
    <row r="40" ht="17.25" customHeight="1">
      <c r="A40" s="1907">
        <f>+A34+1</f>
        <v/>
      </c>
      <c r="B40" s="1884" t="inlineStr">
        <is>
          <t>GL 8546 GGST RECEIVABLE A/C..</t>
        </is>
      </c>
      <c r="C40" s="1901">
        <f>+D42</f>
        <v/>
      </c>
      <c r="D40" s="1901" t="n"/>
      <c r="E40" s="905" t="n"/>
      <c r="F40" s="905" t="n"/>
      <c r="G40" s="905" t="n"/>
    </row>
    <row r="41" ht="17.25" customHeight="1">
      <c r="A41" s="794" t="n"/>
      <c r="B41" s="1884" t="inlineStr">
        <is>
          <t>GL 8547 CGST RECEIVABLE A/C..</t>
        </is>
      </c>
      <c r="C41" s="1901">
        <f>+D43</f>
        <v/>
      </c>
      <c r="D41" s="1901" t="n"/>
      <c r="E41" s="905" t="n"/>
      <c r="F41" s="1030" t="n"/>
      <c r="G41" s="1030" t="n"/>
      <c r="H41" s="1030" t="n"/>
    </row>
    <row r="42" ht="17.25" customHeight="1">
      <c r="A42" s="794" t="n"/>
      <c r="B42" s="1884" t="inlineStr">
        <is>
          <t xml:space="preserve">       TO GL 1878 GGST PAYABLE A/C. </t>
        </is>
      </c>
      <c r="C42" s="1901" t="n"/>
      <c r="D42" s="1901" t="n">
        <v>0</v>
      </c>
      <c r="E42" s="905" t="n"/>
      <c r="F42" s="1030" t="n"/>
      <c r="G42" s="1030" t="n"/>
      <c r="H42" s="1030" t="n"/>
    </row>
    <row r="43" ht="17.25" customHeight="1">
      <c r="A43" s="794" t="n"/>
      <c r="B43" s="1884" t="inlineStr">
        <is>
          <t xml:space="preserve">       TO GL 1879 CGST PAYABLE A/C.</t>
        </is>
      </c>
      <c r="C43" s="1901" t="n"/>
      <c r="D43" s="1901" t="n">
        <v>0</v>
      </c>
      <c r="E43" s="905" t="n"/>
      <c r="F43" s="1030" t="n"/>
      <c r="G43" s="1030" t="n"/>
      <c r="H43" s="1030" t="n"/>
    </row>
    <row r="44" ht="17.25" customHeight="1">
      <c r="A44" s="115" t="n"/>
      <c r="B44" s="1884" t="inlineStr">
        <is>
          <t xml:space="preserve">(BEING ENTRY WRONGLY PASSED IN GL 1878,1879 </t>
        </is>
      </c>
      <c r="C44" s="717" t="n"/>
      <c r="D44" s="717" t="n"/>
      <c r="E44" s="905" t="n"/>
      <c r="F44" s="905" t="n"/>
      <c r="G44" s="905" t="n"/>
    </row>
    <row r="45" ht="16.5" customHeight="1">
      <c r="A45" s="423" t="n"/>
      <c r="B45" s="1915" t="inlineStr">
        <is>
          <t>INSTEAD OF BEING PASSED IN 8546, 8547  )</t>
        </is>
      </c>
      <c r="C45" s="718" t="n"/>
      <c r="D45" s="718" t="n"/>
    </row>
    <row r="46">
      <c r="C46" s="178" t="n"/>
      <c r="D46" s="178" t="n"/>
    </row>
    <row r="47">
      <c r="C47" s="178" t="n"/>
      <c r="D47" s="178" t="n"/>
    </row>
    <row r="48">
      <c r="C48" s="178" t="n"/>
      <c r="D48" s="178" t="n"/>
    </row>
    <row r="49">
      <c r="C49" s="178" t="n"/>
      <c r="D49" s="178" t="n"/>
    </row>
    <row r="50">
      <c r="C50" s="178" t="n"/>
      <c r="D50" s="178" t="n"/>
    </row>
    <row r="51">
      <c r="C51" s="178" t="n"/>
      <c r="D51" s="178" t="n"/>
    </row>
    <row r="52">
      <c r="C52" s="178" t="n"/>
      <c r="D52" s="178" t="n"/>
    </row>
    <row r="53">
      <c r="C53" s="178" t="n"/>
      <c r="D53" s="178" t="n"/>
    </row>
    <row r="54">
      <c r="C54" s="178" t="n"/>
      <c r="D54" s="178" t="n"/>
    </row>
    <row r="55">
      <c r="C55" s="178" t="n"/>
      <c r="D55" s="178" t="n"/>
    </row>
    <row r="56">
      <c r="C56" s="178" t="n"/>
      <c r="D56" s="178" t="n"/>
    </row>
    <row r="57">
      <c r="C57" s="178" t="n"/>
      <c r="D57" s="178" t="n"/>
    </row>
    <row r="58">
      <c r="C58" s="178" t="n"/>
      <c r="D58" s="178" t="n"/>
    </row>
    <row r="59">
      <c r="C59" s="178" t="n"/>
      <c r="D59" s="178" t="n"/>
    </row>
    <row r="60">
      <c r="C60" s="178" t="n"/>
      <c r="D60" s="178" t="n"/>
    </row>
    <row r="61">
      <c r="C61" s="178" t="n"/>
      <c r="D61" s="178" t="n"/>
    </row>
    <row r="62">
      <c r="C62" s="178" t="n"/>
      <c r="D62" s="178" t="n"/>
    </row>
    <row r="63">
      <c r="C63" s="178" t="n"/>
      <c r="D63" s="178" t="n"/>
    </row>
    <row r="64">
      <c r="C64" s="178" t="n"/>
      <c r="D64" s="178" t="n"/>
    </row>
    <row r="65">
      <c r="C65" s="178" t="n"/>
      <c r="D65" s="178" t="n"/>
    </row>
    <row r="66">
      <c r="C66" s="178" t="n"/>
      <c r="D66" s="178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B453" s="1167" t="inlineStr">
        <is>
          <t>MARCH 2026 TRANSFER FROM BRANCH)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>
      <c r="M582" s="1167" t="inlineStr">
        <is>
          <t>AS DISSCUSS WITH HARDIK BHAI ENTRY PASSED BY NIMESH BHAI</t>
        </is>
      </c>
    </row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>
      <c r="B600" s="1167" t="inlineStr">
        <is>
          <t>MARCH 2025 TRANSFER FROM BRANCH)</t>
        </is>
      </c>
    </row>
    <row r="601"/>
    <row r="602"/>
    <row r="603"/>
    <row r="604"/>
    <row r="605"/>
    <row r="606"/>
    <row r="607"/>
    <row r="608"/>
    <row r="609"/>
    <row r="610"/>
    <row r="611"/>
    <row r="612"/>
    <row r="613"/>
    <row r="614">
      <c r="B614" s="1167" t="inlineStr">
        <is>
          <t>LEDGER BALANCE FOR THE MONTH OF MARCH)</t>
        </is>
      </c>
    </row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>
      <c r="B691" s="1167" t="inlineStr">
        <is>
          <t>(BEING CREDIT OF PERFORMA INVOICE TAKEN IN DEC-25 NOW REVERSE)</t>
        </is>
      </c>
    </row>
  </sheetData>
  <mergeCells count="4">
    <mergeCell ref="A1:D1"/>
    <mergeCell ref="E23:G26"/>
    <mergeCell ref="E7:G10"/>
    <mergeCell ref="A3:D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66.140625" customWidth="1" min="2" max="2"/>
    <col width="19.140625" customWidth="1" min="3" max="3"/>
    <col width="20.140625" customWidth="1" min="4" max="4"/>
    <col width="13.28515625" customWidth="1" min="5" max="5"/>
    <col width="9.140625" customWidth="1" min="6" max="6"/>
  </cols>
  <sheetData>
    <row r="1">
      <c r="A1" s="1450" t="inlineStr">
        <is>
          <t>NUTAN NAGRIK SAHAKARI BANK LIMITED, BOPAL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1142" t="inlineStr">
        <is>
          <t>DR. RS.</t>
        </is>
      </c>
      <c r="D5" s="333" t="inlineStr">
        <is>
          <t>CR. RS</t>
        </is>
      </c>
    </row>
    <row r="6">
      <c r="A6" s="794" t="n"/>
      <c r="B6" s="794" t="n"/>
      <c r="C6" s="794" t="n"/>
      <c r="D6" s="1926" t="n"/>
    </row>
    <row r="7">
      <c r="A7" s="1885" t="n">
        <v>1</v>
      </c>
      <c r="B7" s="794" t="inlineStr">
        <is>
          <t>GL 1878 GGST PAYABLE A/C. DR….</t>
        </is>
      </c>
      <c r="C7" s="1886">
        <f>+BOPAL!D75</f>
        <v/>
      </c>
      <c r="D7" s="1921" t="n"/>
      <c r="E7" s="1451" t="n"/>
    </row>
    <row r="8">
      <c r="A8" s="1885" t="n"/>
      <c r="B8" s="794" t="inlineStr">
        <is>
          <t>GL 1879 CGST PAYABLE A/C. DR….</t>
        </is>
      </c>
      <c r="C8" s="1886">
        <f>+BOPAL!E75</f>
        <v/>
      </c>
      <c r="D8" s="1921" t="n"/>
      <c r="E8" s="1910" t="n"/>
    </row>
    <row r="9">
      <c r="A9" s="1885" t="n"/>
      <c r="B9" s="794" t="inlineStr">
        <is>
          <t>GL 1880 IGST PAYABLE A/C. DR….</t>
        </is>
      </c>
      <c r="C9" s="1886">
        <f>+BOPAL!F75</f>
        <v/>
      </c>
      <c r="D9" s="1921" t="n"/>
      <c r="E9" s="1910" t="n"/>
    </row>
    <row r="10">
      <c r="A10" s="1885" t="n"/>
      <c r="B10" s="794" t="inlineStr">
        <is>
          <t xml:space="preserve">      TO HO </t>
        </is>
      </c>
      <c r="C10" s="1886" t="n"/>
      <c r="D10" s="1921">
        <f>+C7+C8+C9</f>
        <v/>
      </c>
      <c r="E10" s="1910" t="n"/>
    </row>
    <row r="11">
      <c r="A11" s="1885" t="n"/>
      <c r="B11" s="794">
        <f>+ODHAV1!B11</f>
        <v/>
      </c>
      <c r="C11" s="1886" t="n"/>
      <c r="D11" s="1921" t="n"/>
    </row>
    <row r="12">
      <c r="A12" s="1885" t="n"/>
      <c r="B12" s="794">
        <f>+ODHAV1!B12</f>
        <v/>
      </c>
      <c r="C12" s="1886" t="n"/>
      <c r="D12" s="1921" t="n"/>
    </row>
    <row r="13" ht="16.5" customHeight="1">
      <c r="A13" s="1887" t="n"/>
      <c r="B13" s="1888" t="n"/>
      <c r="C13" s="1890" t="n"/>
      <c r="D13" s="1927" t="n"/>
    </row>
    <row r="14">
      <c r="A14" s="1885" t="n"/>
      <c r="B14" s="1893" t="n"/>
      <c r="C14" s="1886" t="n"/>
      <c r="D14" s="1921" t="n"/>
      <c r="E14" s="788" t="n"/>
      <c r="F14" s="788" t="n"/>
      <c r="G14" s="788" t="n"/>
      <c r="H14" s="788" t="n"/>
    </row>
    <row r="15">
      <c r="A15" s="1885" t="n">
        <v>2</v>
      </c>
      <c r="B15" s="794" t="inlineStr">
        <is>
          <t>HO DR…….</t>
        </is>
      </c>
      <c r="C15" s="1886">
        <f>+(D17+D18+D19-C16)</f>
        <v/>
      </c>
      <c r="D15" s="1921" t="n"/>
      <c r="E15" s="788" t="n"/>
      <c r="F15" s="788" t="n"/>
      <c r="G15" s="788" t="n"/>
      <c r="H15" s="788" t="n"/>
    </row>
    <row r="16">
      <c r="A16" s="1885" t="n"/>
      <c r="B16" s="794" t="inlineStr">
        <is>
          <t>PL 4197 SERVICE TAX/GST EXPENSES A/C. DR</t>
        </is>
      </c>
      <c r="C16" s="1886">
        <f>+SUM(D17:D19)/2</f>
        <v/>
      </c>
      <c r="D16" s="1921" t="n"/>
      <c r="E16" s="788" t="n"/>
      <c r="F16" s="788" t="n"/>
      <c r="G16" s="788" t="n"/>
      <c r="H16" s="788" t="n"/>
    </row>
    <row r="17">
      <c r="A17" s="794" t="n"/>
      <c r="B17" s="794" t="inlineStr">
        <is>
          <t xml:space="preserve">      TO GL 8546 GGST RECEIVABLE A/C..</t>
        </is>
      </c>
      <c r="C17" s="1886" t="n"/>
      <c r="D17" s="1921">
        <f>+BOPAL!D82</f>
        <v/>
      </c>
      <c r="E17" s="788" t="n"/>
      <c r="F17" s="788" t="n"/>
      <c r="G17" s="788" t="n"/>
      <c r="H17" s="788" t="n"/>
    </row>
    <row r="18">
      <c r="A18" s="794" t="n"/>
      <c r="B18" s="794" t="inlineStr">
        <is>
          <t xml:space="preserve">      TO GL 8547 CGST RECEIVABLE A/C..</t>
        </is>
      </c>
      <c r="C18" s="1886" t="n"/>
      <c r="D18" s="1921">
        <f>+BOPAL!E82</f>
        <v/>
      </c>
      <c r="E18" s="788" t="n"/>
      <c r="F18" s="788" t="n"/>
      <c r="G18" s="788" t="n"/>
      <c r="H18" s="788" t="n"/>
    </row>
    <row r="19">
      <c r="A19" s="794" t="n"/>
      <c r="B19" s="794" t="inlineStr">
        <is>
          <t xml:space="preserve">      TO GL 8548 IGST RECEIVABLE A/C..</t>
        </is>
      </c>
      <c r="C19" s="1886" t="n"/>
      <c r="D19" s="1921">
        <f>+BOPAL!F82</f>
        <v/>
      </c>
      <c r="E19" s="788" t="n"/>
      <c r="F19" s="788" t="n"/>
      <c r="G19" s="788" t="n"/>
      <c r="H19" s="788" t="n"/>
    </row>
    <row r="20">
      <c r="A20" s="794" t="n"/>
      <c r="B20" s="794">
        <f>+ODHAV1!B20</f>
        <v/>
      </c>
      <c r="C20" s="1886" t="n"/>
      <c r="D20" s="1921" t="n"/>
      <c r="E20" s="788" t="n"/>
      <c r="F20" s="788" t="n"/>
      <c r="G20" s="788" t="n"/>
      <c r="H20" s="788" t="n"/>
    </row>
    <row r="21" ht="16.5" customHeight="1">
      <c r="A21" s="1888" t="n"/>
      <c r="B21" s="1888">
        <f>+ODHAV1!B21</f>
        <v/>
      </c>
      <c r="C21" s="1890" t="n"/>
      <c r="D21" s="1927" t="n"/>
      <c r="E21" s="788" t="n"/>
      <c r="F21" s="788" t="n"/>
      <c r="G21" s="788" t="n"/>
      <c r="H21" s="788" t="n"/>
    </row>
    <row r="22">
      <c r="A22" s="1893" t="n"/>
      <c r="B22" s="1913" t="n"/>
      <c r="C22" s="1898" t="n"/>
      <c r="D22" s="1898" t="n"/>
    </row>
    <row r="23">
      <c r="A23" s="794" t="n">
        <v>3</v>
      </c>
      <c r="B23" s="794" t="inlineStr">
        <is>
          <t>PL 4197 SERVICE TAX/GST EXPENSES A/C. DR</t>
        </is>
      </c>
      <c r="C23" s="1901">
        <f>+D24+D25</f>
        <v/>
      </c>
      <c r="D23" s="1901" t="n"/>
    </row>
    <row r="24">
      <c r="A24" s="794" t="n"/>
      <c r="B24" s="1884" t="inlineStr">
        <is>
          <t xml:space="preserve">        TO GL 1878 GGST PAYABLE A/C..</t>
        </is>
      </c>
      <c r="C24" s="1901" t="n"/>
      <c r="D24" s="1901" t="n">
        <v>0</v>
      </c>
    </row>
    <row r="25">
      <c r="A25" s="794" t="n"/>
      <c r="B25" s="1884" t="inlineStr">
        <is>
          <t xml:space="preserve">        TO GL 1879 CGST PAYABLE A/C…</t>
        </is>
      </c>
      <c r="C25" s="1901" t="n"/>
      <c r="D25" s="1901" t="n">
        <v>0</v>
      </c>
    </row>
    <row r="26">
      <c r="A26" s="794" t="n"/>
      <c r="B26" s="1884" t="inlineStr">
        <is>
          <t xml:space="preserve">(BEING GST NOT CHARGED BUT INCOME BOOKED </t>
        </is>
      </c>
      <c r="C26" s="1901" t="n"/>
      <c r="D26" s="1901" t="n"/>
    </row>
    <row r="27">
      <c r="A27" s="794" t="n"/>
      <c r="B27" s="1884" t="inlineStr">
        <is>
          <t>IN PL, NOW ENTRY BEING PASSED)</t>
        </is>
      </c>
      <c r="C27" s="1901" t="n"/>
      <c r="D27" s="1901" t="n"/>
    </row>
    <row r="28" ht="16.5" customHeight="1">
      <c r="A28" s="1888" t="n"/>
      <c r="B28" s="1915" t="n"/>
      <c r="C28" s="1895" t="n"/>
      <c r="D28" s="1895" t="n"/>
    </row>
    <row r="29">
      <c r="A29" s="1896" t="n"/>
      <c r="B29" s="1893" t="n"/>
      <c r="C29" s="1897" t="n"/>
      <c r="D29" s="1898" t="n"/>
    </row>
    <row r="30">
      <c r="A30" s="1902" t="n">
        <v>4</v>
      </c>
      <c r="B30" s="794" t="inlineStr">
        <is>
          <t>GL 1878 GGST PAYABLE A/C. DR….</t>
        </is>
      </c>
      <c r="C30" s="1883" t="n">
        <v>0</v>
      </c>
      <c r="D30" s="1901" t="n"/>
    </row>
    <row r="31">
      <c r="A31" s="1902" t="n"/>
      <c r="B31" s="794" t="inlineStr">
        <is>
          <t>GL 1879 CGST PAYABLE A/C. DR….</t>
        </is>
      </c>
      <c r="C31" s="1883" t="n">
        <v>0</v>
      </c>
      <c r="D31" s="1901" t="n"/>
    </row>
    <row r="32">
      <c r="A32" s="1902" t="n"/>
      <c r="B32" s="794" t="inlineStr">
        <is>
          <t xml:space="preserve">      TO HO </t>
        </is>
      </c>
      <c r="C32" s="1883" t="n"/>
      <c r="D32" s="1901">
        <f>+C30+C31</f>
        <v/>
      </c>
    </row>
    <row r="33">
      <c r="A33" s="1902" t="n"/>
      <c r="B33" s="794" t="inlineStr">
        <is>
          <t>(BEING GST PAYABLE FOR THE MONTH OF</t>
        </is>
      </c>
      <c r="C33" s="1883" t="n"/>
      <c r="D33" s="1901" t="n"/>
    </row>
    <row r="34">
      <c r="A34" s="1902" t="n"/>
      <c r="B34" s="794" t="inlineStr">
        <is>
          <t>MARCH 2025 TRANSFER TO HO)</t>
        </is>
      </c>
      <c r="C34" s="1883" t="n"/>
      <c r="D34" s="1901" t="n"/>
    </row>
    <row r="35" ht="16.5" customHeight="1">
      <c r="A35" s="1903" t="n"/>
      <c r="B35" s="1888" t="n"/>
      <c r="C35" s="1904" t="n"/>
      <c r="D35" s="1895" t="n"/>
    </row>
    <row r="36">
      <c r="C36" s="1883" t="n"/>
      <c r="D36" s="1883" t="n"/>
    </row>
    <row r="37">
      <c r="C37" s="1883" t="n"/>
      <c r="D37" s="1883" t="n"/>
    </row>
    <row r="38">
      <c r="C38" s="1883" t="n"/>
      <c r="D38" s="1883" t="n"/>
    </row>
    <row r="39">
      <c r="C39" s="1883" t="n"/>
      <c r="D39" s="1883" t="n"/>
    </row>
    <row r="40">
      <c r="C40" s="1883" t="n"/>
      <c r="D40" s="1883" t="n"/>
    </row>
    <row r="41">
      <c r="C41" s="1883" t="n"/>
      <c r="D41" s="1883" t="n"/>
    </row>
    <row r="42">
      <c r="C42" s="1883" t="n"/>
      <c r="D42" s="1883" t="n"/>
    </row>
    <row r="43">
      <c r="C43" s="1883" t="n"/>
      <c r="D43" s="1883" t="n"/>
    </row>
    <row r="44">
      <c r="C44" s="1883" t="n"/>
      <c r="D44" s="1883" t="n"/>
    </row>
    <row r="45">
      <c r="C45" s="1883" t="n"/>
      <c r="D45" s="1883" t="n"/>
    </row>
    <row r="46">
      <c r="C46" s="1883" t="n"/>
      <c r="D46" s="1883" t="n"/>
    </row>
    <row r="47">
      <c r="C47" s="1883" t="n"/>
      <c r="D47" s="1883" t="n"/>
    </row>
    <row r="48">
      <c r="C48" s="1883" t="n"/>
      <c r="D48" s="1883" t="n"/>
    </row>
    <row r="49">
      <c r="C49" s="1883" t="n"/>
      <c r="D49" s="1883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3">
    <mergeCell ref="A1:D1"/>
    <mergeCell ref="E7:G10"/>
    <mergeCell ref="A3:D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28515625" customWidth="1" min="1" max="1"/>
    <col width="71.85546875" customWidth="1" min="2" max="2"/>
    <col width="19.140625" customWidth="1" min="3" max="3"/>
    <col width="9.140625" customWidth="1" min="5" max="5"/>
  </cols>
  <sheetData>
    <row r="1">
      <c r="A1" s="1450" t="inlineStr">
        <is>
          <t>NUTAN NAGRIK SAHAKARI BANK LIMITED, THALTEJ</t>
        </is>
      </c>
    </row>
    <row r="2"/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115" t="n"/>
      <c r="B6" s="115" t="n"/>
      <c r="D6" s="115" t="n"/>
    </row>
    <row r="7">
      <c r="A7" s="1885" t="n">
        <v>1</v>
      </c>
      <c r="B7" s="794" t="inlineStr">
        <is>
          <t>GL 1878 GGST PAYABLE A/C. DR….</t>
        </is>
      </c>
      <c r="C7" s="1880">
        <f>+THALTEJ!D75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+THALTEJ!E75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+THALTEJ!F75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+(D17+D18+D19)/2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+THALTEJ!D82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+THALTEJ!E82</f>
        <v/>
      </c>
    </row>
    <row r="19">
      <c r="A19" s="794" t="n"/>
      <c r="B19" s="794" t="inlineStr">
        <is>
          <t xml:space="preserve">      TO GL 8548 CGST RECEIVABLE A/C..</t>
        </is>
      </c>
      <c r="C19" s="1880" t="n"/>
      <c r="D19" s="1886">
        <f>+THALTEJ!F82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C22" s="178" t="n"/>
      <c r="D22" s="178" t="n"/>
    </row>
    <row r="23">
      <c r="C23" s="178" t="n"/>
      <c r="D23" s="178" t="n"/>
    </row>
    <row r="24">
      <c r="C24" s="178" t="n"/>
      <c r="D24" s="178" t="n"/>
    </row>
    <row r="25">
      <c r="C25" s="178" t="n"/>
      <c r="D25" s="178" t="n"/>
    </row>
    <row r="26">
      <c r="C26" s="178" t="n"/>
      <c r="D26" s="178" t="n"/>
    </row>
    <row r="27">
      <c r="C27" s="178" t="n"/>
      <c r="D27" s="178" t="n"/>
    </row>
    <row r="28">
      <c r="C28" s="178" t="n"/>
      <c r="D28" s="178" t="n"/>
    </row>
    <row r="29">
      <c r="C29" s="178" t="n"/>
      <c r="D29" s="178" t="n"/>
    </row>
    <row r="30">
      <c r="C30" s="178" t="n"/>
      <c r="D30" s="178" t="n"/>
    </row>
    <row r="31">
      <c r="C31" s="178" t="n"/>
      <c r="D31" s="178" t="n"/>
    </row>
    <row r="32">
      <c r="C32" s="178" t="n"/>
      <c r="D32" s="178" t="n"/>
    </row>
    <row r="33">
      <c r="C33" s="178" t="n"/>
      <c r="D33" s="178" t="n"/>
    </row>
    <row r="34">
      <c r="C34" s="178" t="n"/>
      <c r="D34" s="178" t="n"/>
    </row>
    <row r="35">
      <c r="C35" s="178" t="n"/>
      <c r="D35" s="178" t="n"/>
    </row>
    <row r="36">
      <c r="C36" s="178" t="n"/>
      <c r="D36" s="178" t="n"/>
    </row>
    <row r="37">
      <c r="C37" s="178" t="n"/>
      <c r="D37" s="178" t="n"/>
    </row>
    <row r="38">
      <c r="C38" s="178" t="n"/>
      <c r="D38" s="178" t="n"/>
    </row>
    <row r="39">
      <c r="C39" s="178" t="n"/>
      <c r="D39" s="178" t="n"/>
    </row>
    <row r="40">
      <c r="C40" s="178" t="n"/>
      <c r="D40" s="178" t="n"/>
    </row>
    <row r="41">
      <c r="C41" s="178" t="n"/>
      <c r="D41" s="178" t="n"/>
    </row>
    <row r="42">
      <c r="C42" s="178" t="n"/>
      <c r="D42" s="178" t="n"/>
    </row>
    <row r="43">
      <c r="C43" s="178" t="n"/>
      <c r="D43" s="178" t="n"/>
    </row>
    <row r="44">
      <c r="C44" s="178" t="n"/>
      <c r="D44" s="178" t="n"/>
    </row>
    <row r="45">
      <c r="C45" s="178" t="n"/>
      <c r="D45" s="178" t="n"/>
    </row>
    <row r="46">
      <c r="C46" s="178" t="n"/>
      <c r="D46" s="178" t="n"/>
    </row>
    <row r="47">
      <c r="C47" s="178" t="n"/>
      <c r="D47" s="178" t="n"/>
    </row>
    <row r="48">
      <c r="C48" s="178" t="n"/>
      <c r="D48" s="178" t="n"/>
    </row>
    <row r="49">
      <c r="C49" s="178" t="n"/>
      <c r="D49" s="178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167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167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167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167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167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28515625" customWidth="1" min="1" max="1"/>
    <col width="71.85546875" customWidth="1" min="2" max="2"/>
    <col width="19.140625" customWidth="1" min="3" max="3"/>
    <col width="13.42578125" customWidth="1" min="5" max="5"/>
    <col width="9.140625" customWidth="1" min="6" max="6"/>
  </cols>
  <sheetData>
    <row r="1">
      <c r="A1" s="1450" t="inlineStr">
        <is>
          <t>NUTAN NAGRIK SAHAKARI BANK LIMITED, CHANDKHEDA</t>
        </is>
      </c>
    </row>
    <row r="2"/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115" t="n"/>
      <c r="B6" s="115" t="n"/>
      <c r="D6" s="115" t="n"/>
    </row>
    <row r="7">
      <c r="A7" s="1885" t="n">
        <v>1</v>
      </c>
      <c r="B7" s="794" t="inlineStr">
        <is>
          <t>GL 1878 GGST PAYABLE A/C. DR….</t>
        </is>
      </c>
      <c r="C7" s="1880">
        <f>+CHANDKHEDA!D74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+CHANDKHEDA!E74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+THALTEJ!F75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+(D17+D18+D19)/2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+CHANDKHEDA!D81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+CHANDKHEDA!E81</f>
        <v/>
      </c>
    </row>
    <row r="19">
      <c r="A19" s="794" t="n"/>
      <c r="B19" s="794" t="inlineStr">
        <is>
          <t xml:space="preserve">      TO GL 8548 CGST RECEIVABLE A/C..</t>
        </is>
      </c>
      <c r="C19" s="1880" t="n"/>
      <c r="D19" s="1886">
        <f>+CHANDKHEDA!F81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C22" s="178" t="n"/>
      <c r="D22" s="178" t="n"/>
    </row>
    <row r="23">
      <c r="C23" s="178" t="n"/>
      <c r="D23" s="178" t="n"/>
    </row>
    <row r="24">
      <c r="C24" s="178" t="n"/>
      <c r="D24" s="178" t="n"/>
    </row>
    <row r="25">
      <c r="C25" s="178" t="n"/>
      <c r="D25" s="178" t="n"/>
    </row>
    <row r="26">
      <c r="C26" s="178" t="n"/>
      <c r="D26" s="178" t="n"/>
    </row>
    <row r="27">
      <c r="C27" s="178" t="n"/>
      <c r="D27" s="178" t="n"/>
    </row>
    <row r="28">
      <c r="C28" s="178" t="n"/>
      <c r="D28" s="178" t="n"/>
    </row>
    <row r="29">
      <c r="C29" s="178" t="n"/>
      <c r="D29" s="178" t="n"/>
    </row>
    <row r="30">
      <c r="C30" s="178" t="n"/>
      <c r="D30" s="178" t="n"/>
    </row>
    <row r="31">
      <c r="C31" s="178" t="n"/>
      <c r="D31" s="178" t="n"/>
    </row>
    <row r="32">
      <c r="C32" s="178" t="n"/>
      <c r="D32" s="178" t="n"/>
    </row>
    <row r="33">
      <c r="C33" s="178" t="n"/>
      <c r="D33" s="178" t="n"/>
    </row>
    <row r="34">
      <c r="C34" s="178" t="n"/>
      <c r="D34" s="178" t="n"/>
    </row>
    <row r="35">
      <c r="C35" s="178" t="n"/>
      <c r="D35" s="178" t="n"/>
    </row>
    <row r="36">
      <c r="C36" s="178" t="n"/>
      <c r="D36" s="178" t="n"/>
    </row>
    <row r="37">
      <c r="C37" s="178" t="n"/>
      <c r="D37" s="178" t="n"/>
    </row>
    <row r="38">
      <c r="C38" s="178" t="n"/>
      <c r="D38" s="178" t="n"/>
    </row>
    <row r="39">
      <c r="C39" s="178" t="n"/>
      <c r="D39" s="178" t="n"/>
    </row>
    <row r="40">
      <c r="C40" s="178" t="n"/>
      <c r="D40" s="178" t="n"/>
    </row>
    <row r="41">
      <c r="C41" s="178" t="n"/>
      <c r="D41" s="178" t="n"/>
    </row>
    <row r="42">
      <c r="C42" s="178" t="n"/>
      <c r="D42" s="178" t="n"/>
    </row>
    <row r="43">
      <c r="C43" s="178" t="n"/>
      <c r="D43" s="178" t="n"/>
    </row>
    <row r="44">
      <c r="C44" s="178" t="n"/>
      <c r="D44" s="178" t="n"/>
    </row>
    <row r="45">
      <c r="C45" s="178" t="n"/>
      <c r="D45" s="178" t="n"/>
    </row>
    <row r="46">
      <c r="C46" s="178" t="n"/>
      <c r="D46" s="178" t="n"/>
    </row>
    <row r="47">
      <c r="C47" s="178" t="n"/>
      <c r="D47" s="178" t="n"/>
    </row>
    <row r="48">
      <c r="C48" s="178" t="n"/>
      <c r="D48" s="178" t="n"/>
    </row>
    <row r="49">
      <c r="C49" s="178" t="n"/>
      <c r="D49" s="178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167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167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167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167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167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28515625" customWidth="1" min="1" max="1"/>
    <col width="71.85546875" customWidth="1" min="2" max="2"/>
    <col width="19.140625" customWidth="1" min="3" max="3"/>
    <col width="9.140625" customWidth="1" min="5" max="5"/>
    <col width="11.5703125" customWidth="1" min="6" max="6"/>
    <col width="9.140625" customWidth="1" min="7" max="7"/>
  </cols>
  <sheetData>
    <row r="1">
      <c r="A1" s="1450" t="inlineStr">
        <is>
          <t>NUTAN NAGRIK SAHAKARI BANK LIMITED, VASTRAL</t>
        </is>
      </c>
    </row>
    <row r="2"/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>
      <c r="A6" s="115" t="n"/>
      <c r="B6" s="115" t="n"/>
      <c r="D6" s="115" t="n"/>
    </row>
    <row r="7">
      <c r="A7" s="1885" t="n">
        <v>1</v>
      </c>
      <c r="B7" s="794" t="inlineStr">
        <is>
          <t>GL 1878 GGST PAYABLE A/C. DR….</t>
        </is>
      </c>
      <c r="C7" s="1880">
        <f>+VASTRAL!D74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+VASTRAL!E74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+THALTEJ!F75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+C7+C8+C9</f>
        <v/>
      </c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</row>
    <row r="14">
      <c r="A14" s="1885" t="n"/>
      <c r="B14" s="1893" t="n"/>
      <c r="C14" s="1880" t="n"/>
      <c r="D14" s="1886" t="n"/>
    </row>
    <row r="15">
      <c r="A15" s="1885" t="n">
        <v>2</v>
      </c>
      <c r="B15" s="794" t="inlineStr">
        <is>
          <t>HO DR…….</t>
        </is>
      </c>
      <c r="C15" s="1880">
        <f>+(D17+D18+D19)/2</f>
        <v/>
      </c>
      <c r="D15" s="1886" t="n"/>
    </row>
    <row r="16">
      <c r="A16" s="1885" t="n"/>
      <c r="B16" s="794" t="inlineStr">
        <is>
          <t>PL 4197 SERVICE TAX/GST EXPENSES A/C. DR</t>
        </is>
      </c>
      <c r="C16" s="1880">
        <f>+SUM(D17:D19)/2</f>
        <v/>
      </c>
      <c r="D16" s="1886" t="n"/>
    </row>
    <row r="17">
      <c r="A17" s="794" t="n"/>
      <c r="B17" s="794" t="inlineStr">
        <is>
          <t xml:space="preserve">      TO GL 8546 GGST RECEIVABLE A/C..</t>
        </is>
      </c>
      <c r="C17" s="1880" t="n"/>
      <c r="D17" s="1886">
        <f>+VASTRAL!D81</f>
        <v/>
      </c>
    </row>
    <row r="18">
      <c r="A18" s="794" t="n"/>
      <c r="B18" s="794" t="inlineStr">
        <is>
          <t xml:space="preserve">      TO GL 8547 CGST RECEIVABLE A/C..</t>
        </is>
      </c>
      <c r="C18" s="1880" t="n"/>
      <c r="D18" s="1886">
        <f>+VASTRAL!E81</f>
        <v/>
      </c>
    </row>
    <row r="19">
      <c r="A19" s="794" t="n"/>
      <c r="B19" s="794" t="inlineStr">
        <is>
          <t xml:space="preserve">      TO GL 8548 IGST RECEIVABLE A/C..</t>
        </is>
      </c>
      <c r="C19" s="1880" t="n"/>
      <c r="D19" s="1886">
        <f>+VASTRAL!F81</f>
        <v/>
      </c>
    </row>
    <row r="20">
      <c r="A20" s="794" t="n"/>
      <c r="B20" s="794">
        <f>+ODHAV1!B20</f>
        <v/>
      </c>
      <c r="C20" s="1880" t="n"/>
      <c r="D20" s="1886" t="n"/>
    </row>
    <row r="21" ht="16.5" customHeight="1">
      <c r="A21" s="1888" t="n"/>
      <c r="B21" s="1888">
        <f>+ODHAV1!B21</f>
        <v/>
      </c>
      <c r="C21" s="1889" t="n"/>
      <c r="D21" s="1890" t="n"/>
    </row>
    <row r="22">
      <c r="C22" s="178" t="n"/>
      <c r="D22" s="178" t="n"/>
    </row>
    <row r="23">
      <c r="C23" s="178" t="n"/>
      <c r="D23" s="178" t="n"/>
    </row>
    <row r="24">
      <c r="C24" s="178" t="n"/>
      <c r="D24" s="178" t="n"/>
    </row>
    <row r="25">
      <c r="C25" s="178" t="n"/>
      <c r="D25" s="178" t="n"/>
    </row>
    <row r="26">
      <c r="C26" s="178" t="n"/>
      <c r="D26" s="178" t="n"/>
    </row>
    <row r="27">
      <c r="C27" s="178" t="n"/>
      <c r="D27" s="178" t="n"/>
    </row>
    <row r="28">
      <c r="C28" s="178" t="n"/>
      <c r="D28" s="178" t="n"/>
    </row>
    <row r="29">
      <c r="C29" s="178" t="n"/>
      <c r="D29" s="178" t="n"/>
    </row>
    <row r="30">
      <c r="C30" s="178" t="n"/>
      <c r="D30" s="178" t="n"/>
    </row>
    <row r="31">
      <c r="C31" s="178" t="n"/>
      <c r="D31" s="178" t="n"/>
    </row>
    <row r="32">
      <c r="C32" s="178" t="n"/>
      <c r="D32" s="178" t="n"/>
    </row>
    <row r="33">
      <c r="C33" s="178" t="n"/>
      <c r="D33" s="178" t="n"/>
    </row>
    <row r="34">
      <c r="C34" s="178" t="n"/>
      <c r="D34" s="178" t="n"/>
    </row>
    <row r="35">
      <c r="C35" s="178" t="n"/>
      <c r="D35" s="178" t="n"/>
    </row>
    <row r="36">
      <c r="C36" s="178" t="n"/>
      <c r="D36" s="178" t="n"/>
    </row>
    <row r="37">
      <c r="C37" s="178" t="n"/>
      <c r="D37" s="178" t="n"/>
    </row>
    <row r="38">
      <c r="C38" s="178" t="n"/>
      <c r="D38" s="178" t="n"/>
    </row>
    <row r="39">
      <c r="C39" s="178" t="n"/>
      <c r="D39" s="178" t="n"/>
    </row>
    <row r="40">
      <c r="C40" s="178" t="n"/>
      <c r="D40" s="178" t="n"/>
    </row>
    <row r="41">
      <c r="C41" s="178" t="n"/>
      <c r="D41" s="178" t="n"/>
    </row>
    <row r="42">
      <c r="C42" s="178" t="n"/>
      <c r="D42" s="178" t="n"/>
    </row>
    <row r="43">
      <c r="C43" s="178" t="n"/>
      <c r="D43" s="178" t="n"/>
    </row>
    <row r="44">
      <c r="C44" s="178" t="n"/>
      <c r="D44" s="178" t="n"/>
    </row>
    <row r="45">
      <c r="C45" s="178" t="n"/>
      <c r="D45" s="178" t="n"/>
    </row>
    <row r="46">
      <c r="C46" s="178" t="n"/>
      <c r="D46" s="178" t="n"/>
    </row>
    <row r="47">
      <c r="C47" s="178" t="n"/>
      <c r="D47" s="178" t="n"/>
    </row>
    <row r="48">
      <c r="C48" s="178" t="n"/>
      <c r="D48" s="178" t="n"/>
    </row>
    <row r="49">
      <c r="C49" s="178" t="n"/>
      <c r="D49" s="178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167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167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167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167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167" t="inlineStr">
        <is>
          <t>(BEING CREDIT OF PERFORMA INVOICE TAKEN IN DEC-25 NOW REVERSE)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92D050"/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cols>
    <col width="11.5703125" customWidth="1" min="1" max="1"/>
    <col width="70" customWidth="1" min="2" max="2"/>
    <col width="20.140625" customWidth="1" min="3" max="3"/>
    <col width="15.7109375" customWidth="1" min="5" max="5"/>
    <col width="14.85546875" customWidth="1" min="6" max="6"/>
    <col width="9.140625" customWidth="1" min="7" max="7"/>
    <col width="9.85546875" customWidth="1" min="9" max="9"/>
    <col width="9.140625" customWidth="1" min="10" max="10"/>
  </cols>
  <sheetData>
    <row r="1">
      <c r="A1" s="1450" t="inlineStr">
        <is>
          <t>NUTAN NAGRIK SAHAKARI BANK LIMITED, DEMAT</t>
        </is>
      </c>
    </row>
    <row r="2">
      <c r="A2" s="1167" t="n"/>
      <c r="B2" s="1167" t="n"/>
      <c r="C2" s="1167" t="n"/>
      <c r="D2" s="1167" t="n"/>
    </row>
    <row r="3">
      <c r="A3" s="1450">
        <f>+ODHAV1!$A$3</f>
        <v/>
      </c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</t>
        </is>
      </c>
    </row>
    <row r="6" ht="15.75" customHeight="1">
      <c r="A6" s="201" t="n"/>
      <c r="B6" s="201" t="n"/>
      <c r="C6" s="202" t="n"/>
      <c r="D6" s="201" t="n"/>
    </row>
    <row r="7">
      <c r="A7" s="1885" t="n">
        <v>1</v>
      </c>
      <c r="B7" s="794" t="inlineStr">
        <is>
          <t>GL 1878 GGST PAYABLE A/C. DR….</t>
        </is>
      </c>
      <c r="C7" s="1880">
        <f>+DEMAT!D44</f>
        <v/>
      </c>
      <c r="D7" s="1886" t="n"/>
    </row>
    <row r="8">
      <c r="A8" s="1885" t="n"/>
      <c r="B8" s="794" t="inlineStr">
        <is>
          <t>GL 1879 CGST PAYABLE A/C. DR….</t>
        </is>
      </c>
      <c r="C8" s="1880">
        <f>+DEMAT!E44</f>
        <v/>
      </c>
      <c r="D8" s="1886" t="n"/>
    </row>
    <row r="9">
      <c r="A9" s="1885" t="n"/>
      <c r="B9" s="794" t="inlineStr">
        <is>
          <t>GL 1880 IGST PAYABLE A/C. DR….</t>
        </is>
      </c>
      <c r="C9" s="1880">
        <f>+DEMAT!F44</f>
        <v/>
      </c>
      <c r="D9" s="1886" t="n"/>
    </row>
    <row r="10">
      <c r="A10" s="1885" t="n"/>
      <c r="B10" s="794" t="inlineStr">
        <is>
          <t xml:space="preserve">      TO HO </t>
        </is>
      </c>
      <c r="C10" s="1880" t="n"/>
      <c r="D10" s="1886">
        <f>SUM(C7:C9)</f>
        <v/>
      </c>
      <c r="E10" s="1880" t="n"/>
    </row>
    <row r="11">
      <c r="A11" s="1885" t="n"/>
      <c r="B11" s="794">
        <f>+ODHAV1!B11</f>
        <v/>
      </c>
      <c r="C11" s="1880" t="n"/>
      <c r="D11" s="1886" t="n"/>
    </row>
    <row r="12">
      <c r="A12" s="1885" t="n"/>
      <c r="B12" s="794">
        <f>+ODHAV1!B12</f>
        <v/>
      </c>
      <c r="C12" s="1880" t="n"/>
      <c r="D12" s="1886" t="n"/>
    </row>
    <row r="13" ht="16.5" customHeight="1">
      <c r="A13" s="1887" t="n"/>
      <c r="B13" s="1888" t="n"/>
      <c r="C13" s="1889" t="n"/>
      <c r="D13" s="1890" t="n"/>
      <c r="E13" s="1069" t="n"/>
      <c r="F13" s="1069" t="n"/>
      <c r="G13" s="1069" t="n"/>
    </row>
    <row r="14" hidden="1" ht="15.75" customHeight="1">
      <c r="A14" s="1885" t="n"/>
      <c r="B14" s="794" t="n"/>
      <c r="C14" s="1880" t="n"/>
      <c r="D14" s="1886" t="n"/>
      <c r="E14" s="1456" t="inlineStr">
        <is>
          <t>PLZ CHANGE IN THE MONTH OF DEC'24</t>
        </is>
      </c>
      <c r="F14" s="1504" t="n"/>
      <c r="G14" s="1505" t="n"/>
    </row>
    <row r="15" hidden="1">
      <c r="A15" s="1885" t="n">
        <v>1</v>
      </c>
      <c r="B15" s="1928" t="inlineStr">
        <is>
          <t>GL 1880 CGST PAYABLE A/C.  DR</t>
        </is>
      </c>
      <c r="C15" s="1880" t="n">
        <v>0</v>
      </c>
      <c r="D15" s="1886" t="n"/>
      <c r="G15" s="1652" t="n"/>
    </row>
    <row r="16" hidden="1">
      <c r="A16" s="1885" t="n"/>
      <c r="B16" s="1928" t="inlineStr">
        <is>
          <t xml:space="preserve">                                TO 1878 GGST PAYABLE A/C</t>
        </is>
      </c>
      <c r="C16" s="1880" t="n"/>
      <c r="D16" s="1886" t="n">
        <v>0</v>
      </c>
      <c r="G16" s="1652" t="n"/>
    </row>
    <row r="17" hidden="1">
      <c r="A17" s="1885" t="n"/>
      <c r="B17" s="1928" t="inlineStr">
        <is>
          <t xml:space="preserve">                                TO 1889 SGST PAYABLE A/C</t>
        </is>
      </c>
      <c r="C17" s="1880" t="n"/>
      <c r="D17" s="1886">
        <f>+D16</f>
        <v/>
      </c>
      <c r="G17" s="1652" t="n"/>
      <c r="I17" s="1884">
        <f>31998/2</f>
        <v/>
      </c>
    </row>
    <row r="18" hidden="1">
      <c r="A18" s="1885" t="n"/>
      <c r="B18" s="794" t="inlineStr">
        <is>
          <t xml:space="preserve">(BEING GST TWICE RECORDED IN 1878 AC INSTEAD OF RECORDING IN </t>
        </is>
      </c>
      <c r="C18" s="1880" t="n"/>
      <c r="D18" s="1886" t="n"/>
      <c r="G18" s="1652" t="n"/>
    </row>
    <row r="19" hidden="1">
      <c r="A19" s="1885" t="n"/>
      <c r="B19" s="794" t="inlineStr">
        <is>
          <t>1879 AC HENCE SAME IS REVERSED)</t>
        </is>
      </c>
      <c r="C19" s="1880" t="n"/>
      <c r="D19" s="1886" t="n"/>
      <c r="G19" s="1652" t="n"/>
    </row>
    <row r="20" hidden="1" ht="16.5" customHeight="1">
      <c r="A20" s="1885" t="n"/>
      <c r="B20" s="794" t="n"/>
      <c r="C20" s="1880" t="n"/>
      <c r="D20" s="1886" t="n"/>
      <c r="E20" s="1041" t="n"/>
      <c r="F20" s="1041" t="n"/>
      <c r="G20" s="1507" t="n"/>
    </row>
    <row r="21" hidden="1" ht="15" customHeight="1">
      <c r="A21" s="1892" t="n"/>
      <c r="B21" s="1893" t="n"/>
      <c r="C21" s="1905" t="n"/>
      <c r="D21" s="1894" t="n"/>
    </row>
    <row r="22">
      <c r="A22" s="1885" t="n"/>
      <c r="B22" s="794" t="n"/>
      <c r="C22" s="1880" t="n"/>
      <c r="D22" s="1886" t="n"/>
    </row>
    <row r="23">
      <c r="A23" s="1885" t="n">
        <v>2</v>
      </c>
      <c r="B23" s="794" t="inlineStr">
        <is>
          <t>GL 1878 GGST PAYABLE A/C. DR….</t>
        </is>
      </c>
      <c r="C23" s="1880" t="n">
        <v>0</v>
      </c>
      <c r="D23" s="1886" t="n"/>
    </row>
    <row r="24">
      <c r="A24" s="1885" t="n"/>
      <c r="B24" s="794" t="inlineStr">
        <is>
          <t>GL 1879 CGST PAYABLE A/C. DR….</t>
        </is>
      </c>
      <c r="C24" s="1880">
        <f>+C23</f>
        <v/>
      </c>
      <c r="D24" s="1886" t="n"/>
    </row>
    <row r="25">
      <c r="A25" s="1885" t="n"/>
      <c r="B25" s="1929" t="inlineStr">
        <is>
          <t>HO A/C. DR….</t>
        </is>
      </c>
      <c r="C25" s="1880" t="n">
        <v>0</v>
      </c>
      <c r="D25" s="1886" t="n"/>
    </row>
    <row r="26">
      <c r="A26" s="1885" t="n"/>
      <c r="B26" s="1907" t="inlineStr">
        <is>
          <t xml:space="preserve">TO GL 1880 IGST PAYABLE A/C. </t>
        </is>
      </c>
      <c r="C26" s="1880" t="n"/>
      <c r="D26" s="1886" t="n">
        <v>0</v>
      </c>
    </row>
    <row r="27">
      <c r="A27" s="1885" t="n"/>
      <c r="B27" s="794" t="inlineStr">
        <is>
          <t>(BEING GST PAYABLE FOR THE MONTH OF</t>
        </is>
      </c>
      <c r="C27" s="1880" t="n"/>
      <c r="D27" s="1886" t="n"/>
    </row>
    <row r="28">
      <c r="A28" s="1885" t="n"/>
      <c r="B28" s="794" t="inlineStr">
        <is>
          <t>DEC 2024 TRANSFER TO HO)</t>
        </is>
      </c>
      <c r="C28" s="1880" t="n"/>
      <c r="D28" s="1886" t="n"/>
    </row>
    <row r="29" ht="16.5" customHeight="1">
      <c r="A29" s="1885" t="n"/>
      <c r="B29" s="794" t="n"/>
      <c r="C29" s="1880" t="n"/>
      <c r="D29" s="1886" t="n"/>
    </row>
    <row r="30">
      <c r="A30" s="1892" t="n"/>
      <c r="B30" s="1893" t="n"/>
      <c r="C30" s="1905" t="n"/>
      <c r="D30" s="1894" t="n"/>
    </row>
    <row r="31">
      <c r="A31" s="1885" t="n">
        <v>2</v>
      </c>
      <c r="B31" s="794" t="inlineStr">
        <is>
          <t>HO DR…….</t>
        </is>
      </c>
      <c r="C31" s="1880">
        <f>+C32</f>
        <v/>
      </c>
      <c r="D31" s="1886" t="n"/>
    </row>
    <row r="32">
      <c r="A32" s="1885" t="n"/>
      <c r="B32" s="794" t="inlineStr">
        <is>
          <t>PL 4197 SERVICE TAX/GST EXPENSES A/C. DR</t>
        </is>
      </c>
      <c r="C32" s="1880">
        <f>+SUM(D33:D35)/2</f>
        <v/>
      </c>
      <c r="D32" s="1886" t="n"/>
    </row>
    <row r="33">
      <c r="A33" s="794" t="n"/>
      <c r="B33" s="794" t="inlineStr">
        <is>
          <t xml:space="preserve">      TO GL 8546 GGST RECEIVABLE A/C..</t>
        </is>
      </c>
      <c r="C33" s="1880" t="n"/>
      <c r="D33" s="1886">
        <f>+DEMAT!D52</f>
        <v/>
      </c>
    </row>
    <row r="34">
      <c r="A34" s="794" t="n"/>
      <c r="B34" s="794" t="inlineStr">
        <is>
          <t xml:space="preserve">      TO GL 8547 CGST RECEIVABLE A/C..</t>
        </is>
      </c>
      <c r="C34" s="1880" t="n"/>
      <c r="D34" s="1886">
        <f>+DEMAT!E52</f>
        <v/>
      </c>
    </row>
    <row r="35">
      <c r="A35" s="794" t="n"/>
      <c r="B35" s="794" t="inlineStr">
        <is>
          <t xml:space="preserve">      TO GL 8548 IGST RECEIVABLE A/C..</t>
        </is>
      </c>
      <c r="C35" s="1880" t="n"/>
      <c r="D35" s="1886">
        <f>+DEMAT!F52</f>
        <v/>
      </c>
    </row>
    <row r="36">
      <c r="A36" s="794" t="n"/>
      <c r="B36" s="794">
        <f>+ODHAV1!B20</f>
        <v/>
      </c>
      <c r="C36" s="1880" t="n"/>
      <c r="D36" s="1886" t="n"/>
    </row>
    <row r="37" ht="16.5" customHeight="1">
      <c r="A37" s="1888" t="n"/>
      <c r="B37" s="1888">
        <f>+ODHAV1!B21</f>
        <v/>
      </c>
      <c r="C37" s="1889" t="n"/>
      <c r="D37" s="1890" t="n"/>
    </row>
    <row r="38">
      <c r="A38" s="1893" t="n"/>
      <c r="B38" s="1913" t="n"/>
      <c r="C38" s="1898" t="n"/>
      <c r="D38" s="1917" t="n"/>
    </row>
    <row r="39">
      <c r="A39" s="1885">
        <f>+A31+1</f>
        <v/>
      </c>
      <c r="B39" s="794" t="inlineStr">
        <is>
          <t>PL 4197 SERVICE TAX/GST EXPENSES A/C. DR</t>
        </is>
      </c>
      <c r="C39" s="1914">
        <f>+D40+D41</f>
        <v/>
      </c>
      <c r="D39" s="1930" t="n"/>
      <c r="F39" s="1030" t="n"/>
      <c r="G39" s="1030" t="n"/>
      <c r="H39" s="1030" t="n"/>
    </row>
    <row r="40">
      <c r="A40" s="794" t="n"/>
      <c r="B40" s="1884" t="inlineStr">
        <is>
          <t xml:space="preserve">                TO GL 1878 CGST PAYABLE A/C. </t>
        </is>
      </c>
      <c r="C40" s="1914" t="n"/>
      <c r="D40" s="1930" t="n">
        <v>0</v>
      </c>
      <c r="F40" s="1030" t="n"/>
      <c r="G40" s="1030" t="n"/>
      <c r="H40" s="1030" t="n"/>
    </row>
    <row r="41">
      <c r="A41" s="794" t="n"/>
      <c r="B41" s="1884" t="inlineStr">
        <is>
          <t xml:space="preserve">                TO GL 1879 CGST PAYABLE A/C. </t>
        </is>
      </c>
      <c r="C41" s="1914" t="n"/>
      <c r="D41" s="1930" t="n">
        <v>0</v>
      </c>
      <c r="F41" s="1030" t="n"/>
      <c r="G41" s="1030" t="n"/>
      <c r="H41" s="1030" t="n"/>
    </row>
    <row r="42">
      <c r="A42" s="794" t="n"/>
      <c r="B42" s="1884" t="inlineStr">
        <is>
          <t>(BEING RECTIFICATION ENTRY PASSED)</t>
        </is>
      </c>
      <c r="C42" s="1901" t="n"/>
      <c r="D42" s="1918" t="n"/>
    </row>
    <row r="43" ht="16.5" customHeight="1">
      <c r="A43" s="1888" t="n"/>
      <c r="B43" s="1915" t="n"/>
      <c r="C43" s="1895" t="n"/>
      <c r="D43" s="1920" t="n"/>
    </row>
    <row r="44">
      <c r="A44" s="1893" t="n"/>
      <c r="B44" s="1913" t="n"/>
      <c r="C44" s="1898" t="n"/>
      <c r="D44" s="1917" t="n"/>
    </row>
    <row r="45">
      <c r="A45" s="1885">
        <f>+A39+1</f>
        <v/>
      </c>
      <c r="B45" s="1884" t="inlineStr">
        <is>
          <t>GL 1878 GGST PAYABLE A/C. DR….</t>
        </is>
      </c>
      <c r="C45" s="1914" t="n">
        <v>0</v>
      </c>
      <c r="D45" s="1930" t="n"/>
    </row>
    <row r="46">
      <c r="A46" s="794" t="n"/>
      <c r="B46" s="1884" t="inlineStr">
        <is>
          <t xml:space="preserve">                TO GL 1879 CGST PAYABLE A/C. </t>
        </is>
      </c>
      <c r="C46" s="1914" t="n"/>
      <c r="D46" s="1930">
        <f>+C45</f>
        <v/>
      </c>
    </row>
    <row r="47">
      <c r="A47" s="794" t="n"/>
      <c r="B47" s="1884" t="inlineStr">
        <is>
          <t xml:space="preserve">(BEING GST BOOKED TWO TIMES IN GL 1878, NOW </t>
        </is>
      </c>
      <c r="C47" s="1901" t="n"/>
      <c r="D47" s="1918" t="n"/>
    </row>
    <row r="48">
      <c r="A48" s="794" t="n"/>
      <c r="B48" s="1884" t="inlineStr">
        <is>
          <t xml:space="preserve">TRANSFERRED TO GL 1879 &amp; ENTRY NOT CORRECTED </t>
        </is>
      </c>
      <c r="C48" s="1901" t="n"/>
      <c r="D48" s="1918" t="n"/>
    </row>
    <row r="49" ht="16.5" customHeight="1">
      <c r="A49" s="1888" t="n"/>
      <c r="B49" s="1915" t="inlineStr">
        <is>
          <t xml:space="preserve">BY THEM LAST MONTH .) </t>
        </is>
      </c>
      <c r="C49" s="1895" t="n"/>
      <c r="D49" s="1920" t="n"/>
    </row>
    <row r="50">
      <c r="C50" s="1883" t="n"/>
      <c r="D50" s="1883" t="n"/>
    </row>
    <row r="51">
      <c r="C51" s="1883" t="n"/>
      <c r="D51" s="1883" t="n"/>
    </row>
    <row r="52">
      <c r="C52" s="1883" t="n"/>
      <c r="D52" s="1883" t="n"/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>
      <c r="B437" s="1884" t="inlineStr">
        <is>
          <t>MARCH 2026 TRANSFER FROM BRANCH)</t>
        </is>
      </c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>
      <c r="M566" s="1884" t="inlineStr">
        <is>
          <t>AS DISSCUSS WITH HARDIK BHAI ENTRY PASSED BY NIMESH BHAI</t>
        </is>
      </c>
    </row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B584" s="1884" t="inlineStr">
        <is>
          <t>MARCH 2025 TRANSFER FROM BRANCH)</t>
        </is>
      </c>
    </row>
    <row r="585"/>
    <row r="586"/>
    <row r="587"/>
    <row r="588"/>
    <row r="589"/>
    <row r="590"/>
    <row r="591"/>
    <row r="592"/>
    <row r="593"/>
    <row r="594"/>
    <row r="595"/>
    <row r="596"/>
    <row r="597"/>
    <row r="598">
      <c r="B598" s="1884" t="inlineStr">
        <is>
          <t>LEDGER BALANCE FOR THE MONTH OF MARCH)</t>
        </is>
      </c>
    </row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B675" s="1884" t="inlineStr">
        <is>
          <t>(BEING CREDIT OF PERFORMA INVOICE TAKEN IN DEC-25 NOW REVERSE)</t>
        </is>
      </c>
    </row>
  </sheetData>
  <mergeCells count="3">
    <mergeCell ref="A1:D1"/>
    <mergeCell ref="E14:G20"/>
    <mergeCell ref="A3:D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92D050"/>
    <outlinePr summaryBelow="1" summaryRight="1"/>
    <pageSetUpPr/>
  </sheetPr>
  <dimension ref="A1:R687"/>
  <sheetViews>
    <sheetView workbookViewId="0">
      <selection activeCell="A1" sqref="A1"/>
    </sheetView>
  </sheetViews>
  <sheetFormatPr baseColWidth="8" defaultRowHeight="15"/>
  <cols>
    <col width="12.5703125" customWidth="1" min="1" max="1"/>
    <col width="98.28515625" customWidth="1" min="2" max="2"/>
    <col width="21.5703125" customWidth="1" min="3" max="3"/>
    <col width="21.5703125" customWidth="1" min="4" max="4"/>
    <col width="25.42578125" customWidth="1" min="5" max="5"/>
    <col width="23.140625" customWidth="1" min="6" max="6"/>
    <col width="24.5703125" customWidth="1" min="7" max="7"/>
    <col width="29.140625" customWidth="1" min="8" max="8"/>
    <col width="50.28515625" customWidth="1" min="9" max="9"/>
    <col width="36.42578125" customWidth="1" min="10" max="10"/>
    <col width="20.7109375" customWidth="1" min="11" max="11"/>
    <col width="22.140625" customWidth="1" min="12" max="12"/>
    <col width="24" customWidth="1" min="13" max="13"/>
    <col width="22" customWidth="1" min="14" max="14"/>
    <col width="24.7109375" customWidth="1" min="15" max="15"/>
    <col width="20.5703125" customWidth="1" min="16" max="16"/>
    <col width="9.140625" customWidth="1" min="19" max="19"/>
  </cols>
  <sheetData>
    <row r="1">
      <c r="A1" s="1450" t="inlineStr">
        <is>
          <t>NUTAN NAGRIK SAHAKARI BANK LIMITED, HEAD OFFICE</t>
        </is>
      </c>
      <c r="E1" s="1450" t="n"/>
    </row>
    <row r="2">
      <c r="A2" s="1167" t="n"/>
      <c r="B2" s="1167" t="n"/>
      <c r="C2" s="1167" t="n"/>
      <c r="D2" s="1167" t="n"/>
      <c r="E2" s="1167" t="n"/>
    </row>
    <row r="3">
      <c r="A3" s="1450">
        <f>+ODHAV1!$A$3</f>
        <v/>
      </c>
      <c r="E3" s="1450" t="n"/>
    </row>
    <row r="4" ht="16.5" customHeight="1"/>
    <row r="5" ht="16.5" customHeight="1">
      <c r="A5" s="1142" t="inlineStr">
        <is>
          <t>SR. NO</t>
        </is>
      </c>
      <c r="B5" s="1142" t="inlineStr">
        <is>
          <t>PARTICULAR</t>
        </is>
      </c>
      <c r="C5" s="93" t="inlineStr">
        <is>
          <t>DR. RS.</t>
        </is>
      </c>
      <c r="D5" s="1142" t="inlineStr">
        <is>
          <t>CR. RS.</t>
        </is>
      </c>
      <c r="E5" s="1167" t="n"/>
    </row>
    <row r="6">
      <c r="A6" s="794" t="n"/>
      <c r="B6" s="794" t="n"/>
      <c r="D6" s="794" t="n"/>
    </row>
    <row r="7">
      <c r="A7" s="968" t="n">
        <v>1</v>
      </c>
      <c r="B7" s="103" t="inlineStr">
        <is>
          <t>VASNA</t>
        </is>
      </c>
      <c r="D7" s="794" t="n"/>
    </row>
    <row r="8">
      <c r="A8" s="1885" t="n">
        <v>1</v>
      </c>
      <c r="B8" s="794" t="inlineStr">
        <is>
          <t>VASNA DR……</t>
        </is>
      </c>
      <c r="C8" s="1880">
        <f>SUM(D9:D11)</f>
        <v/>
      </c>
      <c r="D8" s="1886" t="n"/>
      <c r="E8" s="1880" t="n"/>
    </row>
    <row r="9">
      <c r="A9" s="1907" t="n"/>
      <c r="B9" s="794" t="inlineStr">
        <is>
          <t xml:space="preserve">      TO GL 1881 GROSS GGST PAYABLE A/C..</t>
        </is>
      </c>
      <c r="C9" s="1880" t="n"/>
      <c r="D9" s="1886">
        <f>+VASNA1!C7</f>
        <v/>
      </c>
      <c r="E9" s="1880" t="n"/>
    </row>
    <row r="10">
      <c r="A10" s="1907" t="n"/>
      <c r="B10" s="794" t="inlineStr">
        <is>
          <t xml:space="preserve">      TO GL 1882 GROSS CGST PAYABLE A/C..</t>
        </is>
      </c>
      <c r="C10" s="1880" t="n"/>
      <c r="D10" s="1886">
        <f>+VASNA1!C8</f>
        <v/>
      </c>
      <c r="E10" s="1880" t="n"/>
    </row>
    <row r="11">
      <c r="A11" s="1907" t="n"/>
      <c r="B11" s="794" t="inlineStr">
        <is>
          <t xml:space="preserve">      TO GL 1883 GROSS IGST PAYABLE A/C..</t>
        </is>
      </c>
      <c r="C11" s="1880" t="n"/>
      <c r="D11" s="1886">
        <f>+VASNA1!C9</f>
        <v/>
      </c>
      <c r="E11" s="1880" t="n"/>
    </row>
    <row r="12">
      <c r="A12" s="1907" t="n"/>
      <c r="B12" s="794" t="inlineStr">
        <is>
          <t>(BEING GST PAYABLE FOR THE MONTH OF</t>
        </is>
      </c>
      <c r="C12" s="1880" t="n"/>
      <c r="D12" s="1886" t="n"/>
      <c r="E12" s="1880" t="n"/>
    </row>
    <row r="13" ht="16.5" customHeight="1">
      <c r="A13" s="1931" t="n"/>
      <c r="B13" s="1888" t="inlineStr">
        <is>
          <t>AUG 2026 TRANSFER FROM VASNA BRANCH)</t>
        </is>
      </c>
      <c r="C13" s="1889" t="n"/>
      <c r="D13" s="1890" t="n"/>
      <c r="E13" s="1880" t="n"/>
    </row>
    <row r="14">
      <c r="A14" s="1907" t="n"/>
      <c r="B14" s="794" t="n"/>
      <c r="C14" s="1880" t="n"/>
      <c r="D14" s="1886" t="n"/>
      <c r="E14" s="1880" t="n"/>
    </row>
    <row r="15">
      <c r="A15" s="1885" t="n">
        <v>2</v>
      </c>
      <c r="B15" s="794" t="inlineStr">
        <is>
          <t>GL 8549 GROSS GGST RECEIVABLE A/C. DR….</t>
        </is>
      </c>
      <c r="C15" s="1880">
        <f>+(D18-C17)/2</f>
        <v/>
      </c>
      <c r="D15" s="1886" t="n"/>
      <c r="E15" s="1880" t="n"/>
    </row>
    <row r="16">
      <c r="A16" s="1885" t="n"/>
      <c r="B16" s="794" t="inlineStr">
        <is>
          <t>GL 8551 GROSS CGST RECEIVABLE A/C. DR….</t>
        </is>
      </c>
      <c r="C16" s="1880">
        <f>+C15</f>
        <v/>
      </c>
      <c r="D16" s="1886" t="n"/>
      <c r="E16" s="1880" t="n"/>
    </row>
    <row r="17">
      <c r="A17" s="1885" t="n"/>
      <c r="B17" s="794" t="inlineStr">
        <is>
          <t>GL 8552 GROSS IGST RECEIVABLE A/C. DR….</t>
        </is>
      </c>
      <c r="C17" s="1880">
        <f>+VASNA1!D26/2</f>
        <v/>
      </c>
      <c r="D17" s="1886" t="n"/>
      <c r="E17" s="1880" t="n"/>
    </row>
    <row r="18">
      <c r="A18" s="1885" t="n"/>
      <c r="B18" s="794" t="inlineStr">
        <is>
          <t xml:space="preserve">      TO VASNA</t>
        </is>
      </c>
      <c r="C18" s="1880" t="n"/>
      <c r="D18" s="1886">
        <f>+VASNA1!C22</f>
        <v/>
      </c>
      <c r="E18" s="1880" t="n"/>
    </row>
    <row r="19">
      <c r="A19" s="1885" t="n"/>
      <c r="B19" s="794" t="inlineStr">
        <is>
          <t>(BEING SET OFF OF BRANCH FOR THE MONTH OF</t>
        </is>
      </c>
      <c r="C19" s="1880" t="n"/>
      <c r="D19" s="1886" t="n"/>
      <c r="E19" s="1880" t="n"/>
    </row>
    <row r="20">
      <c r="A20" s="1885" t="n"/>
      <c r="B20" s="794" t="inlineStr">
        <is>
          <t>AUG 2026 TRANSFER FROM VASNA BRANCH)</t>
        </is>
      </c>
      <c r="C20" s="1880" t="n"/>
      <c r="D20" s="1886" t="n"/>
      <c r="E20" s="1880" t="n"/>
    </row>
    <row r="21" ht="16.5" customHeight="1">
      <c r="A21" s="1887" t="n"/>
      <c r="B21" s="1888" t="n"/>
      <c r="C21" s="1889" t="n"/>
      <c r="D21" s="1890" t="n"/>
      <c r="E21" s="1880" t="n"/>
    </row>
    <row r="22">
      <c r="A22" s="1885" t="n"/>
      <c r="B22" s="794" t="n"/>
      <c r="C22" s="1880" t="n"/>
      <c r="D22" s="1886" t="n"/>
      <c r="E22" s="1880" t="n"/>
    </row>
    <row r="23">
      <c r="A23" s="968" t="n">
        <v>2</v>
      </c>
      <c r="B23" s="103" t="inlineStr">
        <is>
          <t>NEW CLOTH MARKET</t>
        </is>
      </c>
      <c r="D23" s="794" t="n"/>
    </row>
    <row r="24">
      <c r="A24" s="1885" t="n">
        <v>1</v>
      </c>
      <c r="B24" s="794" t="inlineStr">
        <is>
          <t>NEW CLOTH MARKET DR…….</t>
        </is>
      </c>
      <c r="C24" s="1880">
        <f>SUM(D25:D27)</f>
        <v/>
      </c>
      <c r="D24" s="1886" t="n"/>
      <c r="E24" s="1880" t="n"/>
    </row>
    <row r="25">
      <c r="A25" s="1907" t="n"/>
      <c r="B25" s="794" t="inlineStr">
        <is>
          <t xml:space="preserve">      TO GL 1881 GROSS GGST PAYABLE A/C..</t>
        </is>
      </c>
      <c r="C25" s="1880" t="n"/>
      <c r="D25" s="1886">
        <f>+'NEW CLOTH MARKET 1'!C7</f>
        <v/>
      </c>
      <c r="E25" s="1880" t="n"/>
    </row>
    <row r="26">
      <c r="A26" s="1907" t="n"/>
      <c r="B26" s="794" t="inlineStr">
        <is>
          <t xml:space="preserve">      TO GL 1882 GROSS CGST PAYABLE A/C..</t>
        </is>
      </c>
      <c r="C26" s="1880" t="n"/>
      <c r="D26" s="1886">
        <f>+'NEW CLOTH MARKET 1'!C8</f>
        <v/>
      </c>
      <c r="E26" s="1880" t="n"/>
    </row>
    <row r="27">
      <c r="A27" s="1907" t="n"/>
      <c r="B27" s="794" t="inlineStr">
        <is>
          <t xml:space="preserve">      TO GL 1883 GROSS IGST PAYABLE A/C..</t>
        </is>
      </c>
      <c r="C27" s="1880" t="n"/>
      <c r="D27" s="1886">
        <f>+'NEW CLOTH MARKET 1'!C9</f>
        <v/>
      </c>
      <c r="E27" s="1880" t="n"/>
    </row>
    <row r="28">
      <c r="A28" s="1907" t="n"/>
      <c r="B28" s="794" t="inlineStr">
        <is>
          <t>(BEING GST PAYABLE FOR THE MONTH OF</t>
        </is>
      </c>
      <c r="C28" s="1880" t="n"/>
      <c r="D28" s="1886" t="n"/>
      <c r="E28" s="1880" t="n"/>
    </row>
    <row r="29" ht="16.5" customHeight="1">
      <c r="A29" s="1931" t="n"/>
      <c r="B29" s="1888" t="inlineStr">
        <is>
          <t>AUG 2026 TRANSFER FROM BRANCH)</t>
        </is>
      </c>
      <c r="C29" s="1889" t="n"/>
      <c r="D29" s="1890" t="n"/>
      <c r="E29" s="1880" t="n"/>
    </row>
    <row r="30">
      <c r="A30" s="1907" t="n"/>
      <c r="B30" s="794" t="n"/>
      <c r="C30" s="1880" t="n"/>
      <c r="D30" s="1886" t="n"/>
      <c r="E30" s="1880" t="n"/>
    </row>
    <row r="31">
      <c r="A31" s="1885" t="n">
        <v>2</v>
      </c>
      <c r="B31" s="794" t="inlineStr">
        <is>
          <t>GL 8549 GROSS GGST RECEIVABLE A/C. DR….</t>
        </is>
      </c>
      <c r="C31" s="1880">
        <f>+'NEW CLOTH MARKET 1'!D24/2</f>
        <v/>
      </c>
      <c r="D31" s="1886" t="n"/>
      <c r="E31" s="1880" t="n"/>
    </row>
    <row r="32">
      <c r="A32" s="1885" t="n"/>
      <c r="B32" s="794" t="inlineStr">
        <is>
          <t>GL 8551 GROSS CGST RECEIVABLE A/C. DR….</t>
        </is>
      </c>
      <c r="C32" s="1880">
        <f>+C31</f>
        <v/>
      </c>
      <c r="D32" s="1886" t="n"/>
      <c r="E32" s="1880" t="n"/>
    </row>
    <row r="33">
      <c r="A33" s="1885" t="n"/>
      <c r="B33" s="794" t="inlineStr">
        <is>
          <t>GL 8552 GROSS IGST RECEIVABLE A/C. DR….</t>
        </is>
      </c>
      <c r="C33" s="1880">
        <f>+'NEW CLOTH MARKET 1'!D26/2</f>
        <v/>
      </c>
      <c r="D33" s="1886" t="n"/>
      <c r="E33" s="1880" t="n"/>
    </row>
    <row r="34">
      <c r="A34" s="1885" t="n"/>
      <c r="B34" s="794" t="inlineStr">
        <is>
          <t xml:space="preserve">      TO NEW CLOTH MARKET</t>
        </is>
      </c>
      <c r="C34" s="1880" t="n"/>
      <c r="D34" s="1886">
        <f>+'NEW CLOTH MARKET 1'!C22</f>
        <v/>
      </c>
      <c r="E34" s="1880" t="n"/>
    </row>
    <row r="35">
      <c r="A35" s="1885" t="n"/>
      <c r="B35" s="794" t="inlineStr">
        <is>
          <t>(BEING SET OFF OF BRANCH FOR THE MONTH OF</t>
        </is>
      </c>
      <c r="C35" s="1880" t="n"/>
      <c r="D35" s="1886" t="n"/>
      <c r="E35" s="1880" t="n"/>
    </row>
    <row r="36">
      <c r="A36" s="1885" t="n"/>
      <c r="B36" s="794" t="inlineStr">
        <is>
          <t>AUG 2026 TRANSFER FROM BRANCH)</t>
        </is>
      </c>
      <c r="C36" s="1880" t="n"/>
      <c r="D36" s="1886" t="n"/>
      <c r="E36" s="1880" t="n"/>
    </row>
    <row r="37" ht="16.5" customHeight="1">
      <c r="A37" s="1887" t="n"/>
      <c r="B37" s="1888" t="n"/>
      <c r="C37" s="1889" t="n"/>
      <c r="D37" s="1890" t="n"/>
      <c r="E37" s="1880" t="n"/>
    </row>
    <row r="38">
      <c r="A38" s="1885" t="n"/>
      <c r="B38" s="794" t="n"/>
      <c r="C38" s="1880" t="n"/>
      <c r="D38" s="1886" t="n"/>
      <c r="E38" s="1880" t="n"/>
    </row>
    <row r="39">
      <c r="A39" s="968" t="n">
        <v>3</v>
      </c>
      <c r="B39" s="103" t="inlineStr">
        <is>
          <t>ASHRAM ROAD</t>
        </is>
      </c>
      <c r="C39" s="1880" t="n"/>
      <c r="D39" s="1886" t="n"/>
      <c r="E39" s="1880" t="n"/>
    </row>
    <row r="40">
      <c r="A40" s="1885" t="n">
        <v>1</v>
      </c>
      <c r="B40" s="794" t="inlineStr">
        <is>
          <t>ASHRAM ROAD DR…….</t>
        </is>
      </c>
      <c r="C40" s="1880">
        <f>SUM(D41:D43)</f>
        <v/>
      </c>
      <c r="D40" s="1886" t="n"/>
      <c r="E40" s="1880" t="n"/>
    </row>
    <row r="41">
      <c r="A41" s="1907" t="n"/>
      <c r="B41" s="794" t="inlineStr">
        <is>
          <t xml:space="preserve">      TO GL 1881 GROSS GGST PAYABLE A/C..</t>
        </is>
      </c>
      <c r="C41" s="1880" t="n"/>
      <c r="D41" s="1886">
        <f>+'ASHRAM ROAD 1'!C7</f>
        <v/>
      </c>
      <c r="E41" s="1880" t="n"/>
    </row>
    <row r="42">
      <c r="A42" s="1907" t="n"/>
      <c r="B42" s="794" t="inlineStr">
        <is>
          <t xml:space="preserve">      TO GL 1882 GROSS CGST PAYABLE A/C..</t>
        </is>
      </c>
      <c r="C42" s="1880" t="n"/>
      <c r="D42" s="1886">
        <f>+'ASHRAM ROAD 1'!C8</f>
        <v/>
      </c>
      <c r="E42" s="1880" t="n"/>
    </row>
    <row r="43">
      <c r="A43" s="1907" t="n"/>
      <c r="B43" s="794" t="inlineStr">
        <is>
          <t xml:space="preserve">      TO GL 1883 GROSS IGST PAYABLE A/C..</t>
        </is>
      </c>
      <c r="C43" s="1880" t="n"/>
      <c r="D43" s="1886">
        <f>+'ASHRAM ROAD 1'!C9</f>
        <v/>
      </c>
      <c r="E43" s="1880" t="n"/>
    </row>
    <row r="44">
      <c r="A44" s="1907" t="n"/>
      <c r="B44" s="794" t="inlineStr">
        <is>
          <t>(BEING GST PAYABLE FOR THE MONTH OF</t>
        </is>
      </c>
      <c r="C44" s="1880" t="n"/>
      <c r="D44" s="1886" t="n"/>
      <c r="E44" s="1880" t="n"/>
    </row>
    <row r="45" ht="16.5" customHeight="1">
      <c r="A45" s="1931" t="n"/>
      <c r="B45" s="1888" t="inlineStr">
        <is>
          <t>AUG 2026 TRANSFER FROM BRANCH)</t>
        </is>
      </c>
      <c r="C45" s="1889" t="n"/>
      <c r="D45" s="1890" t="n"/>
      <c r="E45" s="1880" t="n"/>
    </row>
    <row r="46">
      <c r="A46" s="1907" t="n"/>
      <c r="B46" s="794" t="n"/>
      <c r="C46" s="1880" t="n"/>
      <c r="D46" s="1886" t="n"/>
      <c r="E46" s="1880" t="n"/>
    </row>
    <row r="47">
      <c r="A47" s="1885" t="n">
        <v>2</v>
      </c>
      <c r="B47" s="794" t="inlineStr">
        <is>
          <t>GL 8549 GROSS GGST RECEIVABLE A/C. DR….</t>
        </is>
      </c>
      <c r="C47" s="1880">
        <f>+'ASHRAM ROAD 1'!D17/2</f>
        <v/>
      </c>
      <c r="D47" s="1886" t="n"/>
      <c r="E47" s="1880" t="n"/>
    </row>
    <row r="48">
      <c r="A48" s="1885" t="n"/>
      <c r="B48" s="794" t="inlineStr">
        <is>
          <t>GL 8551 GROSS CGST RECEIVABLE A/C. DR….</t>
        </is>
      </c>
      <c r="C48" s="1880">
        <f>+C47</f>
        <v/>
      </c>
      <c r="D48" s="1886" t="n"/>
      <c r="E48" s="1880" t="n"/>
    </row>
    <row r="49">
      <c r="A49" s="1885" t="n"/>
      <c r="B49" s="794" t="inlineStr">
        <is>
          <t>GL 8552 GROSS IGST RECEIVABLE A/C. DR….</t>
        </is>
      </c>
      <c r="C49" s="1880">
        <f>+'ASHRAM ROAD 1'!D19/2</f>
        <v/>
      </c>
      <c r="D49" s="1886" t="n"/>
      <c r="E49" s="1880" t="n"/>
    </row>
    <row r="50">
      <c r="A50" s="1885" t="n"/>
      <c r="B50" s="794" t="inlineStr">
        <is>
          <t xml:space="preserve">      TO ASHRAM ROAD</t>
        </is>
      </c>
      <c r="C50" s="1880" t="n"/>
      <c r="D50" s="1886">
        <f>+'ASHRAM ROAD 1'!C15</f>
        <v/>
      </c>
      <c r="E50" s="1880" t="n"/>
    </row>
    <row r="51">
      <c r="A51" s="1885" t="n"/>
      <c r="B51" s="794" t="inlineStr">
        <is>
          <t>(BEING SET OFF OF BRANCH FOR THE MONTH OF</t>
        </is>
      </c>
      <c r="C51" s="1880" t="n"/>
      <c r="D51" s="1886" t="n"/>
      <c r="E51" s="1880" t="n"/>
    </row>
    <row r="52">
      <c r="A52" s="1885" t="n"/>
      <c r="B52" s="794" t="inlineStr">
        <is>
          <t>AUG 2026 TRANSFER FROM BRANCH)</t>
        </is>
      </c>
      <c r="C52" s="1880" t="n"/>
      <c r="D52" s="1886" t="n"/>
      <c r="E52" s="1880" t="n"/>
    </row>
    <row r="53" ht="16.5" customHeight="1">
      <c r="A53" s="1887" t="n"/>
      <c r="B53" s="1888" t="n"/>
      <c r="C53" s="1889" t="n"/>
      <c r="D53" s="1890" t="n"/>
      <c r="E53" s="1880" t="n"/>
    </row>
    <row r="54">
      <c r="A54" s="1885" t="n"/>
      <c r="B54" s="794" t="n"/>
      <c r="C54" s="1880" t="n"/>
      <c r="D54" s="1886" t="n"/>
      <c r="E54" s="1880" t="n"/>
    </row>
    <row r="55">
      <c r="A55" s="968" t="n">
        <v>4</v>
      </c>
      <c r="B55" s="103" t="inlineStr">
        <is>
          <t>THALTEJ</t>
        </is>
      </c>
      <c r="C55" s="1880" t="n"/>
      <c r="D55" s="1886" t="n"/>
      <c r="E55" s="1880" t="n"/>
    </row>
    <row r="56">
      <c r="A56" s="1885" t="n">
        <v>1</v>
      </c>
      <c r="B56" s="794" t="inlineStr">
        <is>
          <t>THALTEJ DR…….</t>
        </is>
      </c>
      <c r="C56" s="1880">
        <f>SUM(D57:D59)</f>
        <v/>
      </c>
      <c r="D56" s="1886" t="n"/>
      <c r="E56" s="1880" t="n"/>
    </row>
    <row r="57">
      <c r="A57" s="1907" t="n"/>
      <c r="B57" s="794" t="inlineStr">
        <is>
          <t xml:space="preserve">      TO GL 1881 GROSS GGST PAYABLE A/C..</t>
        </is>
      </c>
      <c r="C57" s="1880" t="n"/>
      <c r="D57" s="1886">
        <f>+THALTEJ1!C7</f>
        <v/>
      </c>
      <c r="E57" s="1880" t="n"/>
    </row>
    <row r="58">
      <c r="A58" s="1907" t="n"/>
      <c r="B58" s="794" t="inlineStr">
        <is>
          <t xml:space="preserve">      TO GL 1882 GROSS CGST PAYABLE A/C..</t>
        </is>
      </c>
      <c r="C58" s="1880" t="n"/>
      <c r="D58" s="1886">
        <f>+THALTEJ1!C8</f>
        <v/>
      </c>
      <c r="E58" s="1880" t="n"/>
    </row>
    <row r="59">
      <c r="A59" s="1907" t="n"/>
      <c r="B59" s="794" t="inlineStr">
        <is>
          <t xml:space="preserve">      TO GL 1883 GROSS IGST PAYABLE A/C..</t>
        </is>
      </c>
      <c r="C59" s="1880" t="n"/>
      <c r="D59" s="1886">
        <f>+THALTEJ1!C9</f>
        <v/>
      </c>
      <c r="E59" s="1880" t="n"/>
    </row>
    <row r="60">
      <c r="A60" s="1907" t="n"/>
      <c r="B60" s="794" t="inlineStr">
        <is>
          <t>(BEING GST PAYABLE FOR THE MONTH OF</t>
        </is>
      </c>
      <c r="C60" s="1880" t="n"/>
      <c r="D60" s="1886" t="n"/>
      <c r="E60" s="1880" t="n"/>
    </row>
    <row r="61" ht="16.5" customHeight="1">
      <c r="A61" s="1931" t="n"/>
      <c r="B61" s="1888" t="inlineStr">
        <is>
          <t>AUG 2026 TRANSFER FROM BRANCH)</t>
        </is>
      </c>
      <c r="C61" s="1889" t="n"/>
      <c r="D61" s="1890" t="n"/>
      <c r="E61" s="1880" t="n"/>
    </row>
    <row r="62">
      <c r="A62" s="1907" t="n"/>
      <c r="B62" s="794" t="n"/>
      <c r="C62" s="1880" t="n"/>
      <c r="D62" s="1886" t="n"/>
      <c r="E62" s="1880" t="n"/>
    </row>
    <row r="63">
      <c r="A63" s="1885" t="n">
        <v>2</v>
      </c>
      <c r="B63" s="794" t="inlineStr">
        <is>
          <t>GL 8549 GROSS GGST RECEIVABLE A/C. DR….</t>
        </is>
      </c>
      <c r="C63" s="1880">
        <f>+THALTEJ1!D17/2</f>
        <v/>
      </c>
      <c r="D63" s="1886" t="n"/>
      <c r="E63" s="1880" t="n"/>
    </row>
    <row r="64">
      <c r="A64" s="1885" t="n"/>
      <c r="B64" s="794" t="inlineStr">
        <is>
          <t>GL 8551 GROSS CGST RECEIVABLE A/C. DR….</t>
        </is>
      </c>
      <c r="C64" s="1880">
        <f>+C63</f>
        <v/>
      </c>
      <c r="D64" s="1886" t="n"/>
      <c r="E64" s="1880" t="n"/>
    </row>
    <row r="65">
      <c r="A65" s="1885" t="n"/>
      <c r="B65" s="794" t="inlineStr">
        <is>
          <t>GL 8552 GROSS IGST RECEIVABLE A/C. DR….</t>
        </is>
      </c>
      <c r="C65" s="1880">
        <f>+THALTEJ1!D19/2</f>
        <v/>
      </c>
      <c r="D65" s="1886" t="n"/>
      <c r="E65" s="1880" t="n"/>
    </row>
    <row r="66">
      <c r="A66" s="1885" t="n"/>
      <c r="B66" s="794" t="inlineStr">
        <is>
          <t xml:space="preserve">      TO THALTEJ</t>
        </is>
      </c>
      <c r="C66" s="1880" t="n"/>
      <c r="D66" s="1886">
        <f>+THALTEJ1!C15</f>
        <v/>
      </c>
      <c r="E66" s="1880" t="n"/>
    </row>
    <row r="67">
      <c r="A67" s="1885" t="n"/>
      <c r="B67" s="794" t="inlineStr">
        <is>
          <t>(BEING SET OFF OF BRANCH FOR THE MONTH OF</t>
        </is>
      </c>
      <c r="C67" s="1880" t="n"/>
      <c r="D67" s="1886" t="n"/>
      <c r="E67" s="1880" t="n"/>
    </row>
    <row r="68">
      <c r="A68" s="1885" t="n"/>
      <c r="B68" s="794" t="inlineStr">
        <is>
          <t>AUG 2026 TRANSFER FROM BRANCH)</t>
        </is>
      </c>
      <c r="C68" s="1880" t="n"/>
      <c r="D68" s="1886" t="n"/>
      <c r="E68" s="1880" t="n"/>
    </row>
    <row r="69" ht="16.5" customHeight="1">
      <c r="A69" s="1887" t="n"/>
      <c r="B69" s="1888" t="n"/>
      <c r="C69" s="1889" t="n"/>
      <c r="D69" s="1890" t="n"/>
      <c r="E69" s="1880" t="n"/>
    </row>
    <row r="70">
      <c r="A70" s="1892" t="n"/>
      <c r="B70" s="1893" t="n"/>
      <c r="C70" s="1905" t="n"/>
      <c r="D70" s="1894" t="n"/>
      <c r="E70" s="1880" t="n"/>
    </row>
    <row r="71">
      <c r="A71" s="968" t="n">
        <v>5</v>
      </c>
      <c r="B71" s="103" t="inlineStr">
        <is>
          <t>DRIVE IN ROAD</t>
        </is>
      </c>
      <c r="C71" s="1880" t="n"/>
      <c r="D71" s="1886" t="n"/>
      <c r="E71" s="1880" t="n"/>
    </row>
    <row r="72">
      <c r="A72" s="1885" t="n">
        <v>1</v>
      </c>
      <c r="B72" s="794" t="inlineStr">
        <is>
          <t>DRIVE IN ROAD DR…….</t>
        </is>
      </c>
      <c r="C72" s="1880">
        <f>SUM(D73:D74)</f>
        <v/>
      </c>
      <c r="D72" s="1886" t="n"/>
      <c r="E72" s="1880" t="n"/>
    </row>
    <row r="73">
      <c r="A73" s="1907" t="n"/>
      <c r="B73" s="794" t="inlineStr">
        <is>
          <t xml:space="preserve">      TO GL 1881 GROSS GGST PAYABLE A/C..</t>
        </is>
      </c>
      <c r="C73" s="1880" t="n"/>
      <c r="D73" s="1886">
        <f>+'DRIVE IN1'!C7</f>
        <v/>
      </c>
      <c r="E73" s="1880" t="n"/>
    </row>
    <row r="74">
      <c r="A74" s="1907" t="n"/>
      <c r="B74" s="794" t="inlineStr">
        <is>
          <t xml:space="preserve">      TO GL 1882 GROSS CGST PAYABLE A/C..</t>
        </is>
      </c>
      <c r="C74" s="1880" t="n"/>
      <c r="D74" s="1886">
        <f>+'DRIVE IN1'!C8</f>
        <v/>
      </c>
      <c r="E74" s="1880" t="n"/>
    </row>
    <row r="75">
      <c r="A75" s="1907" t="n"/>
      <c r="B75" s="794" t="inlineStr">
        <is>
          <t xml:space="preserve">      TO GL 1883 GROSS IGST PAYABLE A/C..</t>
        </is>
      </c>
      <c r="C75" s="1880" t="n"/>
      <c r="D75" s="1886">
        <f>+'DRIVE IN1'!C9</f>
        <v/>
      </c>
      <c r="E75" s="1880" t="n"/>
    </row>
    <row r="76">
      <c r="A76" s="1907" t="n"/>
      <c r="B76" s="794" t="inlineStr">
        <is>
          <t>(BEING GST PAYABLE FOR THE MONTH OF</t>
        </is>
      </c>
      <c r="C76" s="1880" t="n"/>
      <c r="D76" s="1886" t="n"/>
      <c r="E76" s="1880" t="n"/>
    </row>
    <row r="77" ht="16.5" customHeight="1">
      <c r="A77" s="1931" t="n"/>
      <c r="B77" s="1888" t="inlineStr">
        <is>
          <t>AUG 2026 TRANSFER FROM BRANCH)</t>
        </is>
      </c>
      <c r="C77" s="1889" t="n"/>
      <c r="D77" s="1890" t="n"/>
      <c r="E77" s="1880" t="n"/>
    </row>
    <row r="78" ht="15.75" customHeight="1">
      <c r="A78" s="1932" t="n"/>
      <c r="B78" s="1893" t="n"/>
      <c r="C78" s="1905" t="n"/>
      <c r="D78" s="1894" t="n"/>
      <c r="E78" s="1933" t="n"/>
      <c r="F78" s="1933" t="n"/>
    </row>
    <row r="79" ht="15.75" customHeight="1">
      <c r="A79" s="1885" t="n">
        <v>2</v>
      </c>
      <c r="B79" s="794" t="inlineStr">
        <is>
          <t>GL 8549 GROSS GGST RECEIVABLE A/C. DR….</t>
        </is>
      </c>
      <c r="C79" s="1880">
        <f>+'DRIVE IN1'!D17/2</f>
        <v/>
      </c>
      <c r="D79" s="1886" t="n"/>
      <c r="E79" s="1933" t="n"/>
      <c r="F79" s="1933" t="n"/>
    </row>
    <row r="80" ht="15.75" customHeight="1">
      <c r="A80" s="1885" t="n"/>
      <c r="B80" s="794" t="inlineStr">
        <is>
          <t>GL 8551 GROSS CGST RECEIVABLE A/C. DR….</t>
        </is>
      </c>
      <c r="C80" s="1880">
        <f>'DRIVE IN1'!D18/2</f>
        <v/>
      </c>
      <c r="D80" s="1886" t="n"/>
      <c r="E80" s="1933" t="n"/>
      <c r="F80" s="1933" t="n"/>
    </row>
    <row r="81" ht="15.75" customHeight="1">
      <c r="A81" s="1885" t="n"/>
      <c r="B81" s="794" t="inlineStr">
        <is>
          <t>GL 8552 GROSS IGST RECEIVABLE A/C. DR….</t>
        </is>
      </c>
      <c r="C81" s="1880">
        <f>+'DRIVE IN1'!D19/2</f>
        <v/>
      </c>
      <c r="D81" s="1886" t="n"/>
      <c r="E81" s="1933" t="n"/>
      <c r="F81" s="1933" t="n"/>
    </row>
    <row r="82" ht="15.75" customHeight="1">
      <c r="A82" s="1885" t="n"/>
      <c r="B82" s="794" t="inlineStr">
        <is>
          <t xml:space="preserve">      TO DRIVE IN ROAD</t>
        </is>
      </c>
      <c r="C82" s="1880" t="n"/>
      <c r="D82" s="1886">
        <f>+'DRIVE IN1'!C15</f>
        <v/>
      </c>
      <c r="E82" s="1933" t="n"/>
      <c r="F82" s="1933" t="n"/>
    </row>
    <row r="83" ht="15.75" customHeight="1">
      <c r="A83" s="1885" t="n"/>
      <c r="B83" s="794" t="inlineStr">
        <is>
          <t>(BEING SET OFF OF BRANCH FOR THE MONTH OF</t>
        </is>
      </c>
      <c r="C83" s="1880" t="n"/>
      <c r="D83" s="1886" t="n"/>
      <c r="E83" s="1933" t="n"/>
      <c r="F83" s="1933" t="n"/>
    </row>
    <row r="84" ht="15.75" customHeight="1">
      <c r="A84" s="1885" t="n"/>
      <c r="B84" s="794" t="inlineStr">
        <is>
          <t>AUG 2026 TRANSFER FROM BRANCH)</t>
        </is>
      </c>
      <c r="C84" s="1880" t="n"/>
      <c r="D84" s="1886" t="n"/>
      <c r="E84" s="1933" t="n"/>
      <c r="F84" s="1933" t="n"/>
    </row>
    <row r="85" ht="16.5" customHeight="1">
      <c r="A85" s="1887" t="n"/>
      <c r="B85" s="1888" t="n"/>
      <c r="C85" s="1889" t="n"/>
      <c r="D85" s="1890" t="n"/>
      <c r="E85" s="1933" t="n"/>
      <c r="F85" s="1933" t="n"/>
    </row>
    <row r="86">
      <c r="A86" s="1892" t="n"/>
      <c r="B86" s="1893" t="n"/>
      <c r="C86" s="1905" t="n"/>
      <c r="D86" s="1894" t="n"/>
      <c r="E86" s="1880" t="n"/>
    </row>
    <row r="87">
      <c r="A87" s="968" t="n">
        <v>6</v>
      </c>
      <c r="B87" s="103" t="inlineStr">
        <is>
          <t>ODHAV</t>
        </is>
      </c>
      <c r="C87" s="1880" t="n"/>
      <c r="D87" s="1886" t="n"/>
      <c r="E87" s="1880" t="n"/>
    </row>
    <row r="88">
      <c r="A88" s="1885" t="n">
        <v>1</v>
      </c>
      <c r="B88" s="794" t="inlineStr">
        <is>
          <t>ODHAV DR…….</t>
        </is>
      </c>
      <c r="C88" s="1880">
        <f>SUM(D89:D91)</f>
        <v/>
      </c>
      <c r="D88" s="1886" t="n"/>
      <c r="E88" s="1880" t="n"/>
    </row>
    <row r="89">
      <c r="A89" s="1907" t="n"/>
      <c r="B89" s="794" t="inlineStr">
        <is>
          <t xml:space="preserve">      TO GL 1881 GROSS GGST PAYABLE A/C..</t>
        </is>
      </c>
      <c r="C89" s="1880" t="n"/>
      <c r="D89" s="1886">
        <f>+ODHAV1!C7</f>
        <v/>
      </c>
      <c r="E89" s="1880" t="n"/>
    </row>
    <row r="90">
      <c r="A90" s="1907" t="n"/>
      <c r="B90" s="794" t="inlineStr">
        <is>
          <t xml:space="preserve">      TO GL 1882 GROSS CGST PAYABLE A/C..</t>
        </is>
      </c>
      <c r="C90" s="1880" t="n"/>
      <c r="D90" s="1886">
        <f>+ODHAV1!C8</f>
        <v/>
      </c>
      <c r="E90" s="1880" t="n"/>
    </row>
    <row r="91">
      <c r="A91" s="1907" t="n"/>
      <c r="B91" s="794" t="inlineStr">
        <is>
          <t xml:space="preserve">      TO GL 1883 GROSS IGST PAYABLE A/C..</t>
        </is>
      </c>
      <c r="C91" s="1880" t="n"/>
      <c r="D91" s="1886">
        <f>+ODHAV1!C9</f>
        <v/>
      </c>
      <c r="E91" s="1880" t="n"/>
    </row>
    <row r="92">
      <c r="A92" s="1907" t="n"/>
      <c r="B92" s="794" t="inlineStr">
        <is>
          <t>(BEING GST PAYABLE FOR THE MONTH OF</t>
        </is>
      </c>
      <c r="C92" s="1880" t="n"/>
      <c r="D92" s="1886" t="n"/>
      <c r="E92" s="1880" t="n"/>
    </row>
    <row r="93" ht="16.5" customHeight="1">
      <c r="A93" s="1931" t="n"/>
      <c r="B93" s="1888" t="inlineStr">
        <is>
          <t>AUG 2026 TRANSFER FROM BRANCH)</t>
        </is>
      </c>
      <c r="C93" s="1889" t="n"/>
      <c r="D93" s="1890" t="n"/>
      <c r="E93" s="1880" t="n"/>
    </row>
    <row r="94">
      <c r="A94" s="1907" t="n"/>
      <c r="B94" s="794" t="n"/>
      <c r="C94" s="1880" t="n"/>
      <c r="D94" s="1886" t="n"/>
      <c r="E94" s="1880" t="n"/>
    </row>
    <row r="95">
      <c r="A95" s="1885" t="n">
        <v>2</v>
      </c>
      <c r="B95" s="794" t="inlineStr">
        <is>
          <t>GL 8549 GROSS GGST RECEIVABLE A/C. DR….</t>
        </is>
      </c>
      <c r="C95" s="1880">
        <f>+ODHAV1!D17/2</f>
        <v/>
      </c>
      <c r="D95" s="1886" t="n"/>
      <c r="E95" s="1880" t="n"/>
    </row>
    <row r="96">
      <c r="A96" s="1885" t="n"/>
      <c r="B96" s="794" t="inlineStr">
        <is>
          <t>GL 8551 GROSS CGST RECEIVABLE A/C. DR….</t>
        </is>
      </c>
      <c r="C96" s="1880">
        <f>+C95</f>
        <v/>
      </c>
      <c r="D96" s="1886" t="n"/>
      <c r="E96" s="1880" t="n"/>
    </row>
    <row r="97">
      <c r="A97" s="1885" t="n"/>
      <c r="B97" s="794" t="inlineStr">
        <is>
          <t>GL 8552 GROSS IGST RECEIVABLE A/C. DR….</t>
        </is>
      </c>
      <c r="C97" s="1880">
        <f>(ODHAV1!D19)/2</f>
        <v/>
      </c>
      <c r="D97" s="1886" t="n"/>
      <c r="E97" s="1880" t="n"/>
    </row>
    <row r="98">
      <c r="A98" s="1885" t="n"/>
      <c r="B98" s="794" t="inlineStr">
        <is>
          <t xml:space="preserve">      TO ODHAV</t>
        </is>
      </c>
      <c r="C98" s="1880" t="n"/>
      <c r="D98" s="1886">
        <f>+ODHAV1!C15</f>
        <v/>
      </c>
      <c r="E98" s="1880" t="n"/>
    </row>
    <row r="99">
      <c r="A99" s="1885" t="n"/>
      <c r="B99" s="794" t="inlineStr">
        <is>
          <t>(BEING SET OFF OF BRANCH FOR THE MONTH OF</t>
        </is>
      </c>
      <c r="C99" s="1880" t="n"/>
      <c r="D99" s="1886" t="n"/>
      <c r="E99" s="1880" t="n"/>
    </row>
    <row r="100">
      <c r="A100" s="1885" t="n"/>
      <c r="B100" s="794" t="inlineStr">
        <is>
          <t>AUG 2026 TRANSFER FROM BRANCH)</t>
        </is>
      </c>
      <c r="C100" s="1880" t="n"/>
      <c r="D100" s="1886" t="n"/>
      <c r="E100" s="1880" t="n"/>
    </row>
    <row r="101" ht="16.5" customHeight="1">
      <c r="A101" s="1887" t="n"/>
      <c r="B101" s="1888" t="n"/>
      <c r="C101" s="1889" t="n"/>
      <c r="D101" s="1890" t="n"/>
      <c r="E101" s="1880" t="n"/>
    </row>
    <row r="102">
      <c r="A102" s="1885" t="n"/>
      <c r="B102" s="794" t="n"/>
      <c r="C102" s="1880" t="n"/>
      <c r="D102" s="1886" t="n"/>
      <c r="E102" s="1880" t="n"/>
    </row>
    <row r="103">
      <c r="A103" s="968" t="n">
        <v>7</v>
      </c>
      <c r="B103" s="103" t="inlineStr">
        <is>
          <t>NEW SHARDA MANDIR</t>
        </is>
      </c>
      <c r="C103" s="1880" t="n"/>
      <c r="D103" s="1886" t="n"/>
      <c r="E103" s="1880" t="n"/>
    </row>
    <row r="104">
      <c r="A104" s="1885" t="n">
        <v>1</v>
      </c>
      <c r="B104" s="794" t="inlineStr">
        <is>
          <t>NEW SHARDA MANDIR DR…….</t>
        </is>
      </c>
      <c r="C104" s="1880">
        <f>SUM(D105:D107)</f>
        <v/>
      </c>
      <c r="D104" s="1886" t="n"/>
      <c r="E104" s="1880" t="n"/>
    </row>
    <row r="105">
      <c r="A105" s="1907" t="n"/>
      <c r="B105" s="794" t="inlineStr">
        <is>
          <t xml:space="preserve">      TO GL 1881 GROSS GGST PAYABLE A/C..</t>
        </is>
      </c>
      <c r="C105" s="1880" t="n"/>
      <c r="D105" s="1886">
        <f>+'SHARDA MANDIR 1'!C7</f>
        <v/>
      </c>
      <c r="E105" s="1880" t="n"/>
    </row>
    <row r="106">
      <c r="A106" s="1907" t="n"/>
      <c r="B106" s="794" t="inlineStr">
        <is>
          <t xml:space="preserve">      TO GL 1882 GROSS CGST PAYABLE A/C..</t>
        </is>
      </c>
      <c r="C106" s="1880" t="n"/>
      <c r="D106" s="1886">
        <f>+'SHARDA MANDIR 1'!C7</f>
        <v/>
      </c>
      <c r="E106" s="1880" t="n"/>
    </row>
    <row r="107">
      <c r="A107" s="1907" t="n"/>
      <c r="B107" s="794" t="inlineStr">
        <is>
          <t xml:space="preserve">      TO GL 1883 GROSS IGST PAYABLE A/C..</t>
        </is>
      </c>
      <c r="C107" s="1880" t="n"/>
      <c r="D107" s="1886">
        <f>+'SHARDA MANDIR 1'!C9</f>
        <v/>
      </c>
      <c r="E107" s="1880" t="n"/>
    </row>
    <row r="108">
      <c r="A108" s="1907" t="n"/>
      <c r="B108" s="794" t="inlineStr">
        <is>
          <t>(BEING GST PAYABLE FOR THE MONTH OF</t>
        </is>
      </c>
      <c r="C108" s="1880" t="n"/>
      <c r="D108" s="1886" t="n"/>
      <c r="E108" s="1880" t="n"/>
    </row>
    <row r="109" ht="16.5" customHeight="1">
      <c r="A109" s="1931" t="n"/>
      <c r="B109" s="1888" t="inlineStr">
        <is>
          <t>AUG 2026 TRANSFER FROM BRANCH)</t>
        </is>
      </c>
      <c r="C109" s="1889" t="n"/>
      <c r="D109" s="1890" t="n"/>
      <c r="E109" s="1880" t="n"/>
    </row>
    <row r="110">
      <c r="A110" s="1907" t="n"/>
      <c r="B110" s="794" t="n"/>
      <c r="C110" s="1880" t="n"/>
      <c r="D110" s="1886" t="n"/>
      <c r="E110" s="1880" t="n"/>
    </row>
    <row r="111">
      <c r="A111" s="1885" t="n">
        <v>2</v>
      </c>
      <c r="B111" s="794" t="inlineStr">
        <is>
          <t>GL 8549 GROSS GGST RECEIVABLE A/C. DR….</t>
        </is>
      </c>
      <c r="C111" s="1880">
        <f>(D114-C113)/2</f>
        <v/>
      </c>
      <c r="D111" s="1886" t="n"/>
      <c r="E111" s="1880" t="n"/>
    </row>
    <row r="112">
      <c r="A112" s="1885" t="n"/>
      <c r="B112" s="794" t="inlineStr">
        <is>
          <t>GL 8551 GROSS CGST RECEIVABLE A/C. DR….</t>
        </is>
      </c>
      <c r="C112" s="1880">
        <f>+C111</f>
        <v/>
      </c>
      <c r="D112" s="1886" t="n"/>
      <c r="E112" s="1880" t="n"/>
    </row>
    <row r="113">
      <c r="A113" s="1885" t="n"/>
      <c r="B113" s="794" t="inlineStr">
        <is>
          <t>GL 8552 GROSS IGST RECEIVABLE A/C. DR….</t>
        </is>
      </c>
      <c r="C113" s="1880">
        <f>+'SHARDA MANDIR 1'!D26/2</f>
        <v/>
      </c>
      <c r="D113" s="1886" t="n"/>
      <c r="E113" s="1880" t="n"/>
    </row>
    <row r="114">
      <c r="A114" s="1885" t="n"/>
      <c r="B114" s="794" t="inlineStr">
        <is>
          <t xml:space="preserve">      TO NEW SHARDA MANDIR</t>
        </is>
      </c>
      <c r="C114" s="1880" t="n"/>
      <c r="D114" s="1886">
        <f>+'SHARDA MANDIR 1'!C22</f>
        <v/>
      </c>
      <c r="E114" s="1880" t="n"/>
    </row>
    <row r="115">
      <c r="A115" s="1885" t="n"/>
      <c r="B115" s="794" t="inlineStr">
        <is>
          <t>(BEING SET OFF OF BRANCH FOR THE MONTH OF</t>
        </is>
      </c>
      <c r="C115" s="1880" t="n"/>
      <c r="D115" s="1886" t="n"/>
      <c r="E115" s="1880" t="n"/>
    </row>
    <row r="116">
      <c r="A116" s="1885" t="n"/>
      <c r="B116" s="794" t="inlineStr">
        <is>
          <t>AUG 2026 TRANSFER FROM BRANCH)</t>
        </is>
      </c>
      <c r="C116" s="1880" t="n"/>
      <c r="D116" s="1886" t="n"/>
      <c r="E116" s="1880" t="n"/>
    </row>
    <row r="117" ht="16.5" customHeight="1">
      <c r="A117" s="1887" t="n"/>
      <c r="B117" s="1888" t="n"/>
      <c r="C117" s="1889" t="n"/>
      <c r="D117" s="1890" t="n"/>
      <c r="E117" s="1880" t="n"/>
    </row>
    <row r="118">
      <c r="A118" s="1885" t="n"/>
      <c r="B118" s="794" t="n"/>
      <c r="C118" s="1880" t="n"/>
      <c r="D118" s="1886" t="n"/>
      <c r="E118" s="1880" t="n"/>
    </row>
    <row r="119">
      <c r="A119" s="968" t="n">
        <v>8</v>
      </c>
      <c r="B119" s="103" t="inlineStr">
        <is>
          <t>SHANTI COMMERCIAL CENTRE</t>
        </is>
      </c>
      <c r="C119" s="1880" t="n"/>
      <c r="D119" s="1886" t="n"/>
      <c r="E119" s="1880" t="n"/>
    </row>
    <row r="120">
      <c r="A120" s="1885" t="n">
        <v>1</v>
      </c>
      <c r="B120" s="794" t="inlineStr">
        <is>
          <t>SHANTI COMMERCIAL CENTRE DR…….</t>
        </is>
      </c>
      <c r="C120" s="1880">
        <f>SUM(D121:D122)</f>
        <v/>
      </c>
      <c r="D120" s="1886" t="n"/>
      <c r="E120" s="1880" t="n"/>
    </row>
    <row r="121">
      <c r="A121" s="1907" t="n"/>
      <c r="B121" s="794" t="inlineStr">
        <is>
          <t xml:space="preserve">      TO GL 1881 GROSS GGST PAYABLE A/C..</t>
        </is>
      </c>
      <c r="C121" s="1880" t="n"/>
      <c r="D121" s="1886">
        <f>+'SHANTI COMMERCIAL'!C7</f>
        <v/>
      </c>
      <c r="E121" s="1880" t="n"/>
    </row>
    <row r="122">
      <c r="A122" s="1907" t="n"/>
      <c r="B122" s="794" t="inlineStr">
        <is>
          <t xml:space="preserve">      TO GL 1882 GROSS CGST PAYABLE A/C..</t>
        </is>
      </c>
      <c r="C122" s="1880" t="n"/>
      <c r="D122" s="1886">
        <f>+'SHANTI COMMERCIAL'!C8</f>
        <v/>
      </c>
      <c r="E122" s="1880" t="n"/>
    </row>
    <row r="123">
      <c r="A123" s="1907" t="n"/>
      <c r="B123" s="794" t="inlineStr">
        <is>
          <t xml:space="preserve">      TO GL 1883 GROSS IGST PAYABLE A/C..</t>
        </is>
      </c>
      <c r="C123" s="1880" t="n"/>
      <c r="D123" s="1886">
        <f>+'SHANTI COMMERCIAL'!C9</f>
        <v/>
      </c>
      <c r="E123" s="1880" t="n"/>
    </row>
    <row r="124">
      <c r="A124" s="1907" t="n"/>
      <c r="B124" s="794" t="inlineStr">
        <is>
          <t>(BEING GST PAYABLE FOR THE MONTH OF</t>
        </is>
      </c>
      <c r="C124" s="1880" t="n"/>
      <c r="D124" s="1886" t="n"/>
      <c r="E124" s="1880" t="n"/>
    </row>
    <row r="125" ht="16.5" customHeight="1">
      <c r="A125" s="1931" t="n"/>
      <c r="B125" s="1888" t="inlineStr">
        <is>
          <t>AUG 2026 TRANSFER FROM BRANCH)</t>
        </is>
      </c>
      <c r="C125" s="1889" t="n"/>
      <c r="D125" s="1890" t="n"/>
      <c r="E125" s="1880" t="n"/>
    </row>
    <row r="126" ht="15.75" customHeight="1">
      <c r="A126" s="1932" t="n"/>
      <c r="B126" s="1893" t="n"/>
      <c r="C126" s="1905" t="n"/>
      <c r="D126" s="1894" t="n"/>
      <c r="E126" s="1933" t="n"/>
      <c r="F126" s="1933" t="n"/>
    </row>
    <row r="127" ht="15.75" customHeight="1">
      <c r="A127" s="1885" t="n">
        <v>2</v>
      </c>
      <c r="B127" s="794" t="inlineStr">
        <is>
          <t>GL 8549 GROSS GGST RECEIVABLE A/C. DR….</t>
        </is>
      </c>
      <c r="C127" s="1880">
        <f>+'SHANTI COMMERCIAL'!D17/2</f>
        <v/>
      </c>
      <c r="D127" s="1886" t="n"/>
      <c r="E127" s="1933" t="n"/>
      <c r="F127" s="1933" t="n"/>
    </row>
    <row r="128" ht="15.75" customHeight="1">
      <c r="A128" s="1885" t="n"/>
      <c r="B128" s="794" t="inlineStr">
        <is>
          <t>GL 8551 GROSS CGST RECEIVABLE A/C. DR….</t>
        </is>
      </c>
      <c r="C128" s="1880">
        <f>+C127</f>
        <v/>
      </c>
      <c r="D128" s="1886" t="n"/>
      <c r="E128" s="1933" t="n"/>
      <c r="F128" s="1933" t="n"/>
    </row>
    <row r="129" ht="15.75" customHeight="1">
      <c r="A129" s="1885" t="n"/>
      <c r="B129" s="794" t="inlineStr">
        <is>
          <t>GL 8552 GROSS IGST RECEIVABLE A/C. DR….</t>
        </is>
      </c>
      <c r="C129" s="1880">
        <f>+'SHANTI COMMERCIAL'!D19/2</f>
        <v/>
      </c>
      <c r="D129" s="1886" t="n"/>
      <c r="E129" s="1933" t="n"/>
      <c r="F129" s="1933" t="n"/>
    </row>
    <row r="130" ht="15.75" customHeight="1">
      <c r="A130" s="1885" t="n"/>
      <c r="B130" s="794" t="inlineStr">
        <is>
          <t xml:space="preserve">      TO SHANTI COMMERCIAL CENTRE</t>
        </is>
      </c>
      <c r="C130" s="1880" t="n"/>
      <c r="D130" s="1886">
        <f>+'SHANTI COMMERCIAL'!C15</f>
        <v/>
      </c>
      <c r="E130" s="1933" t="n"/>
      <c r="F130" s="1933" t="n"/>
    </row>
    <row r="131" ht="15.75" customHeight="1">
      <c r="A131" s="1885" t="n"/>
      <c r="B131" s="794" t="inlineStr">
        <is>
          <t>(BEING SET OFF OF BRANCH FOR THE MONTH OF</t>
        </is>
      </c>
      <c r="C131" s="1880" t="n"/>
      <c r="D131" s="1886" t="n"/>
      <c r="E131" s="1933" t="n"/>
      <c r="F131" s="1933" t="n"/>
    </row>
    <row r="132" ht="15.75" customHeight="1">
      <c r="A132" s="1885" t="n"/>
      <c r="B132" s="794" t="inlineStr">
        <is>
          <t>AUG 2026 TRANSFER FROM BRANCH)</t>
        </is>
      </c>
      <c r="C132" s="1880" t="n"/>
      <c r="D132" s="1886" t="n"/>
      <c r="E132" s="1933" t="n"/>
      <c r="F132" s="1933" t="n"/>
    </row>
    <row r="133" ht="16.5" customHeight="1">
      <c r="A133" s="1887" t="n"/>
      <c r="B133" s="1888" t="n"/>
      <c r="C133" s="1889" t="n"/>
      <c r="D133" s="1890" t="n"/>
      <c r="E133" s="1933" t="n"/>
      <c r="F133" s="1933" t="n"/>
    </row>
    <row r="134">
      <c r="A134" s="1885" t="n"/>
      <c r="B134" s="794" t="n"/>
      <c r="C134" s="1880" t="n"/>
      <c r="D134" s="1886" t="n"/>
      <c r="E134" s="1880" t="n"/>
    </row>
    <row r="135">
      <c r="A135" s="968" t="n">
        <v>9</v>
      </c>
      <c r="B135" s="103" t="inlineStr">
        <is>
          <t xml:space="preserve">NARAYANNAGAR </t>
        </is>
      </c>
      <c r="C135" s="1880" t="n"/>
      <c r="D135" s="1886" t="n"/>
      <c r="E135" s="1880" t="n"/>
    </row>
    <row r="136">
      <c r="A136" s="1885" t="n">
        <v>1</v>
      </c>
      <c r="B136" s="794" t="inlineStr">
        <is>
          <t>NARAYANNAGAR DR…….</t>
        </is>
      </c>
      <c r="C136" s="1880">
        <f>SUM(D137:D139)</f>
        <v/>
      </c>
      <c r="D136" s="1886" t="n"/>
      <c r="E136" s="1880" t="n"/>
    </row>
    <row r="137">
      <c r="A137" s="1907" t="n"/>
      <c r="B137" s="794" t="inlineStr">
        <is>
          <t xml:space="preserve">      TO GL 1881 GROSS GGST PAYABLE A/C..</t>
        </is>
      </c>
      <c r="C137" s="1880" t="n"/>
      <c r="D137" s="1886">
        <f>+NARAYANNAGAR1!C7</f>
        <v/>
      </c>
      <c r="E137" s="1880" t="n"/>
    </row>
    <row r="138">
      <c r="A138" s="1907" t="n"/>
      <c r="B138" s="794" t="inlineStr">
        <is>
          <t xml:space="preserve">      TO GL 1882 GROSS CGST PAYABLE A/C..</t>
        </is>
      </c>
      <c r="C138" s="1880" t="n"/>
      <c r="D138" s="1886">
        <f>+NARAYANNAGAR1!C8</f>
        <v/>
      </c>
      <c r="E138" s="1880" t="n"/>
    </row>
    <row r="139">
      <c r="A139" s="1907" t="n"/>
      <c r="B139" s="794" t="inlineStr">
        <is>
          <t xml:space="preserve">      TO GL 1883 GROSS IGST PAYABLE A/C..</t>
        </is>
      </c>
      <c r="C139" s="1880" t="n"/>
      <c r="D139" s="1886">
        <f>+NARAYANNAGAR1!C9</f>
        <v/>
      </c>
      <c r="E139" s="1880" t="n"/>
    </row>
    <row r="140">
      <c r="A140" s="1907" t="n"/>
      <c r="B140" s="794" t="inlineStr">
        <is>
          <t>(BEING GST PAYABLE FOR THE MONTH OF</t>
        </is>
      </c>
      <c r="C140" s="1880" t="n"/>
      <c r="D140" s="1886" t="n"/>
      <c r="E140" s="1880" t="n"/>
    </row>
    <row r="141" ht="16.5" customHeight="1">
      <c r="A141" s="1931" t="n"/>
      <c r="B141" s="1888" t="inlineStr">
        <is>
          <t>AUG 2026 TRANSFER FROM BRANCH)</t>
        </is>
      </c>
      <c r="C141" s="1889" t="n"/>
      <c r="D141" s="1890" t="n"/>
      <c r="E141" s="1880" t="n"/>
    </row>
    <row r="142">
      <c r="A142" s="1885" t="n"/>
      <c r="B142" s="794" t="n"/>
      <c r="C142" s="1880" t="n"/>
      <c r="D142" s="1886" t="n"/>
      <c r="E142" s="1880" t="n"/>
    </row>
    <row r="143">
      <c r="A143" s="1885" t="n">
        <v>2</v>
      </c>
      <c r="B143" s="776" t="inlineStr">
        <is>
          <t>GL 8549 GROSS GGST RECEIVABLE A/C. DR….</t>
        </is>
      </c>
      <c r="C143" s="1880">
        <f>+NARAYANNAGAR1!D17/2</f>
        <v/>
      </c>
      <c r="D143" s="1886" t="n"/>
      <c r="E143" s="1880" t="n"/>
    </row>
    <row r="144">
      <c r="A144" s="1885" t="n"/>
      <c r="B144" s="794" t="inlineStr">
        <is>
          <t>GL 8551 GROSS CGST RECEIVABLE A/C. DR….</t>
        </is>
      </c>
      <c r="C144" s="1880">
        <f>+NARAYANNAGAR1!D18/2</f>
        <v/>
      </c>
      <c r="D144" s="1886" t="n"/>
      <c r="E144" s="1880" t="n"/>
    </row>
    <row r="145">
      <c r="A145" s="1907" t="n"/>
      <c r="B145" s="794" t="inlineStr">
        <is>
          <t>GL 8552 GROSS IGST RECEIVABLE A/C. DR….</t>
        </is>
      </c>
      <c r="C145" s="1880">
        <f>+NARAYANNAGAR1!D19/2</f>
        <v/>
      </c>
      <c r="D145" s="1886" t="n"/>
      <c r="E145" s="1880" t="n"/>
    </row>
    <row r="146">
      <c r="A146" s="1907" t="n"/>
      <c r="B146" s="794" t="inlineStr">
        <is>
          <t xml:space="preserve">      TO NARAYANNAGAR</t>
        </is>
      </c>
      <c r="C146" s="1880" t="n"/>
      <c r="D146" s="1886">
        <f>+NARAYANNAGAR1!C15</f>
        <v/>
      </c>
      <c r="E146" s="1880" t="n"/>
    </row>
    <row r="147">
      <c r="A147" s="1907" t="n"/>
      <c r="B147" s="794" t="inlineStr">
        <is>
          <t>(BEING SET OFF OF BRANCH FOR THE MONTH OF</t>
        </is>
      </c>
      <c r="C147" s="1880" t="n"/>
      <c r="D147" s="1886" t="n"/>
      <c r="E147" s="1880" t="n"/>
    </row>
    <row r="148">
      <c r="A148" s="1907" t="n"/>
      <c r="B148" s="794" t="inlineStr">
        <is>
          <t>AUG 2026 TRANSFER FROM BRANCH)</t>
        </is>
      </c>
      <c r="C148" s="1880" t="n"/>
      <c r="D148" s="1886" t="n"/>
      <c r="E148" s="1880" t="n"/>
    </row>
    <row r="149" ht="16.5" customHeight="1">
      <c r="A149" s="1887" t="n"/>
      <c r="B149" s="1888" t="n"/>
      <c r="C149" s="1889" t="n"/>
      <c r="D149" s="1890" t="n"/>
      <c r="E149" s="1880" t="n"/>
    </row>
    <row r="150">
      <c r="A150" s="1885" t="n"/>
      <c r="B150" s="794" t="n"/>
      <c r="C150" s="1880" t="n"/>
      <c r="D150" s="1886" t="n"/>
      <c r="E150" s="1880" t="n"/>
    </row>
    <row r="151">
      <c r="A151" s="968" t="n">
        <v>10</v>
      </c>
      <c r="B151" s="103" t="inlineStr">
        <is>
          <t>MASKATI MARKET</t>
        </is>
      </c>
      <c r="C151" s="1880" t="n"/>
      <c r="D151" s="1886" t="n"/>
      <c r="E151" s="1880" t="n"/>
    </row>
    <row r="152">
      <c r="A152" s="1885" t="n">
        <v>1</v>
      </c>
      <c r="B152" s="794" t="inlineStr">
        <is>
          <t>MASKATI MARKET DR…….</t>
        </is>
      </c>
      <c r="C152" s="1880">
        <f>SUM(D153:D154)</f>
        <v/>
      </c>
      <c r="D152" s="1886" t="n"/>
      <c r="E152" s="1880" t="n"/>
    </row>
    <row r="153">
      <c r="A153" s="1907" t="n"/>
      <c r="B153" s="794" t="inlineStr">
        <is>
          <t xml:space="preserve">      TO GL 1881 GROSS GGST PAYABLE A/C..</t>
        </is>
      </c>
      <c r="C153" s="1880" t="n"/>
      <c r="D153" s="1886">
        <f>+'MASKATI MARKET'!C24</f>
        <v/>
      </c>
      <c r="E153" s="1880" t="n"/>
    </row>
    <row r="154">
      <c r="A154" s="1907" t="n"/>
      <c r="B154" s="794" t="inlineStr">
        <is>
          <t xml:space="preserve">      TO GL 1882 GROSS CGST PAYABLE A/C..</t>
        </is>
      </c>
      <c r="C154" s="1880" t="n"/>
      <c r="D154" s="1886">
        <f>+'MASKATI MARKET'!C25</f>
        <v/>
      </c>
      <c r="E154" s="1880" t="n"/>
    </row>
    <row r="155">
      <c r="A155" s="1907" t="n"/>
      <c r="B155" s="794" t="inlineStr">
        <is>
          <t xml:space="preserve">      TO GL 1883 GROSS IGST PAYABLE A/C..</t>
        </is>
      </c>
      <c r="C155" s="1880" t="n"/>
      <c r="D155" s="1886">
        <f>+'MASKATI MARKET'!C26</f>
        <v/>
      </c>
      <c r="E155" s="1880" t="n"/>
    </row>
    <row r="156">
      <c r="A156" s="1907" t="n"/>
      <c r="B156" s="794" t="inlineStr">
        <is>
          <t>(BEING GST PAYABLE FOR THE MONTH OF</t>
        </is>
      </c>
      <c r="C156" s="1880" t="n"/>
      <c r="D156" s="1886" t="n"/>
      <c r="E156" s="1880" t="n"/>
    </row>
    <row r="157" ht="16.5" customHeight="1">
      <c r="A157" s="1931" t="n"/>
      <c r="B157" s="1888" t="inlineStr">
        <is>
          <t>AUG 2026 TRANSFER FROM BRANCH)</t>
        </is>
      </c>
      <c r="C157" s="1889" t="n"/>
      <c r="D157" s="1890" t="n"/>
      <c r="E157" s="1880" t="n"/>
    </row>
    <row r="158">
      <c r="A158" s="1932" t="n"/>
      <c r="B158" s="1893" t="n"/>
      <c r="C158" s="1905" t="n"/>
      <c r="D158" s="1894" t="n"/>
      <c r="E158" s="1880" t="n"/>
    </row>
    <row r="159">
      <c r="A159" s="1885" t="n">
        <v>2</v>
      </c>
      <c r="B159" s="794" t="inlineStr">
        <is>
          <t>GL 8549 GROSS GGST RECEIVABLE A/C. DR….</t>
        </is>
      </c>
      <c r="C159" s="1880">
        <f>+'MASKATI MARKET'!D34/2</f>
        <v/>
      </c>
      <c r="D159" s="1886" t="n"/>
      <c r="E159" s="1880" t="n"/>
    </row>
    <row r="160">
      <c r="A160" s="1885" t="n"/>
      <c r="B160" s="794" t="inlineStr">
        <is>
          <t>GL 8551 GROSS CGST RECEIVABLE A/C. DR….</t>
        </is>
      </c>
      <c r="C160" s="1880">
        <f>+C159</f>
        <v/>
      </c>
      <c r="D160" s="1886" t="n"/>
      <c r="E160" s="1880" t="n"/>
    </row>
    <row r="161">
      <c r="A161" s="1885" t="n"/>
      <c r="B161" s="794" t="inlineStr">
        <is>
          <t>GL 8552 GROSS IGST RECEIVABLE A/C. DR….</t>
        </is>
      </c>
      <c r="C161" s="1880">
        <f>+'MASKATI MARKET'!D36/2</f>
        <v/>
      </c>
      <c r="D161" s="1886" t="n"/>
      <c r="E161" s="1880" t="n"/>
    </row>
    <row r="162">
      <c r="A162" s="1885" t="n"/>
      <c r="B162" s="794" t="inlineStr">
        <is>
          <t xml:space="preserve">      TO MASKATI MARKET</t>
        </is>
      </c>
      <c r="C162" s="1880" t="n"/>
      <c r="D162" s="1886">
        <f>+'MASKATI MARKET'!C32</f>
        <v/>
      </c>
      <c r="E162" s="1880" t="n"/>
    </row>
    <row r="163">
      <c r="A163" s="1885" t="n"/>
      <c r="B163" s="794" t="inlineStr">
        <is>
          <t>(BEING SET OFF OF BRANCH FOR THE MONTH OF</t>
        </is>
      </c>
      <c r="C163" s="1880" t="n"/>
      <c r="D163" s="1886" t="n"/>
      <c r="E163" s="1880" t="n"/>
    </row>
    <row r="164">
      <c r="A164" s="1885" t="n"/>
      <c r="B164" s="794" t="inlineStr">
        <is>
          <t>AUG 2026 TRANSFER FROM BRANCH)</t>
        </is>
      </c>
      <c r="C164" s="1880" t="n"/>
      <c r="D164" s="1886" t="n"/>
      <c r="E164" s="1880" t="n"/>
    </row>
    <row r="165" ht="16.5" customHeight="1">
      <c r="A165" s="1887" t="n"/>
      <c r="B165" s="1888" t="n"/>
      <c r="C165" s="1889" t="n"/>
      <c r="D165" s="1890" t="n"/>
      <c r="E165" s="1880" t="n"/>
    </row>
    <row r="166">
      <c r="A166" s="1892" t="n"/>
      <c r="B166" s="1893" t="n"/>
      <c r="C166" s="1905" t="n"/>
      <c r="D166" s="1894" t="n"/>
      <c r="E166" s="1880" t="n"/>
    </row>
    <row r="167">
      <c r="A167" s="968" t="n">
        <v>11</v>
      </c>
      <c r="B167" s="103" t="inlineStr">
        <is>
          <t>BOPAL</t>
        </is>
      </c>
      <c r="C167" s="1880" t="n"/>
      <c r="D167" s="1886" t="n"/>
      <c r="E167" s="1880" t="n"/>
    </row>
    <row r="168">
      <c r="A168" s="1885" t="n">
        <v>1</v>
      </c>
      <c r="B168" s="794" t="inlineStr">
        <is>
          <t>BOPAL DR…….</t>
        </is>
      </c>
      <c r="C168" s="1880">
        <f>SUM(D169:D171)</f>
        <v/>
      </c>
      <c r="D168" s="1886" t="n"/>
      <c r="E168" s="1880" t="n"/>
    </row>
    <row r="169">
      <c r="A169" s="1907" t="n"/>
      <c r="B169" s="794" t="inlineStr">
        <is>
          <t xml:space="preserve">      TO GL 1881 GROSS GGST PAYABLE A/C..</t>
        </is>
      </c>
      <c r="C169" s="1880" t="n"/>
      <c r="D169" s="1886">
        <f>+BOPAL1!C7</f>
        <v/>
      </c>
      <c r="E169" s="1880" t="n"/>
    </row>
    <row r="170">
      <c r="A170" s="1907" t="n"/>
      <c r="B170" s="794" t="inlineStr">
        <is>
          <t xml:space="preserve">      TO GL 1882 GROSS CGST PAYABLE A/C..</t>
        </is>
      </c>
      <c r="C170" s="1880" t="n"/>
      <c r="D170" s="1886">
        <f>+BOPAL1!C8</f>
        <v/>
      </c>
      <c r="E170" s="1880" t="n"/>
    </row>
    <row r="171">
      <c r="A171" s="1907" t="n"/>
      <c r="B171" s="794" t="inlineStr">
        <is>
          <t xml:space="preserve">      TO GL 1883 GROSS IGST PAYABLE A/C..</t>
        </is>
      </c>
      <c r="C171" s="1880" t="n"/>
      <c r="D171" s="1886">
        <f>+BOPAL1!C9</f>
        <v/>
      </c>
      <c r="E171" s="1880" t="n"/>
    </row>
    <row r="172">
      <c r="A172" s="1907" t="n"/>
      <c r="B172" s="794" t="inlineStr">
        <is>
          <t>(BEING GST PAYABLE FOR THE MONTH OF</t>
        </is>
      </c>
      <c r="C172" s="1880" t="n"/>
      <c r="D172" s="1886" t="n"/>
      <c r="E172" s="1880" t="n"/>
    </row>
    <row r="173" ht="16.5" customHeight="1">
      <c r="A173" s="1931" t="n"/>
      <c r="B173" s="1888" t="inlineStr">
        <is>
          <t>AUG 2026 TRANSFER FROM BRANCH)</t>
        </is>
      </c>
      <c r="C173" s="1889" t="n"/>
      <c r="D173" s="1890" t="n"/>
      <c r="E173" s="1880" t="n"/>
    </row>
    <row r="174">
      <c r="A174" s="1907" t="n"/>
      <c r="B174" s="794" t="n"/>
      <c r="C174" s="1880" t="n"/>
      <c r="D174" s="1886" t="n"/>
      <c r="E174" s="1934" t="n"/>
    </row>
    <row r="175">
      <c r="A175" s="1885" t="n">
        <v>2</v>
      </c>
      <c r="B175" s="794" t="inlineStr">
        <is>
          <t>GL 8549 GROSS GGST RECEIVABLE A/C. DR….</t>
        </is>
      </c>
      <c r="C175" s="1886">
        <f>+BOPAL1!D17/2</f>
        <v/>
      </c>
      <c r="D175" s="1886" t="n"/>
      <c r="E175" s="1910" t="n"/>
    </row>
    <row r="176">
      <c r="A176" s="1885" t="n"/>
      <c r="B176" s="794" t="inlineStr">
        <is>
          <t>GL 8551 GROSS CGST RECEIVABLE A/C. DR….</t>
        </is>
      </c>
      <c r="C176" s="1880">
        <f>+C175</f>
        <v/>
      </c>
      <c r="D176" s="1886" t="n"/>
      <c r="E176" s="1910" t="n"/>
    </row>
    <row r="177">
      <c r="A177" s="1885" t="n"/>
      <c r="B177" s="794" t="inlineStr">
        <is>
          <t>GL 8552 GROSS IGST RECEIVABLE A/C. DR….</t>
        </is>
      </c>
      <c r="C177" s="1880">
        <f>+BOPAL1!D19/2</f>
        <v/>
      </c>
      <c r="D177" s="1886" t="n"/>
      <c r="E177" s="1910" t="n"/>
    </row>
    <row r="178">
      <c r="A178" s="1885" t="n"/>
      <c r="B178" s="794" t="inlineStr">
        <is>
          <t xml:space="preserve">      TO BOPAL</t>
        </is>
      </c>
      <c r="C178" s="1880" t="n"/>
      <c r="D178" s="1886">
        <f>+BOPAL1!C15</f>
        <v/>
      </c>
      <c r="E178" s="1910" t="n"/>
    </row>
    <row r="179">
      <c r="A179" s="1885" t="n"/>
      <c r="B179" s="794" t="inlineStr">
        <is>
          <t>(BEING SET OFF OF BRANCH FOR THE MONTH OF</t>
        </is>
      </c>
      <c r="C179" s="1880" t="n"/>
      <c r="D179" s="1886" t="n"/>
      <c r="E179" s="1910" t="n"/>
    </row>
    <row r="180">
      <c r="A180" s="1885" t="n"/>
      <c r="B180" s="794" t="inlineStr">
        <is>
          <t>AUG 2026 TRANSFER FROM BRANCH)</t>
        </is>
      </c>
      <c r="C180" s="1880" t="n"/>
      <c r="D180" s="1886" t="n"/>
      <c r="E180" s="1880" t="n"/>
    </row>
    <row r="181" ht="16.5" customHeight="1">
      <c r="A181" s="1887" t="n"/>
      <c r="B181" s="1888" t="n"/>
      <c r="C181" s="1889" t="n"/>
      <c r="D181" s="1890" t="n"/>
      <c r="E181" s="1880" t="n"/>
    </row>
    <row r="182">
      <c r="A182" s="1885" t="n"/>
      <c r="B182" s="794" t="n"/>
      <c r="C182" s="1880" t="n"/>
      <c r="D182" s="1886" t="n"/>
      <c r="E182" s="1880" t="n"/>
    </row>
    <row r="183">
      <c r="A183" s="968" t="n">
        <v>12</v>
      </c>
      <c r="B183" s="103" t="inlineStr">
        <is>
          <t>VEJALPUR</t>
        </is>
      </c>
      <c r="C183" s="1880" t="n"/>
      <c r="D183" s="1886" t="n"/>
      <c r="E183" s="1880" t="n"/>
    </row>
    <row r="184">
      <c r="A184" s="1885" t="n">
        <v>1</v>
      </c>
      <c r="B184" s="794" t="inlineStr">
        <is>
          <t>VEJALPUR DR…….</t>
        </is>
      </c>
      <c r="C184" s="1880">
        <f>SUM(D185:D187)</f>
        <v/>
      </c>
      <c r="D184" s="1886" t="n"/>
      <c r="E184" s="1880" t="n"/>
    </row>
    <row r="185">
      <c r="A185" s="1907" t="n"/>
      <c r="B185" s="794" t="inlineStr">
        <is>
          <t xml:space="preserve">      TO GL 1881 GROSS GGST PAYABLE A/C..</t>
        </is>
      </c>
      <c r="C185" s="1880" t="n"/>
      <c r="D185" s="1886">
        <f>+VEJALPUR1!C7</f>
        <v/>
      </c>
      <c r="E185" s="1880" t="n"/>
    </row>
    <row r="186">
      <c r="A186" s="1907" t="n"/>
      <c r="B186" s="794" t="inlineStr">
        <is>
          <t xml:space="preserve">      TO GL 1882 GROSS CGST PAYABLE A/C..</t>
        </is>
      </c>
      <c r="C186" s="1880" t="n"/>
      <c r="D186" s="1886">
        <f>+VEJALPUR1!C8</f>
        <v/>
      </c>
      <c r="E186" s="1880" t="n"/>
    </row>
    <row r="187">
      <c r="A187" s="1907" t="n"/>
      <c r="B187" s="794" t="inlineStr">
        <is>
          <t xml:space="preserve">      TO GL 1883 GROSS IGST PAYABLE A/C..</t>
        </is>
      </c>
      <c r="C187" s="1880" t="n"/>
      <c r="D187" s="1886">
        <f>+VEJALPUR1!C9</f>
        <v/>
      </c>
      <c r="E187" s="1880" t="n"/>
    </row>
    <row r="188">
      <c r="A188" s="1907" t="n"/>
      <c r="B188" s="794" t="inlineStr">
        <is>
          <t>(BEING GST PAYABLE FOR THE MONTH OF</t>
        </is>
      </c>
      <c r="C188" s="1880" t="n"/>
      <c r="D188" s="1886" t="n"/>
      <c r="E188" s="1880" t="n"/>
    </row>
    <row r="189" ht="16.5" customHeight="1">
      <c r="A189" s="1931" t="n"/>
      <c r="B189" s="1888" t="inlineStr">
        <is>
          <t>AUG 2026 TRANSFER FROM BRANCH)</t>
        </is>
      </c>
      <c r="C189" s="1889" t="n"/>
      <c r="D189" s="1890" t="n"/>
      <c r="E189" s="1880" t="n"/>
    </row>
    <row r="190">
      <c r="A190" s="1907" t="n"/>
      <c r="B190" s="794" t="n"/>
      <c r="C190" s="1880" t="n"/>
      <c r="D190" s="1886" t="n"/>
      <c r="E190" s="1880" t="n"/>
    </row>
    <row r="191">
      <c r="A191" s="1885" t="n">
        <v>2</v>
      </c>
      <c r="B191" s="794" t="inlineStr">
        <is>
          <t>GL 8549 GROSS GGST RECEIVABLE A/C. DR….</t>
        </is>
      </c>
      <c r="C191" s="1880">
        <f>+VEJALPUR1!D17/2</f>
        <v/>
      </c>
      <c r="D191" s="1886" t="n"/>
      <c r="E191" s="1880" t="n"/>
    </row>
    <row r="192">
      <c r="A192" s="1885" t="n"/>
      <c r="B192" s="794" t="inlineStr">
        <is>
          <t>GL 8551 GROSS CGST RECEIVABLE A/C. DR….</t>
        </is>
      </c>
      <c r="C192" s="1880">
        <f>+C191</f>
        <v/>
      </c>
      <c r="D192" s="1886" t="n"/>
      <c r="E192" s="1880" t="n"/>
    </row>
    <row r="193">
      <c r="A193" s="1885" t="n"/>
      <c r="B193" s="794" t="inlineStr">
        <is>
          <t>GL 8552 GROSS IGST RECEIVABLE A/C. DR….</t>
        </is>
      </c>
      <c r="C193" s="1880">
        <f>+VEJALPUR1!D19/2</f>
        <v/>
      </c>
      <c r="D193" s="1886" t="n"/>
      <c r="E193" s="1880" t="n"/>
    </row>
    <row r="194">
      <c r="A194" s="1885" t="n"/>
      <c r="B194" s="794" t="inlineStr">
        <is>
          <t xml:space="preserve">      TO VEJALPUR</t>
        </is>
      </c>
      <c r="C194" s="1880" t="n"/>
      <c r="D194" s="1886">
        <f>+VEJALPUR1!C15</f>
        <v/>
      </c>
      <c r="E194" s="1880" t="n"/>
    </row>
    <row r="195">
      <c r="A195" s="1885" t="n"/>
      <c r="B195" s="794" t="inlineStr">
        <is>
          <t>(BEING SET OFF OF BRANCH FOR THE MONTH OF</t>
        </is>
      </c>
      <c r="C195" s="1880" t="n"/>
      <c r="D195" s="1886" t="n"/>
      <c r="E195" s="1880" t="n"/>
    </row>
    <row r="196">
      <c r="A196" s="1885" t="n"/>
      <c r="B196" s="794" t="inlineStr">
        <is>
          <t>AUG 2026 TRANSFER FROM BRANCH)</t>
        </is>
      </c>
      <c r="C196" s="1880" t="n"/>
      <c r="D196" s="1886" t="n"/>
      <c r="E196" s="1880" t="n"/>
    </row>
    <row r="197" ht="16.5" customHeight="1">
      <c r="A197" s="1887" t="n"/>
      <c r="B197" s="1888" t="n"/>
      <c r="C197" s="1889" t="n"/>
      <c r="D197" s="1890" t="n"/>
      <c r="E197" s="1880" t="n"/>
    </row>
    <row r="198">
      <c r="A198" s="1885" t="n"/>
      <c r="B198" s="794" t="n"/>
      <c r="C198" s="1880" t="n"/>
      <c r="D198" s="1886" t="n"/>
      <c r="E198" s="1880" t="n"/>
    </row>
    <row r="199">
      <c r="A199" s="968" t="n">
        <v>13</v>
      </c>
      <c r="B199" s="103" t="inlineStr">
        <is>
          <t>BAPUNAGAR</t>
        </is>
      </c>
      <c r="C199" s="1880" t="n"/>
      <c r="D199" s="1886" t="n"/>
      <c r="E199" s="1880" t="n"/>
    </row>
    <row r="200">
      <c r="A200" s="1885" t="n">
        <v>1</v>
      </c>
      <c r="B200" s="794" t="inlineStr">
        <is>
          <t>BAPUNAGAR DR…….</t>
        </is>
      </c>
      <c r="C200" s="1880">
        <f>SUM(D201:D203)</f>
        <v/>
      </c>
      <c r="D200" s="1886" t="n"/>
      <c r="E200" s="1880" t="n"/>
    </row>
    <row r="201">
      <c r="A201" s="1907" t="n"/>
      <c r="B201" s="794" t="inlineStr">
        <is>
          <t xml:space="preserve">      TO GL 1881 GROSS GGST PAYABLE A/C..</t>
        </is>
      </c>
      <c r="C201" s="1880" t="n"/>
      <c r="D201" s="1886">
        <f>+BAPUNAGAR1!C7</f>
        <v/>
      </c>
      <c r="E201" s="1880" t="n"/>
    </row>
    <row r="202">
      <c r="A202" s="1907" t="n"/>
      <c r="B202" s="794" t="inlineStr">
        <is>
          <t xml:space="preserve">      TO GL 1882 GROSS CGST PAYABLE A/C..</t>
        </is>
      </c>
      <c r="C202" s="1880" t="n"/>
      <c r="D202" s="1886">
        <f>+BAPUNAGAR1!C8</f>
        <v/>
      </c>
      <c r="E202" s="1880" t="n"/>
    </row>
    <row r="203">
      <c r="A203" s="1907" t="n"/>
      <c r="B203" s="794" t="inlineStr">
        <is>
          <t xml:space="preserve">      TO GL 1883 GROSS IGST PAYABLE A/C..</t>
        </is>
      </c>
      <c r="C203" s="1880" t="n"/>
      <c r="D203" s="1886">
        <f>+BAPUNAGAR1!C9</f>
        <v/>
      </c>
      <c r="E203" s="1880" t="n"/>
    </row>
    <row r="204">
      <c r="A204" s="1907" t="n"/>
      <c r="B204" s="794" t="inlineStr">
        <is>
          <t>(BEING GST PAYABLE FOR THE MONTH OF</t>
        </is>
      </c>
      <c r="C204" s="1880" t="n"/>
      <c r="D204" s="1886" t="n"/>
      <c r="E204" s="1880" t="n"/>
    </row>
    <row r="205" ht="16.5" customHeight="1">
      <c r="A205" s="1931" t="n"/>
      <c r="B205" s="1888" t="inlineStr">
        <is>
          <t>AUG 2026 TRANSFER FROM BRANCH)</t>
        </is>
      </c>
      <c r="C205" s="1889" t="n"/>
      <c r="D205" s="1890" t="n"/>
      <c r="E205" s="1880" t="n"/>
    </row>
    <row r="206">
      <c r="A206" s="1907" t="n"/>
      <c r="B206" s="794" t="n"/>
      <c r="C206" s="1880" t="n"/>
      <c r="D206" s="1886" t="n"/>
      <c r="E206" s="1880" t="n"/>
    </row>
    <row r="207">
      <c r="A207" s="1885" t="n">
        <v>2</v>
      </c>
      <c r="B207" s="794" t="inlineStr">
        <is>
          <t>GL 8549 GROSS GGST RECEIVABLE A/C. DR….</t>
        </is>
      </c>
      <c r="C207" s="1880">
        <f>+BAPUNAGAR1!D17/2</f>
        <v/>
      </c>
      <c r="D207" s="1886" t="n"/>
      <c r="E207" s="1880" t="n"/>
    </row>
    <row r="208">
      <c r="A208" s="1885" t="n"/>
      <c r="B208" s="794" t="inlineStr">
        <is>
          <t>GL 8551 GROSS CGST RECEIVABLE A/C. DR….</t>
        </is>
      </c>
      <c r="C208" s="1880">
        <f>+BAPUNAGAR1!D18/2</f>
        <v/>
      </c>
      <c r="D208" s="1886" t="n"/>
      <c r="E208" s="1880" t="n"/>
    </row>
    <row r="209">
      <c r="A209" s="1885" t="n"/>
      <c r="B209" s="794" t="inlineStr">
        <is>
          <t>GL 8552 GROSS IGST RECEIVABLE A/C. DR….</t>
        </is>
      </c>
      <c r="C209" s="1880">
        <f>+BAPUNAGAR1!D19/2</f>
        <v/>
      </c>
      <c r="D209" s="1886" t="n"/>
      <c r="E209" s="1880" t="n"/>
    </row>
    <row r="210">
      <c r="A210" s="1885" t="n"/>
      <c r="B210" s="794" t="inlineStr">
        <is>
          <t xml:space="preserve">      TO BAPUNAGAR</t>
        </is>
      </c>
      <c r="C210" s="1880" t="n"/>
      <c r="D210" s="1886">
        <f>+BAPUNAGAR1!C15</f>
        <v/>
      </c>
      <c r="E210" s="1880" t="n"/>
    </row>
    <row r="211">
      <c r="A211" s="1885" t="n"/>
      <c r="B211" s="794" t="inlineStr">
        <is>
          <t>(BEING SET OFF OF BRANCH FOR THE MONTH OF</t>
        </is>
      </c>
      <c r="C211" s="1880" t="n"/>
      <c r="D211" s="1886" t="n"/>
      <c r="E211" s="1880" t="n"/>
    </row>
    <row r="212">
      <c r="A212" s="1885" t="n"/>
      <c r="B212" s="794" t="inlineStr">
        <is>
          <t>AUG 2026 TRANSFER FROM BRANCH)</t>
        </is>
      </c>
      <c r="C212" s="1880" t="n"/>
      <c r="D212" s="1886" t="n"/>
      <c r="E212" s="1880" t="n"/>
    </row>
    <row r="213" ht="16.5" customHeight="1">
      <c r="A213" s="1887" t="n"/>
      <c r="B213" s="1888" t="n"/>
      <c r="C213" s="1889" t="n"/>
      <c r="D213" s="1890" t="n"/>
      <c r="E213" s="1880" t="n"/>
    </row>
    <row r="214">
      <c r="A214" s="1885" t="n"/>
      <c r="B214" s="794" t="n"/>
      <c r="C214" s="1880" t="n"/>
      <c r="D214" s="1886" t="n"/>
      <c r="E214" s="1880" t="n"/>
    </row>
    <row r="215">
      <c r="A215" s="968" t="n">
        <v>14</v>
      </c>
      <c r="B215" s="103" t="inlineStr">
        <is>
          <t>SURAT</t>
        </is>
      </c>
      <c r="C215" s="1880" t="n"/>
      <c r="D215" s="1886" t="n"/>
      <c r="E215" s="1880" t="n"/>
    </row>
    <row r="216">
      <c r="A216" s="1885" t="n">
        <v>1</v>
      </c>
      <c r="B216" s="794" t="inlineStr">
        <is>
          <t>SURAT DR…….</t>
        </is>
      </c>
      <c r="C216" s="1880">
        <f>SUM(D217:D219)</f>
        <v/>
      </c>
      <c r="D216" s="1886" t="n"/>
      <c r="E216" s="1880" t="n"/>
    </row>
    <row r="217">
      <c r="A217" s="1907" t="n"/>
      <c r="B217" s="794" t="inlineStr">
        <is>
          <t xml:space="preserve">      TO GL 1881 GROSS GGST PAYABLE A/C..</t>
        </is>
      </c>
      <c r="C217" s="1880" t="n"/>
      <c r="D217" s="1886">
        <f>+SURAT1!C7</f>
        <v/>
      </c>
      <c r="E217" s="1880" t="n"/>
    </row>
    <row r="218">
      <c r="A218" s="1907" t="n"/>
      <c r="B218" s="794" t="inlineStr">
        <is>
          <t xml:space="preserve">      TO GL 1882 GROSS CGST PAYABLE A/C..</t>
        </is>
      </c>
      <c r="C218" s="1880" t="n"/>
      <c r="D218" s="1886">
        <f>+SURAT1!C8</f>
        <v/>
      </c>
      <c r="E218" s="1880" t="n"/>
    </row>
    <row r="219">
      <c r="A219" s="1907" t="n"/>
      <c r="B219" s="794" t="inlineStr">
        <is>
          <t xml:space="preserve">      TO GL 1883 GROSS IGST PAYABLE A/C..</t>
        </is>
      </c>
      <c r="C219" s="1880" t="n"/>
      <c r="D219" s="1886">
        <f>+SURAT1!C9/2</f>
        <v/>
      </c>
      <c r="E219" s="1880" t="n"/>
    </row>
    <row r="220">
      <c r="A220" s="1907" t="n"/>
      <c r="B220" s="794" t="inlineStr">
        <is>
          <t>(BEING GST PAYABLE FOR THE MONTH OF</t>
        </is>
      </c>
      <c r="C220" s="1880" t="n"/>
      <c r="D220" s="1886" t="n"/>
      <c r="E220" s="1880" t="n"/>
    </row>
    <row r="221" ht="16.5" customHeight="1">
      <c r="A221" s="1931" t="n"/>
      <c r="B221" s="1888" t="inlineStr">
        <is>
          <t>AUG 2026 TRANSFER FROM BRANCH)</t>
        </is>
      </c>
      <c r="C221" s="1889" t="n"/>
      <c r="D221" s="1890" t="n"/>
      <c r="E221" s="1880" t="n"/>
    </row>
    <row r="222">
      <c r="A222" s="1907" t="n"/>
      <c r="B222" s="794" t="n"/>
      <c r="C222" s="1880" t="n"/>
      <c r="D222" s="1886" t="n"/>
      <c r="E222" s="1880" t="n"/>
    </row>
    <row r="223">
      <c r="A223" s="1885" t="n">
        <v>2</v>
      </c>
      <c r="B223" s="794" t="inlineStr">
        <is>
          <t>GL 8549 GROSS GGST RECEIVABLE A/C. DR….</t>
        </is>
      </c>
      <c r="C223" s="1880">
        <f>+SURAT1!D17/2</f>
        <v/>
      </c>
      <c r="D223" s="1886" t="n"/>
      <c r="E223" s="1880" t="n"/>
    </row>
    <row r="224">
      <c r="A224" s="1885" t="n"/>
      <c r="B224" s="794" t="inlineStr">
        <is>
          <t>GL 8551 GROSS CGST RECEIVABLE A/C. DR….</t>
        </is>
      </c>
      <c r="C224" s="1880">
        <f>+C223</f>
        <v/>
      </c>
      <c r="D224" s="1886" t="n"/>
      <c r="E224" s="1880" t="n"/>
    </row>
    <row r="225">
      <c r="A225" s="1885" t="n"/>
      <c r="B225" s="794" t="inlineStr">
        <is>
          <t>GL 8552 GROSS IGST RECEIVABLE A/C. DR….</t>
        </is>
      </c>
      <c r="C225" s="1880">
        <f>+SURAT1!D19/2</f>
        <v/>
      </c>
      <c r="D225" s="1886" t="n"/>
      <c r="E225" s="1880" t="n"/>
    </row>
    <row r="226">
      <c r="A226" s="1885" t="n"/>
      <c r="B226" s="794" t="inlineStr">
        <is>
          <t xml:space="preserve">      TO SURAT</t>
        </is>
      </c>
      <c r="C226" s="1880" t="n"/>
      <c r="D226" s="1886">
        <f>+SURAT1!C15</f>
        <v/>
      </c>
      <c r="E226" s="1880" t="n"/>
    </row>
    <row r="227">
      <c r="A227" s="1885" t="n"/>
      <c r="B227" s="794" t="inlineStr">
        <is>
          <t>(BEING SET OFF OF BRANCH FOR THE MONTH OF</t>
        </is>
      </c>
      <c r="C227" s="1880" t="n"/>
      <c r="D227" s="1886" t="n"/>
      <c r="E227" s="1880" t="n"/>
    </row>
    <row r="228">
      <c r="A228" s="1885" t="n"/>
      <c r="B228" s="794" t="inlineStr">
        <is>
          <t>AUG 2026 TRANSFER FROM BRANCH)</t>
        </is>
      </c>
      <c r="C228" s="1880" t="n"/>
      <c r="D228" s="1886" t="n"/>
      <c r="E228" s="1880" t="n"/>
    </row>
    <row r="229" ht="16.5" customHeight="1">
      <c r="A229" s="1887" t="n"/>
      <c r="B229" s="1888" t="n"/>
      <c r="C229" s="1889" t="n"/>
      <c r="D229" s="1890" t="n"/>
      <c r="E229" s="1880" t="n"/>
    </row>
    <row r="230">
      <c r="A230" s="1885" t="n"/>
      <c r="B230" s="794" t="n"/>
      <c r="C230" s="1880" t="n"/>
      <c r="D230" s="1886" t="n"/>
      <c r="E230" s="1880" t="n"/>
    </row>
    <row r="231">
      <c r="A231" s="968" t="n">
        <v>15</v>
      </c>
      <c r="B231" s="103" t="inlineStr">
        <is>
          <t>CHANGODAR</t>
        </is>
      </c>
      <c r="C231" s="1880" t="n"/>
      <c r="D231" s="1886" t="n"/>
      <c r="E231" s="1880" t="n"/>
    </row>
    <row r="232">
      <c r="A232" s="1885" t="n">
        <v>1</v>
      </c>
      <c r="B232" s="794" t="inlineStr">
        <is>
          <t>CHANGODAR DR…….</t>
        </is>
      </c>
      <c r="C232" s="1880">
        <f>SUM(D233:D235)</f>
        <v/>
      </c>
      <c r="D232" s="1886" t="n"/>
      <c r="E232" s="1880" t="n"/>
    </row>
    <row r="233">
      <c r="A233" s="1907" t="n"/>
      <c r="B233" s="794" t="inlineStr">
        <is>
          <t xml:space="preserve">      TO GL 1881 GROSS GGST PAYABLE A/C..</t>
        </is>
      </c>
      <c r="C233" s="1880" t="n"/>
      <c r="D233" s="1886">
        <f>+CHANGODAR1!C7</f>
        <v/>
      </c>
      <c r="E233" s="1880" t="n"/>
    </row>
    <row r="234">
      <c r="A234" s="1907" t="n"/>
      <c r="B234" s="794" t="inlineStr">
        <is>
          <t xml:space="preserve">      TO GL 1882 GROSS CGST PAYABLE A/C..</t>
        </is>
      </c>
      <c r="C234" s="1880" t="n"/>
      <c r="D234" s="1886">
        <f>+CHANGODAR1!C8</f>
        <v/>
      </c>
      <c r="E234" s="1880" t="n"/>
    </row>
    <row r="235">
      <c r="A235" s="1907" t="n"/>
      <c r="B235" s="794" t="inlineStr">
        <is>
          <t xml:space="preserve">      TO GL 1883 GROSS IGST PAYABLE A/C..</t>
        </is>
      </c>
      <c r="C235" s="1880" t="n"/>
      <c r="D235" s="1886">
        <f>+CHANGODAR1!C9</f>
        <v/>
      </c>
      <c r="E235" s="1880" t="n"/>
    </row>
    <row r="236">
      <c r="A236" s="1907" t="n"/>
      <c r="B236" s="794" t="inlineStr">
        <is>
          <t>(BEING GST PAYABLE FOR THE MONTH OF</t>
        </is>
      </c>
      <c r="C236" s="1880" t="n"/>
      <c r="D236" s="1886" t="n"/>
      <c r="E236" s="1880" t="n"/>
    </row>
    <row r="237" ht="16.5" customHeight="1">
      <c r="A237" s="1931" t="n"/>
      <c r="B237" s="1888" t="inlineStr">
        <is>
          <t>AUG 2026 TRANSFER FROM BRANCH)</t>
        </is>
      </c>
      <c r="C237" s="1889" t="n"/>
      <c r="D237" s="1890" t="n"/>
      <c r="E237" s="1880" t="n"/>
    </row>
    <row r="238">
      <c r="A238" s="1932" t="n"/>
      <c r="B238" s="1893" t="n"/>
      <c r="C238" s="1905" t="n"/>
      <c r="D238" s="1894" t="n"/>
      <c r="E238" s="1880" t="n"/>
    </row>
    <row r="239">
      <c r="A239" s="1885" t="n">
        <v>2</v>
      </c>
      <c r="B239" s="794" t="inlineStr">
        <is>
          <t>GL 8549 GROSS GGST RECEIVABLE A/C. DR….</t>
        </is>
      </c>
      <c r="C239" s="1880">
        <f>+CHANGODAR1!D17/2</f>
        <v/>
      </c>
      <c r="D239" s="1886" t="n"/>
      <c r="E239" s="1935" t="n"/>
    </row>
    <row r="240">
      <c r="A240" s="1885" t="n"/>
      <c r="B240" s="794" t="inlineStr">
        <is>
          <t>GL 8551 GROSS CGST RECEIVABLE A/C. DR….</t>
        </is>
      </c>
      <c r="C240" s="1880">
        <f>+C239</f>
        <v/>
      </c>
      <c r="D240" s="1886" t="n"/>
      <c r="E240" s="1910" t="n"/>
    </row>
    <row r="241">
      <c r="A241" s="1885" t="n"/>
      <c r="B241" s="794" t="inlineStr">
        <is>
          <t>GL 8552 GROSS IGST RECEIVABLE A/C. DR….</t>
        </is>
      </c>
      <c r="C241" s="1880">
        <f>+CHANGODAR1!D19/2</f>
        <v/>
      </c>
      <c r="D241" s="1886" t="n"/>
      <c r="E241" s="1910" t="n"/>
    </row>
    <row r="242">
      <c r="A242" s="1885" t="n"/>
      <c r="B242" s="794" t="inlineStr">
        <is>
          <t xml:space="preserve">      TO CHANGODAR</t>
        </is>
      </c>
      <c r="C242" s="1880" t="n"/>
      <c r="D242" s="1886">
        <f>+CHANGODAR1!C15</f>
        <v/>
      </c>
      <c r="E242" s="1910" t="n"/>
    </row>
    <row r="243">
      <c r="A243" s="1885" t="n"/>
      <c r="B243" s="794" t="inlineStr">
        <is>
          <t>(BEING SET OFF OF BRANCH FOR THE MONTH OF</t>
        </is>
      </c>
      <c r="C243" s="1880" t="n"/>
      <c r="D243" s="1886" t="n"/>
      <c r="E243" s="1910" t="n"/>
    </row>
    <row r="244">
      <c r="A244" s="1885" t="n"/>
      <c r="B244" s="794" t="inlineStr">
        <is>
          <t>AUG 2026 TRANSFER FROM BRANCH)</t>
        </is>
      </c>
      <c r="C244" s="1880" t="n"/>
      <c r="D244" s="1886" t="n"/>
      <c r="E244" s="1910" t="n"/>
    </row>
    <row r="245" ht="16.5" customHeight="1">
      <c r="A245" s="1887" t="n"/>
      <c r="B245" s="1888" t="n"/>
      <c r="C245" s="1889" t="n"/>
      <c r="D245" s="1890" t="n"/>
      <c r="E245" s="1880" t="n"/>
    </row>
    <row r="246">
      <c r="A246" s="1892" t="n"/>
      <c r="B246" s="1893" t="n"/>
      <c r="C246" s="1905" t="n"/>
      <c r="D246" s="1894" t="n"/>
      <c r="E246" s="1880" t="n"/>
    </row>
    <row r="247">
      <c r="A247" s="968" t="n">
        <v>16</v>
      </c>
      <c r="B247" s="103" t="inlineStr">
        <is>
          <t>LAW GARDEN</t>
        </is>
      </c>
      <c r="C247" s="1880" t="n"/>
      <c r="D247" s="1886" t="n"/>
      <c r="E247" s="1880" t="n"/>
    </row>
    <row r="248">
      <c r="A248" s="1885" t="n">
        <v>1</v>
      </c>
      <c r="B248" s="794" t="inlineStr">
        <is>
          <t>LAW GARDEN DR…….</t>
        </is>
      </c>
      <c r="C248" s="1880">
        <f>SUM(D249:D251)</f>
        <v/>
      </c>
      <c r="D248" s="1886" t="n"/>
      <c r="E248" s="1880" t="n"/>
    </row>
    <row r="249">
      <c r="A249" s="1907" t="n"/>
      <c r="B249" s="794" t="inlineStr">
        <is>
          <t xml:space="preserve">      TO GL 1881 GROSS GGST PAYABLE A/C..</t>
        </is>
      </c>
      <c r="C249" s="1880" t="n"/>
      <c r="D249" s="1886">
        <f>+LAWGARGEN1!C7</f>
        <v/>
      </c>
      <c r="E249" s="1880" t="n"/>
    </row>
    <row r="250">
      <c r="A250" s="1907" t="n"/>
      <c r="B250" s="794" t="inlineStr">
        <is>
          <t xml:space="preserve">      TO GL 1882 GROSS CGST PAYABLE A/C..</t>
        </is>
      </c>
      <c r="C250" s="1880" t="n"/>
      <c r="D250" s="1886">
        <f>+LAWGARGEN1!C8</f>
        <v/>
      </c>
      <c r="E250" s="1880" t="n"/>
    </row>
    <row r="251">
      <c r="A251" s="1907" t="n"/>
      <c r="B251" s="794" t="inlineStr">
        <is>
          <t xml:space="preserve">      TO GL 1883 GROSS IGST PAYABLE A/C..</t>
        </is>
      </c>
      <c r="C251" s="1880" t="n"/>
      <c r="D251" s="1886">
        <f>+LAWGARGEN1!C9</f>
        <v/>
      </c>
      <c r="E251" s="1880" t="n"/>
    </row>
    <row r="252">
      <c r="A252" s="1907" t="n"/>
      <c r="B252" s="794" t="inlineStr">
        <is>
          <t>(BEING GST PAYABLE FOR THE MONTH OF</t>
        </is>
      </c>
      <c r="C252" s="1880" t="n"/>
      <c r="D252" s="1886" t="n"/>
      <c r="E252" s="1880" t="n"/>
    </row>
    <row r="253" ht="16.5" customHeight="1">
      <c r="A253" s="1931" t="n"/>
      <c r="B253" s="1888" t="inlineStr">
        <is>
          <t>AUG 2026 TRANSFER FROM BRANCH)</t>
        </is>
      </c>
      <c r="C253" s="1889" t="n"/>
      <c r="D253" s="1890" t="n"/>
      <c r="E253" s="1880" t="n"/>
    </row>
    <row r="254">
      <c r="A254" s="1907" t="n"/>
      <c r="B254" s="794" t="n"/>
      <c r="C254" s="1880" t="n"/>
      <c r="D254" s="1886" t="n"/>
      <c r="E254" s="1880" t="n"/>
    </row>
    <row r="255">
      <c r="A255" s="1885" t="n">
        <v>2</v>
      </c>
      <c r="B255" s="794" t="inlineStr">
        <is>
          <t>GL 8549 GROSS GGST RECEIVABLE A/C. DR….</t>
        </is>
      </c>
      <c r="C255" s="1880">
        <f>+LAWGARGEN1!D23/2</f>
        <v/>
      </c>
      <c r="D255" s="1886" t="n"/>
      <c r="E255" s="1880" t="n"/>
    </row>
    <row r="256">
      <c r="A256" s="1885" t="n"/>
      <c r="B256" s="794" t="inlineStr">
        <is>
          <t>GL 8551 GROSS CGST RECEIVABLE A/C. DR….</t>
        </is>
      </c>
      <c r="C256" s="1880">
        <f>+C255</f>
        <v/>
      </c>
      <c r="D256" s="1886" t="n"/>
      <c r="E256" s="1935" t="n"/>
    </row>
    <row r="257">
      <c r="A257" s="1885" t="n"/>
      <c r="B257" s="794" t="inlineStr">
        <is>
          <t>GL 8552 GROSS IGST RECEIVABLE A/C. DR….</t>
        </is>
      </c>
      <c r="C257" s="1880">
        <f>+LAWGARGEN1!D25/2</f>
        <v/>
      </c>
      <c r="D257" s="1886" t="n"/>
      <c r="E257" s="1910" t="n"/>
    </row>
    <row r="258">
      <c r="A258" s="1885" t="n"/>
      <c r="B258" s="794" t="inlineStr">
        <is>
          <t xml:space="preserve">      TO LAW GARDEN</t>
        </is>
      </c>
      <c r="C258" s="1880" t="n"/>
      <c r="D258" s="1886">
        <f>+LAWGARGEN1!C21</f>
        <v/>
      </c>
      <c r="E258" s="1910" t="n"/>
    </row>
    <row r="259">
      <c r="A259" s="1885" t="n"/>
      <c r="B259" s="794" t="inlineStr">
        <is>
          <t>(BEING SET OFF OF BRANCH FOR THE MONTH OF</t>
        </is>
      </c>
      <c r="C259" s="1880" t="n"/>
      <c r="D259" s="1886" t="n"/>
      <c r="E259" s="1910" t="n"/>
    </row>
    <row r="260">
      <c r="A260" s="1885" t="n"/>
      <c r="B260" s="794" t="inlineStr">
        <is>
          <t>AUG 2026 TRANSFER FROM BRANCH)</t>
        </is>
      </c>
      <c r="C260" s="1880" t="n"/>
      <c r="D260" s="1886" t="n"/>
      <c r="E260" s="1910" t="n"/>
    </row>
    <row r="261" ht="16.5" customHeight="1">
      <c r="A261" s="1887" t="n"/>
      <c r="B261" s="1888" t="n"/>
      <c r="C261" s="1889" t="n"/>
      <c r="D261" s="1890" t="n"/>
      <c r="E261" s="1910" t="n"/>
    </row>
    <row r="262">
      <c r="A262" s="1885" t="n"/>
      <c r="B262" s="794" t="n"/>
      <c r="C262" s="1880" t="n"/>
      <c r="D262" s="1886" t="n"/>
      <c r="E262" s="1880" t="n"/>
    </row>
    <row r="263">
      <c r="A263" s="968" t="n">
        <v>17</v>
      </c>
      <c r="B263" s="103" t="inlineStr">
        <is>
          <t>JODHPUR/SATTELITE</t>
        </is>
      </c>
      <c r="C263" s="1880" t="n"/>
      <c r="D263" s="1886" t="n"/>
      <c r="E263" s="1880" t="n"/>
    </row>
    <row r="264">
      <c r="A264" s="1885" t="n">
        <v>1</v>
      </c>
      <c r="B264" s="794" t="inlineStr">
        <is>
          <t>JODHPUR DR…….</t>
        </is>
      </c>
      <c r="C264" s="1880">
        <f>SUM(D265:D266)</f>
        <v/>
      </c>
      <c r="D264" s="1886" t="n"/>
      <c r="E264" s="1880" t="n"/>
    </row>
    <row r="265">
      <c r="A265" s="1907" t="n"/>
      <c r="B265" s="794" t="inlineStr">
        <is>
          <t xml:space="preserve">      TO GL 1881 GROSS GGST PAYABLE A/C..</t>
        </is>
      </c>
      <c r="C265" s="1880" t="n"/>
      <c r="D265" s="1886">
        <f>+JODHPUR1!C7</f>
        <v/>
      </c>
      <c r="E265" s="1880" t="n"/>
    </row>
    <row r="266">
      <c r="A266" s="1907" t="n"/>
      <c r="B266" s="794" t="inlineStr">
        <is>
          <t xml:space="preserve">      TO GL 1882 GROSS CGST PAYABLE A/C..</t>
        </is>
      </c>
      <c r="C266" s="1880" t="n"/>
      <c r="D266" s="1886">
        <f>+JODHPUR1!C8</f>
        <v/>
      </c>
      <c r="E266" s="1880" t="n"/>
    </row>
    <row r="267">
      <c r="A267" s="1907" t="n"/>
      <c r="B267" s="794" t="inlineStr">
        <is>
          <t xml:space="preserve">      TO GL 1883 GROSS IGST PAYABLE A/C..</t>
        </is>
      </c>
      <c r="C267" s="1880" t="n"/>
      <c r="D267" s="1886">
        <f>+JODHPUR1!C9</f>
        <v/>
      </c>
      <c r="E267" s="1880" t="n"/>
    </row>
    <row r="268">
      <c r="A268" s="1907" t="n"/>
      <c r="B268" s="794" t="inlineStr">
        <is>
          <t>(BEING GST PAYABLE FOR THE MONTH OF</t>
        </is>
      </c>
      <c r="C268" s="1880" t="n"/>
      <c r="D268" s="1886" t="n"/>
      <c r="E268" s="1880" t="n"/>
    </row>
    <row r="269" ht="16.5" customHeight="1">
      <c r="A269" s="1931" t="n"/>
      <c r="B269" s="1888" t="inlineStr">
        <is>
          <t>AUG 2026 TRANSFER FROM BRANCH)</t>
        </is>
      </c>
      <c r="C269" s="1889" t="n"/>
      <c r="D269" s="1890" t="n"/>
      <c r="E269" s="1880" t="n"/>
    </row>
    <row r="270">
      <c r="A270" s="1907" t="n"/>
      <c r="B270" s="794" t="n"/>
      <c r="C270" s="1880" t="n"/>
      <c r="D270" s="1886" t="n"/>
      <c r="E270" s="1936" t="n"/>
    </row>
    <row r="271">
      <c r="A271" s="1885" t="n">
        <v>2</v>
      </c>
      <c r="B271" s="794" t="inlineStr">
        <is>
          <t>GL 8549 GROSS GGST RECEIVABLE A/C. DR….</t>
        </is>
      </c>
      <c r="C271" s="1880">
        <f>+(D274-C273)/2</f>
        <v/>
      </c>
      <c r="D271" s="1886" t="n"/>
      <c r="E271" s="1910" t="n"/>
    </row>
    <row r="272">
      <c r="A272" s="1885" t="n"/>
      <c r="B272" s="794" t="inlineStr">
        <is>
          <t>GL 8551 GROSS CGST RECEIVABLE A/C. DR….</t>
        </is>
      </c>
      <c r="C272" s="1880">
        <f>+C271</f>
        <v/>
      </c>
      <c r="D272" s="1886" t="n"/>
      <c r="E272" s="1910" t="n"/>
    </row>
    <row r="273">
      <c r="A273" s="1885" t="n"/>
      <c r="B273" s="794" t="inlineStr">
        <is>
          <t>GL 8552 GROSS IGST RECEIVABLE A/C. DR….</t>
        </is>
      </c>
      <c r="C273" s="1880">
        <f>+JODHPUR1!D26/2</f>
        <v/>
      </c>
      <c r="D273" s="1886" t="n"/>
      <c r="E273" s="1910" t="n"/>
    </row>
    <row r="274">
      <c r="A274" s="1885" t="n"/>
      <c r="B274" s="794" t="inlineStr">
        <is>
          <t xml:space="preserve">      TO JODHPUR</t>
        </is>
      </c>
      <c r="C274" s="1880" t="n"/>
      <c r="D274" s="1886">
        <f>+JODHPUR1!C22</f>
        <v/>
      </c>
      <c r="E274" s="1910" t="n"/>
    </row>
    <row r="275">
      <c r="A275" s="1885" t="n"/>
      <c r="B275" s="794" t="inlineStr">
        <is>
          <t>(BEING SET OFF OF BRANCH FOR THE MONTH OF</t>
        </is>
      </c>
      <c r="C275" s="1880" t="n"/>
      <c r="D275" s="1886" t="n"/>
      <c r="E275" s="1910" t="n"/>
    </row>
    <row r="276">
      <c r="A276" s="1885" t="n"/>
      <c r="B276" s="794" t="inlineStr">
        <is>
          <t>AUG 2026 TRANSFER FROM BRANCH)</t>
        </is>
      </c>
      <c r="C276" s="1880" t="n"/>
      <c r="D276" s="1886" t="n"/>
      <c r="E276" s="1910" t="n"/>
    </row>
    <row r="277" ht="16.5" customHeight="1">
      <c r="A277" s="1887" t="n"/>
      <c r="B277" s="1888" t="n"/>
      <c r="C277" s="1889" t="n"/>
      <c r="D277" s="1890" t="n"/>
      <c r="E277" s="1910" t="n"/>
    </row>
    <row r="278">
      <c r="A278" s="1885" t="n"/>
      <c r="B278" s="794" t="n"/>
      <c r="C278" s="1880" t="n"/>
      <c r="D278" s="1886" t="n"/>
      <c r="E278" s="1880" t="n"/>
    </row>
    <row r="279">
      <c r="A279" s="968" t="n">
        <v>18</v>
      </c>
      <c r="B279" s="103" t="inlineStr">
        <is>
          <t>PANJARAPOLE</t>
        </is>
      </c>
      <c r="C279" s="1880" t="n"/>
      <c r="D279" s="1886" t="n"/>
      <c r="E279" s="1880" t="n"/>
    </row>
    <row r="280">
      <c r="A280" s="1885" t="n">
        <v>1</v>
      </c>
      <c r="B280" s="794" t="inlineStr">
        <is>
          <t>PANJARAPOLE DR…….</t>
        </is>
      </c>
      <c r="C280" s="1880">
        <f>SUM(D281:D282)</f>
        <v/>
      </c>
      <c r="D280" s="1886" t="n"/>
      <c r="E280" s="1880" t="n"/>
    </row>
    <row r="281">
      <c r="A281" s="1907" t="n"/>
      <c r="B281" s="794" t="inlineStr">
        <is>
          <t xml:space="preserve">      TO GL 1881 GROSS GGST PAYABLE A/C..</t>
        </is>
      </c>
      <c r="C281" s="1880" t="n"/>
      <c r="D281" s="1886">
        <f>+PANJRAPOLE1!C7</f>
        <v/>
      </c>
      <c r="E281" s="1880" t="n"/>
    </row>
    <row r="282">
      <c r="A282" s="1907" t="n"/>
      <c r="B282" s="794" t="inlineStr">
        <is>
          <t xml:space="preserve">      TO GL 1882 GROSS CGST PAYABLE A/C..</t>
        </is>
      </c>
      <c r="C282" s="1880" t="n"/>
      <c r="D282" s="1886">
        <f>+PANJRAPOLE1!C8</f>
        <v/>
      </c>
      <c r="E282" s="1880" t="n"/>
    </row>
    <row r="283">
      <c r="A283" s="1907" t="n"/>
      <c r="B283" s="794" t="inlineStr">
        <is>
          <t xml:space="preserve">      TO GL 1883 GROSS IGST PAYABLE A/C..</t>
        </is>
      </c>
      <c r="C283" s="1880" t="n"/>
      <c r="D283" s="1886">
        <f>+PANJRAPOLE1!C9</f>
        <v/>
      </c>
      <c r="E283" s="1880" t="n"/>
    </row>
    <row r="284">
      <c r="A284" s="1907" t="n"/>
      <c r="B284" s="794" t="inlineStr">
        <is>
          <t>(BEING GST PAYABLE FOR THE MONTH OF</t>
        </is>
      </c>
      <c r="C284" s="1880" t="n"/>
      <c r="D284" s="1886" t="n"/>
      <c r="E284" s="1880" t="n"/>
    </row>
    <row r="285" ht="16.5" customHeight="1">
      <c r="A285" s="1931" t="n"/>
      <c r="B285" s="1888" t="inlineStr">
        <is>
          <t>AUG 2026 TRANSFER FROM BRANCH)</t>
        </is>
      </c>
      <c r="C285" s="1889" t="n"/>
      <c r="D285" s="1890" t="n"/>
      <c r="E285" s="1880" t="n"/>
    </row>
    <row r="286">
      <c r="A286" s="1907" t="n"/>
      <c r="B286" s="794" t="n"/>
      <c r="C286" s="1880" t="n"/>
      <c r="D286" s="1886" t="n"/>
      <c r="E286" s="1880" t="n"/>
    </row>
    <row r="287">
      <c r="A287" s="1885" t="n">
        <v>2</v>
      </c>
      <c r="B287" s="794" t="inlineStr">
        <is>
          <t>GL 8549 GROSS GGST RECEIVABLE A/C. DR….</t>
        </is>
      </c>
      <c r="C287" s="1880">
        <f>+PANJRAPOLE1!D17/2</f>
        <v/>
      </c>
      <c r="D287" s="1886" t="n"/>
      <c r="E287" s="1880" t="n"/>
    </row>
    <row r="288">
      <c r="A288" s="1885" t="n"/>
      <c r="B288" s="794" t="inlineStr">
        <is>
          <t>GL 8551 GROSS CGST RECEIVABLE A/C. DR….</t>
        </is>
      </c>
      <c r="C288" s="1880">
        <f>+C287</f>
        <v/>
      </c>
      <c r="D288" s="1886" t="n"/>
      <c r="E288" s="1880" t="n"/>
    </row>
    <row r="289">
      <c r="A289" s="1885" t="n"/>
      <c r="B289" s="794" t="inlineStr">
        <is>
          <t>GL 8552 GROSS IGST RECEIVABLE A/C. DR….</t>
        </is>
      </c>
      <c r="C289" s="1880">
        <f>+PANJRAPOLE1!D19/2</f>
        <v/>
      </c>
      <c r="D289" s="1886" t="n"/>
      <c r="E289" s="1880" t="n"/>
    </row>
    <row r="290">
      <c r="A290" s="1885" t="n"/>
      <c r="B290" s="794" t="inlineStr">
        <is>
          <t xml:space="preserve">      TO PANJARAPOLE</t>
        </is>
      </c>
      <c r="C290" s="1880" t="n"/>
      <c r="D290" s="1886">
        <f>+PANJRAPOLE1!C15</f>
        <v/>
      </c>
      <c r="E290" s="1880" t="n"/>
    </row>
    <row r="291">
      <c r="A291" s="1885" t="n"/>
      <c r="B291" s="794" t="inlineStr">
        <is>
          <t>(BEING SET OFF OF BRANCH FOR THE MONTH OF</t>
        </is>
      </c>
      <c r="C291" s="1880" t="n"/>
      <c r="D291" s="1886" t="n"/>
      <c r="E291" s="1880" t="n"/>
    </row>
    <row r="292">
      <c r="A292" s="1885" t="n"/>
      <c r="B292" s="794" t="inlineStr">
        <is>
          <t>AUG 2026 TRANSFER FROM BRANCH)</t>
        </is>
      </c>
      <c r="C292" s="1880" t="n"/>
      <c r="D292" s="1886" t="n"/>
      <c r="E292" s="1880" t="n"/>
    </row>
    <row r="293" ht="16.5" customHeight="1">
      <c r="A293" s="1887" t="n"/>
      <c r="B293" s="1888" t="n"/>
      <c r="C293" s="1889" t="n"/>
      <c r="D293" s="1890" t="n"/>
      <c r="E293" s="1880" t="n"/>
    </row>
    <row r="294">
      <c r="A294" s="1885" t="n"/>
      <c r="B294" s="794" t="n"/>
      <c r="C294" s="1880" t="n"/>
      <c r="D294" s="1886" t="n"/>
      <c r="E294" s="1880" t="n"/>
    </row>
    <row r="295">
      <c r="A295" s="968" t="n">
        <v>19</v>
      </c>
      <c r="B295" s="103" t="inlineStr">
        <is>
          <t>NARANPURA</t>
        </is>
      </c>
      <c r="C295" s="1880" t="n"/>
      <c r="D295" s="1886" t="n"/>
      <c r="E295" s="1880" t="n"/>
    </row>
    <row r="296">
      <c r="A296" s="1885" t="n">
        <v>1</v>
      </c>
      <c r="B296" s="794" t="inlineStr">
        <is>
          <t>NARANPURA DR…….</t>
        </is>
      </c>
      <c r="C296" s="1880">
        <f>SUM(D297:D298)</f>
        <v/>
      </c>
      <c r="D296" s="1886" t="n"/>
      <c r="E296" s="1880" t="n"/>
    </row>
    <row r="297">
      <c r="A297" s="1907" t="n"/>
      <c r="B297" s="794" t="inlineStr">
        <is>
          <t xml:space="preserve">      TO GL 1881 GROSS GGST PAYABLE A/C..</t>
        </is>
      </c>
      <c r="C297" s="1880" t="n"/>
      <c r="D297" s="1886">
        <f>+NARANPURA1!C7</f>
        <v/>
      </c>
      <c r="E297" s="1880" t="n"/>
    </row>
    <row r="298">
      <c r="A298" s="1907" t="n"/>
      <c r="B298" s="794" t="inlineStr">
        <is>
          <t xml:space="preserve">      TO GL 1882 GROSS CGST PAYABLE A/C..</t>
        </is>
      </c>
      <c r="C298" s="1880" t="n"/>
      <c r="D298" s="1886">
        <f>+NARANPURA1!C8</f>
        <v/>
      </c>
      <c r="E298" s="1880" t="n"/>
    </row>
    <row r="299">
      <c r="A299" s="1907" t="n"/>
      <c r="B299" s="794" t="inlineStr">
        <is>
          <t xml:space="preserve">      TO GL 1883 GROSS IGST PAYABLE A/C..</t>
        </is>
      </c>
      <c r="C299" s="1880" t="n"/>
      <c r="D299" s="1886">
        <f>+NARANPURA1!C9</f>
        <v/>
      </c>
      <c r="E299" s="1880" t="n"/>
    </row>
    <row r="300">
      <c r="A300" s="1907" t="n"/>
      <c r="B300" s="794" t="inlineStr">
        <is>
          <t>(BEING GST PAYABLE FOR THE MONTH OF</t>
        </is>
      </c>
      <c r="C300" s="1880" t="n"/>
      <c r="D300" s="1886" t="n"/>
      <c r="E300" s="1880" t="n"/>
    </row>
    <row r="301" ht="16.5" customHeight="1">
      <c r="A301" s="1931" t="n"/>
      <c r="B301" s="1888" t="inlineStr">
        <is>
          <t>AUG 2026 TRANSFER FROM BRANCH)</t>
        </is>
      </c>
      <c r="C301" s="1889" t="n"/>
      <c r="D301" s="1890" t="n"/>
      <c r="E301" s="1880" t="n"/>
    </row>
    <row r="302">
      <c r="A302" s="1932" t="n"/>
      <c r="B302" s="1893" t="n"/>
      <c r="C302" s="1905" t="n"/>
      <c r="D302" s="1894" t="n"/>
      <c r="E302" s="1937" t="n"/>
    </row>
    <row r="303">
      <c r="A303" s="1885" t="n">
        <v>2</v>
      </c>
      <c r="B303" s="794" t="inlineStr">
        <is>
          <t>GL 8549 GROSS GGST RECEIVABLE A/C. DR….</t>
        </is>
      </c>
      <c r="C303" s="1880">
        <f>+NARANPURA1!D18/2</f>
        <v/>
      </c>
      <c r="D303" s="1886" t="n"/>
    </row>
    <row r="304">
      <c r="A304" s="1885" t="n"/>
      <c r="B304" s="794" t="inlineStr">
        <is>
          <t>GL 8551 GROSS CGST RECEIVABLE A/C. DR….</t>
        </is>
      </c>
      <c r="C304" s="1880">
        <f>+C303</f>
        <v/>
      </c>
      <c r="D304" s="1886" t="n"/>
    </row>
    <row r="305">
      <c r="A305" s="1885" t="n"/>
      <c r="B305" s="794" t="inlineStr">
        <is>
          <t>GL 8552 GROSS IGST RECEIVABLE A/C. DR….</t>
        </is>
      </c>
      <c r="C305" s="1880">
        <f>+NARANPURA1!D20/2</f>
        <v/>
      </c>
      <c r="D305" s="1886" t="n"/>
    </row>
    <row r="306">
      <c r="A306" s="1885" t="n"/>
      <c r="B306" s="794" t="inlineStr">
        <is>
          <t xml:space="preserve">      TO NARANPURA</t>
        </is>
      </c>
      <c r="C306" s="1880" t="n"/>
      <c r="D306" s="1886">
        <f>+NARANPURA1!C16</f>
        <v/>
      </c>
    </row>
    <row r="307">
      <c r="A307" s="1885" t="n"/>
      <c r="B307" s="794" t="inlineStr">
        <is>
          <t>(BEING SET OFF OF BRANCH FOR THE MONTH OF</t>
        </is>
      </c>
      <c r="C307" s="1880" t="n"/>
      <c r="D307" s="1886" t="n"/>
    </row>
    <row r="308">
      <c r="A308" s="1885" t="n"/>
      <c r="B308" s="794" t="inlineStr">
        <is>
          <t>AUG 2026 TRANSFER FROM BRANCH)</t>
        </is>
      </c>
      <c r="C308" s="1880" t="n"/>
      <c r="D308" s="1886" t="n"/>
    </row>
    <row r="309" ht="16.5" customHeight="1">
      <c r="A309" s="1887" t="n"/>
      <c r="B309" s="1888" t="n"/>
      <c r="C309" s="1889" t="n"/>
      <c r="D309" s="1890" t="n"/>
    </row>
    <row r="310">
      <c r="A310" s="1885" t="n"/>
      <c r="B310" s="794" t="n"/>
      <c r="C310" s="1880" t="n"/>
      <c r="D310" s="1886" t="n"/>
      <c r="E310" s="1880" t="n"/>
    </row>
    <row r="311">
      <c r="A311" s="968" t="n">
        <v>20</v>
      </c>
      <c r="B311" s="103" t="inlineStr">
        <is>
          <t>RAKHIAL</t>
        </is>
      </c>
      <c r="C311" s="1880" t="n"/>
      <c r="D311" s="1886" t="n"/>
      <c r="E311" s="1880" t="n"/>
    </row>
    <row r="312">
      <c r="A312" s="1885" t="n">
        <v>1</v>
      </c>
      <c r="B312" s="794" t="inlineStr">
        <is>
          <t>RAKHIAL DR…….</t>
        </is>
      </c>
      <c r="C312" s="1880">
        <f>SUM(D313:D315)</f>
        <v/>
      </c>
      <c r="D312" s="1886" t="n"/>
      <c r="E312" s="1880" t="n"/>
    </row>
    <row r="313">
      <c r="A313" s="1907" t="n"/>
      <c r="B313" s="794" t="inlineStr">
        <is>
          <t xml:space="preserve">      TO GL 1881 GROSS GGST PAYABLE A/C..</t>
        </is>
      </c>
      <c r="C313" s="1880" t="n"/>
      <c r="D313" s="1886">
        <f>+RAKHIAL1!C7</f>
        <v/>
      </c>
      <c r="E313" s="1880" t="n"/>
    </row>
    <row r="314">
      <c r="A314" s="1907" t="n"/>
      <c r="B314" s="794" t="inlineStr">
        <is>
          <t xml:space="preserve">      TO GL 1882 GROSS CGST PAYABLE A/C..</t>
        </is>
      </c>
      <c r="C314" s="1880" t="n"/>
      <c r="D314" s="1886">
        <f>+RAKHIAL1!C8</f>
        <v/>
      </c>
      <c r="E314" s="1880" t="n"/>
    </row>
    <row r="315">
      <c r="A315" s="1907" t="n"/>
      <c r="B315" s="794" t="inlineStr">
        <is>
          <t xml:space="preserve">      TO GL 1883 GROSS IGST PAYABLE A/C..</t>
        </is>
      </c>
      <c r="C315" s="1880" t="n"/>
      <c r="D315" s="1886">
        <f>+RAKHIAL1!C9</f>
        <v/>
      </c>
      <c r="E315" s="1880" t="n"/>
    </row>
    <row r="316">
      <c r="A316" s="1907" t="n"/>
      <c r="B316" s="794" t="inlineStr">
        <is>
          <t>(BEING GST PAYABLE FOR THE MONTH OF</t>
        </is>
      </c>
      <c r="C316" s="1880" t="n"/>
      <c r="D316" s="1886" t="n"/>
      <c r="E316" s="1880" t="n"/>
    </row>
    <row r="317" ht="16.5" customHeight="1">
      <c r="A317" s="1931" t="n"/>
      <c r="B317" s="1888" t="inlineStr">
        <is>
          <t>AUG 2026 TRANSFER FROM BRANCH)</t>
        </is>
      </c>
      <c r="C317" s="1889" t="n"/>
      <c r="D317" s="1890" t="n"/>
      <c r="E317" s="1880" t="n"/>
    </row>
    <row r="318">
      <c r="A318" s="1932" t="n"/>
      <c r="B318" s="1893" t="n"/>
      <c r="C318" s="1905" t="n"/>
      <c r="D318" s="1894" t="n"/>
      <c r="E318" s="1880" t="n"/>
    </row>
    <row r="319">
      <c r="A319" s="1885" t="n">
        <v>2</v>
      </c>
      <c r="B319" s="794" t="inlineStr">
        <is>
          <t>GL 8549 GROSS GGST RECEIVABLE A/C. DR….</t>
        </is>
      </c>
      <c r="C319" s="1880">
        <f>+(D322-C321)/2</f>
        <v/>
      </c>
      <c r="D319" s="1886" t="n"/>
      <c r="E319" s="1880" t="n"/>
    </row>
    <row r="320">
      <c r="A320" s="1885" t="n"/>
      <c r="B320" s="794" t="inlineStr">
        <is>
          <t>GL 8551 GROSS CGST RECEIVABLE A/C. DR….</t>
        </is>
      </c>
      <c r="C320" s="1880">
        <f>+C319</f>
        <v/>
      </c>
      <c r="D320" s="1886" t="n"/>
      <c r="E320" s="1880" t="n"/>
    </row>
    <row r="321">
      <c r="A321" s="1885" t="n"/>
      <c r="B321" s="794" t="inlineStr">
        <is>
          <t>GL 8552 GROSS IGST RECEIVABLE A/C. DR….</t>
        </is>
      </c>
      <c r="C321" s="1880">
        <f>+RAKHIAL1!D19/2</f>
        <v/>
      </c>
      <c r="D321" s="1886" t="n"/>
      <c r="E321" s="1880" t="n"/>
    </row>
    <row r="322">
      <c r="A322" s="1885" t="n"/>
      <c r="B322" s="794" t="inlineStr">
        <is>
          <t xml:space="preserve">      TO RAKHIAL</t>
        </is>
      </c>
      <c r="C322" s="1880" t="n"/>
      <c r="D322" s="1886">
        <f>+RAKHIAL1!C15</f>
        <v/>
      </c>
      <c r="E322" s="1880" t="n"/>
    </row>
    <row r="323">
      <c r="A323" s="1885" t="n"/>
      <c r="B323" s="794" t="inlineStr">
        <is>
          <t>(BEING SET OFF OF BRANCH FOR THE MONTH OF</t>
        </is>
      </c>
      <c r="C323" s="1880" t="n"/>
      <c r="D323" s="1886" t="n"/>
      <c r="E323" s="1880" t="n"/>
    </row>
    <row r="324">
      <c r="A324" s="1885" t="n"/>
      <c r="B324" s="794" t="inlineStr">
        <is>
          <t>AUG 2026 TRANSFER FROM BRANCH)</t>
        </is>
      </c>
      <c r="C324" s="1880" t="n"/>
      <c r="D324" s="1886" t="n"/>
      <c r="E324" s="1880" t="n"/>
    </row>
    <row r="325" ht="16.5" customHeight="1">
      <c r="A325" s="1887" t="n"/>
      <c r="B325" s="1888" t="n"/>
      <c r="C325" s="1889" t="n"/>
      <c r="D325" s="1890" t="n"/>
      <c r="E325" s="1880" t="n"/>
    </row>
    <row r="326">
      <c r="A326" s="1892" t="n"/>
      <c r="B326" s="1893" t="n"/>
      <c r="C326" s="1905" t="n"/>
      <c r="D326" s="1894" t="n"/>
      <c r="E326" s="1880" t="n"/>
    </row>
    <row r="327">
      <c r="A327" s="968" t="n">
        <v>21</v>
      </c>
      <c r="B327" s="103" t="inlineStr">
        <is>
          <t>ISANPUR</t>
        </is>
      </c>
      <c r="C327" s="1880" t="n"/>
      <c r="D327" s="1886" t="n"/>
      <c r="E327" s="1880" t="n"/>
    </row>
    <row r="328">
      <c r="A328" s="1885" t="n">
        <v>1</v>
      </c>
      <c r="B328" s="794" t="inlineStr">
        <is>
          <t>ISANPUR DR…….</t>
        </is>
      </c>
      <c r="C328" s="1880">
        <f>SUM(D329:D330)</f>
        <v/>
      </c>
      <c r="D328" s="1886" t="n"/>
      <c r="E328" s="1880" t="n"/>
    </row>
    <row r="329">
      <c r="A329" s="1907" t="n"/>
      <c r="B329" s="794" t="inlineStr">
        <is>
          <t xml:space="preserve">      TO GL 1881 GROSS GGST PAYABLE A/C..</t>
        </is>
      </c>
      <c r="C329" s="1880" t="n"/>
      <c r="D329" s="1886">
        <f>+ISANPUR1!C7</f>
        <v/>
      </c>
      <c r="E329" s="1880" t="n"/>
    </row>
    <row r="330">
      <c r="A330" s="1907" t="n"/>
      <c r="B330" s="794" t="inlineStr">
        <is>
          <t xml:space="preserve">      TO GL 1882 GROSS CGST PAYABLE A/C..</t>
        </is>
      </c>
      <c r="C330" s="1880" t="n"/>
      <c r="D330" s="1886">
        <f>+ISANPUR1!C8</f>
        <v/>
      </c>
      <c r="E330" s="1880" t="n"/>
    </row>
    <row r="331">
      <c r="A331" s="1907" t="n"/>
      <c r="B331" s="794" t="inlineStr">
        <is>
          <t xml:space="preserve">      TO GL 1883 GROSS IGST PAYABLE A/C..</t>
        </is>
      </c>
      <c r="C331" s="1880" t="n"/>
      <c r="D331" s="1886">
        <f>+ISANPUR1!C9</f>
        <v/>
      </c>
      <c r="E331" s="1880" t="n"/>
    </row>
    <row r="332">
      <c r="A332" s="1907" t="n"/>
      <c r="B332" s="794" t="inlineStr">
        <is>
          <t>(BEING GST PAYABLE FOR THE MONTH OF</t>
        </is>
      </c>
      <c r="C332" s="1880" t="n"/>
      <c r="D332" s="1886" t="n"/>
      <c r="E332" s="1880" t="n"/>
    </row>
    <row r="333" ht="16.5" customHeight="1">
      <c r="A333" s="1931" t="n"/>
      <c r="B333" s="1888" t="inlineStr">
        <is>
          <t>AUG 2026 TRANSFER FROM BRANCH)</t>
        </is>
      </c>
      <c r="C333" s="1889" t="n"/>
      <c r="D333" s="1890" t="n"/>
      <c r="E333" s="1880" t="n"/>
    </row>
    <row r="334">
      <c r="A334" s="1907" t="n"/>
      <c r="B334" s="794" t="n"/>
      <c r="C334" s="1880" t="n"/>
      <c r="D334" s="1886" t="n"/>
      <c r="E334" s="1880" t="n"/>
    </row>
    <row r="335">
      <c r="A335" s="1885" t="n">
        <v>2</v>
      </c>
      <c r="B335" s="794" t="inlineStr">
        <is>
          <t>GL 8549 GROSS GGST RECEIVABLE A/C. DR….</t>
        </is>
      </c>
      <c r="C335" s="1880">
        <f>+ISANPUR1!D17/2</f>
        <v/>
      </c>
      <c r="D335" s="1886" t="n"/>
      <c r="E335" s="1880" t="n"/>
    </row>
    <row r="336">
      <c r="A336" s="1885" t="n"/>
      <c r="B336" s="794" t="inlineStr">
        <is>
          <t>GL 8551 GROSS CGST RECEIVABLE A/C. DR….</t>
        </is>
      </c>
      <c r="C336" s="1880">
        <f>+C335</f>
        <v/>
      </c>
      <c r="D336" s="1886" t="n"/>
      <c r="E336" s="1880" t="n"/>
    </row>
    <row r="337">
      <c r="A337" s="1885" t="n"/>
      <c r="B337" s="794" t="inlineStr">
        <is>
          <t>GL 8552 GROSS IGST RECEIVABLE A/C. DR….</t>
        </is>
      </c>
      <c r="C337" s="1880">
        <f>+ISANPUR1!D19/2</f>
        <v/>
      </c>
      <c r="D337" s="1886" t="n"/>
      <c r="E337" s="1880" t="n"/>
    </row>
    <row r="338">
      <c r="A338" s="1885" t="n"/>
      <c r="B338" s="794" t="inlineStr">
        <is>
          <t xml:space="preserve">      TO ISANPUR</t>
        </is>
      </c>
      <c r="C338" s="1880" t="n"/>
      <c r="D338" s="1886">
        <f>+ISANPUR1!C15</f>
        <v/>
      </c>
      <c r="E338" s="1880" t="n"/>
    </row>
    <row r="339">
      <c r="A339" s="1885" t="n"/>
      <c r="B339" s="794" t="inlineStr">
        <is>
          <t>(BEING SET OFF OF BRANCH FOR THE MONTH OF</t>
        </is>
      </c>
      <c r="C339" s="1880" t="n"/>
      <c r="D339" s="1886" t="n"/>
      <c r="E339" s="1880" t="n"/>
    </row>
    <row r="340">
      <c r="A340" s="1885" t="n"/>
      <c r="B340" s="794" t="inlineStr">
        <is>
          <t>AUG 2026 TRANSFER FROM BRANCH)</t>
        </is>
      </c>
      <c r="C340" s="1880" t="n"/>
      <c r="D340" s="1886" t="n"/>
      <c r="E340" s="1880" t="n"/>
    </row>
    <row r="341" ht="16.5" customHeight="1">
      <c r="A341" s="1887" t="n"/>
      <c r="B341" s="1888" t="n"/>
      <c r="C341" s="1889" t="n"/>
      <c r="D341" s="1890" t="n"/>
      <c r="E341" s="1880" t="n"/>
    </row>
    <row r="342">
      <c r="A342" s="1885" t="n"/>
      <c r="B342" s="794" t="n"/>
      <c r="C342" s="1880" t="n"/>
      <c r="D342" s="1886" t="n"/>
      <c r="E342" s="1880" t="n"/>
    </row>
    <row r="343">
      <c r="A343" s="968" t="n">
        <v>22</v>
      </c>
      <c r="B343" s="103" t="inlineStr">
        <is>
          <t>MANINAGAR</t>
        </is>
      </c>
      <c r="C343" s="1880" t="n"/>
      <c r="D343" s="1886" t="n"/>
      <c r="E343" s="1880" t="n"/>
    </row>
    <row r="344">
      <c r="A344" s="1885" t="n">
        <v>1</v>
      </c>
      <c r="B344" s="794" t="inlineStr">
        <is>
          <t>MANINAGAR DR…….</t>
        </is>
      </c>
      <c r="C344" s="1880">
        <f>SUM(D345:D346)</f>
        <v/>
      </c>
      <c r="D344" s="1886" t="n"/>
      <c r="E344" s="1880" t="n"/>
    </row>
    <row r="345">
      <c r="A345" s="1907" t="n"/>
      <c r="B345" s="794" t="inlineStr">
        <is>
          <t xml:space="preserve">      TO GL 1881 GROSS GGST PAYABLE A/C..</t>
        </is>
      </c>
      <c r="C345" s="1880" t="n"/>
      <c r="D345" s="1886">
        <f>+MANINAGAR1!C7</f>
        <v/>
      </c>
      <c r="E345" s="1880" t="n"/>
    </row>
    <row r="346">
      <c r="A346" s="1907" t="n"/>
      <c r="B346" s="794" t="inlineStr">
        <is>
          <t xml:space="preserve">      TO GL 1882 GROSS CGST PAYABLE A/C..</t>
        </is>
      </c>
      <c r="C346" s="1880" t="n"/>
      <c r="D346" s="1886">
        <f>+MANINAGAR1!C8</f>
        <v/>
      </c>
      <c r="E346" s="1880" t="n"/>
    </row>
    <row r="347">
      <c r="A347" s="1907" t="n"/>
      <c r="B347" s="794" t="inlineStr">
        <is>
          <t xml:space="preserve">      TO GL 1883 GROSS IGST PAYABLE A/C..</t>
        </is>
      </c>
      <c r="C347" s="1880" t="n"/>
      <c r="D347" s="1886">
        <f>+MANINAGAR1!C9</f>
        <v/>
      </c>
      <c r="E347" s="1880" t="n"/>
    </row>
    <row r="348">
      <c r="A348" s="1907" t="n"/>
      <c r="B348" s="794" t="inlineStr">
        <is>
          <t>(BEING GST PAYABLE FOR THE MONTH OF</t>
        </is>
      </c>
      <c r="C348" s="1880" t="n"/>
      <c r="D348" s="1886" t="n"/>
      <c r="E348" s="1880" t="n"/>
    </row>
    <row r="349" ht="16.5" customHeight="1">
      <c r="A349" s="1931" t="n"/>
      <c r="B349" s="1888" t="inlineStr">
        <is>
          <t>AUG 2026 TRANSFER FROM BRANCH)</t>
        </is>
      </c>
      <c r="C349" s="1889" t="n"/>
      <c r="D349" s="1890" t="n"/>
      <c r="E349" s="1880" t="n"/>
    </row>
    <row r="350">
      <c r="A350" s="1907" t="n"/>
      <c r="B350" s="794" t="n"/>
      <c r="C350" s="1880" t="n"/>
      <c r="D350" s="1886" t="n"/>
      <c r="E350" s="1880" t="n"/>
    </row>
    <row r="351">
      <c r="A351" s="1885" t="n">
        <v>2</v>
      </c>
      <c r="B351" s="794" t="inlineStr">
        <is>
          <t>GL 8549 GROSS GGST RECEIVABLE A/C. DR….</t>
        </is>
      </c>
      <c r="C351" s="1880">
        <f>+MANINAGAR1!D17/2</f>
        <v/>
      </c>
      <c r="D351" s="1886" t="n"/>
      <c r="E351" s="1880" t="n"/>
    </row>
    <row r="352">
      <c r="A352" s="1885" t="n"/>
      <c r="B352" s="794" t="inlineStr">
        <is>
          <t>GL 8551 GROSS CGST RECEIVABLE A/C. DR….</t>
        </is>
      </c>
      <c r="C352" s="1880">
        <f>+C351</f>
        <v/>
      </c>
      <c r="D352" s="1886" t="n"/>
      <c r="E352" s="1880" t="n"/>
    </row>
    <row r="353">
      <c r="A353" s="1885" t="n"/>
      <c r="B353" s="794" t="inlineStr">
        <is>
          <t>GL 8552 GROSS IGST RECEIVABLE A/C. DR….</t>
        </is>
      </c>
      <c r="C353" s="1880">
        <f>+MANINAGAR1!D19/2</f>
        <v/>
      </c>
      <c r="D353" s="1886" t="n"/>
      <c r="E353" s="1880" t="n"/>
    </row>
    <row r="354">
      <c r="A354" s="1885" t="n"/>
      <c r="B354" s="794" t="inlineStr">
        <is>
          <t xml:space="preserve">      TO MANINAGAR</t>
        </is>
      </c>
      <c r="C354" s="1880" t="n"/>
      <c r="D354" s="1886">
        <f>+MANINAGAR1!C15</f>
        <v/>
      </c>
      <c r="E354" s="1880" t="n"/>
    </row>
    <row r="355">
      <c r="A355" s="1885" t="n"/>
      <c r="B355" s="794" t="inlineStr">
        <is>
          <t>(BEING SET OFF OF BRANCH FOR THE MONTH OF</t>
        </is>
      </c>
      <c r="C355" s="1880" t="n"/>
      <c r="D355" s="1886" t="n"/>
      <c r="E355" s="1880" t="n"/>
    </row>
    <row r="356">
      <c r="A356" s="1885" t="n"/>
      <c r="B356" s="794" t="inlineStr">
        <is>
          <t>AUG 2026 TRANSFER FROM BRANCH)</t>
        </is>
      </c>
      <c r="C356" s="1880" t="n"/>
      <c r="D356" s="1886" t="n"/>
      <c r="E356" s="1880" t="n"/>
    </row>
    <row r="357" ht="16.5" customHeight="1">
      <c r="A357" s="1887" t="n"/>
      <c r="B357" s="1888" t="n"/>
      <c r="C357" s="1889" t="n"/>
      <c r="D357" s="1890" t="n"/>
      <c r="E357" s="1880" t="n"/>
    </row>
    <row r="358">
      <c r="A358" s="1885" t="n"/>
      <c r="B358" s="794" t="n"/>
      <c r="C358" s="1880" t="n"/>
      <c r="D358" s="1886" t="n"/>
      <c r="E358" s="1880" t="n"/>
    </row>
    <row r="359">
      <c r="A359" s="968" t="n">
        <v>23</v>
      </c>
      <c r="B359" s="103" t="inlineStr">
        <is>
          <t>CHANDKHEDA</t>
        </is>
      </c>
      <c r="C359" s="1880" t="n"/>
      <c r="D359" s="1886" t="n"/>
      <c r="E359" s="1880" t="n"/>
    </row>
    <row r="360">
      <c r="A360" s="1885" t="n">
        <v>1</v>
      </c>
      <c r="B360" s="794" t="inlineStr">
        <is>
          <t>CHANDKHEDA DR…….</t>
        </is>
      </c>
      <c r="C360" s="1880">
        <f>SUM(D361:D362)</f>
        <v/>
      </c>
      <c r="D360" s="1886" t="n"/>
      <c r="E360" s="1880" t="n"/>
    </row>
    <row r="361">
      <c r="A361" s="1907" t="n"/>
      <c r="B361" s="794" t="inlineStr">
        <is>
          <t xml:space="preserve">      TO GL 1881 GROSS GGST PAYABLE A/C..</t>
        </is>
      </c>
      <c r="C361" s="1880" t="n"/>
      <c r="D361" s="1886">
        <f>+CHANDKHEDA1!C7</f>
        <v/>
      </c>
      <c r="E361" s="1880" t="n"/>
    </row>
    <row r="362">
      <c r="A362" s="1907" t="n"/>
      <c r="B362" s="794" t="inlineStr">
        <is>
          <t xml:space="preserve">      TO GL 1882 GROSS CGST PAYABLE A/C..</t>
        </is>
      </c>
      <c r="C362" s="1880" t="n"/>
      <c r="D362" s="1886">
        <f>+CHANDKHEDA1!C8</f>
        <v/>
      </c>
      <c r="E362" s="1880" t="n"/>
    </row>
    <row r="363">
      <c r="A363" s="1907" t="n"/>
      <c r="B363" s="794" t="inlineStr">
        <is>
          <t xml:space="preserve">      TO GL 1883 GROSS IGST PAYABLE A/C..</t>
        </is>
      </c>
      <c r="C363" s="1880" t="n"/>
      <c r="D363" s="1886">
        <f>+MANINAGAR1!C37</f>
        <v/>
      </c>
      <c r="E363" s="1880" t="n"/>
    </row>
    <row r="364">
      <c r="A364" s="1907" t="n"/>
      <c r="B364" s="794" t="inlineStr">
        <is>
          <t>(BEING GST PAYABLE FOR THE MONTH OF</t>
        </is>
      </c>
      <c r="C364" s="1880" t="n"/>
      <c r="D364" s="1886" t="n"/>
      <c r="E364" s="1880" t="n"/>
    </row>
    <row r="365" ht="16.5" customHeight="1">
      <c r="A365" s="1931" t="n"/>
      <c r="B365" s="1888" t="inlineStr">
        <is>
          <t>AUG 2026 TRANSFER FROM BRANCH)</t>
        </is>
      </c>
      <c r="C365" s="1889" t="n"/>
      <c r="D365" s="1890" t="n"/>
      <c r="E365" s="1880" t="n"/>
    </row>
    <row r="366">
      <c r="A366" s="1907" t="n"/>
      <c r="B366" s="794" t="n"/>
      <c r="C366" s="1880" t="n"/>
      <c r="D366" s="1886" t="n"/>
      <c r="E366" s="1880" t="n"/>
    </row>
    <row r="367">
      <c r="A367" s="1885" t="n">
        <v>2</v>
      </c>
      <c r="B367" s="794" t="inlineStr">
        <is>
          <t>GL 8549 GROSS GGST RECEIVABLE A/C. DR….</t>
        </is>
      </c>
      <c r="C367" s="1880">
        <f>+CHANDKHEDA1!D17/2</f>
        <v/>
      </c>
      <c r="D367" s="1886" t="n"/>
      <c r="E367" s="1880" t="n"/>
    </row>
    <row r="368">
      <c r="A368" s="1885" t="n"/>
      <c r="B368" s="794" t="inlineStr">
        <is>
          <t>GL 8551 GROSS CGST RECEIVABLE A/C. DR….</t>
        </is>
      </c>
      <c r="C368" s="1880">
        <f>+C367</f>
        <v/>
      </c>
      <c r="D368" s="1886" t="n"/>
      <c r="E368" s="1880" t="n"/>
    </row>
    <row r="369">
      <c r="A369" s="1885" t="n"/>
      <c r="B369" s="794" t="inlineStr">
        <is>
          <t>GL 8552 GROSS IGST RECEIVABLE A/C. DR….</t>
        </is>
      </c>
      <c r="C369" s="1880">
        <f>+CHANDKHEDA1!D19/2</f>
        <v/>
      </c>
      <c r="D369" s="1886" t="n"/>
      <c r="E369" s="1880" t="n"/>
    </row>
    <row r="370">
      <c r="A370" s="1885" t="n"/>
      <c r="B370" s="794" t="inlineStr">
        <is>
          <t xml:space="preserve">      TO CHANDKHEDA</t>
        </is>
      </c>
      <c r="C370" s="1880" t="n"/>
      <c r="D370" s="1886">
        <f>+CHANDKHEDA1!C15</f>
        <v/>
      </c>
      <c r="E370" s="1880" t="n"/>
    </row>
    <row r="371">
      <c r="A371" s="1885" t="n"/>
      <c r="B371" s="794" t="inlineStr">
        <is>
          <t>(BEING SET OFF OF BRANCH FOR THE MONTH OF</t>
        </is>
      </c>
      <c r="C371" s="1880" t="n"/>
      <c r="D371" s="1886" t="n"/>
      <c r="E371" s="1880" t="n"/>
    </row>
    <row r="372">
      <c r="A372" s="1885" t="n"/>
      <c r="B372" s="794" t="inlineStr">
        <is>
          <t>AUG 2026 TRANSFER FROM BRANCH)</t>
        </is>
      </c>
      <c r="C372" s="1880" t="n"/>
      <c r="D372" s="1886" t="n"/>
      <c r="E372" s="1880" t="n"/>
    </row>
    <row r="373" ht="16.5" customHeight="1">
      <c r="A373" s="1887" t="n"/>
      <c r="B373" s="1888" t="n"/>
      <c r="C373" s="1889" t="n"/>
      <c r="D373" s="1890" t="n"/>
      <c r="E373" s="1880" t="n"/>
    </row>
    <row r="374">
      <c r="A374" s="1885" t="n"/>
      <c r="B374" s="794" t="n"/>
      <c r="C374" s="1880" t="n"/>
      <c r="D374" s="1886" t="n"/>
      <c r="E374" s="1880" t="n"/>
    </row>
    <row r="375">
      <c r="A375" s="968" t="n">
        <v>24</v>
      </c>
      <c r="B375" s="103" t="inlineStr">
        <is>
          <t>VASTRAL</t>
        </is>
      </c>
      <c r="C375" s="1880" t="n"/>
      <c r="D375" s="1886" t="n"/>
      <c r="E375" s="1880" t="n"/>
    </row>
    <row r="376">
      <c r="A376" s="1885" t="n">
        <v>1</v>
      </c>
      <c r="B376" s="794" t="inlineStr">
        <is>
          <t>VASTRAL DR…….</t>
        </is>
      </c>
      <c r="C376" s="1880">
        <f>SUM(D377:D378)</f>
        <v/>
      </c>
      <c r="D376" s="1886" t="n"/>
      <c r="E376" s="1880" t="n"/>
    </row>
    <row r="377">
      <c r="A377" s="1907" t="n"/>
      <c r="B377" s="794" t="inlineStr">
        <is>
          <t xml:space="preserve">      TO GL 1881 GROSS GGST PAYABLE A/C..</t>
        </is>
      </c>
      <c r="C377" s="1880" t="n"/>
      <c r="D377" s="1886">
        <f>+VASTRAL1!C7</f>
        <v/>
      </c>
      <c r="E377" s="1880" t="n"/>
    </row>
    <row r="378">
      <c r="A378" s="1907" t="n"/>
      <c r="B378" s="794" t="inlineStr">
        <is>
          <t xml:space="preserve">      TO GL 1882 GROSS CGST PAYABLE A/C..</t>
        </is>
      </c>
      <c r="C378" s="1880" t="n"/>
      <c r="D378" s="1886">
        <f>+VASTRAL1!C8</f>
        <v/>
      </c>
      <c r="E378" s="1880" t="n"/>
    </row>
    <row r="379">
      <c r="A379" s="1907" t="n"/>
      <c r="B379" s="794" t="inlineStr">
        <is>
          <t xml:space="preserve">      TO GL 1883 GROSS IGST PAYABLE A/C..</t>
        </is>
      </c>
      <c r="C379" s="1880" t="n"/>
      <c r="D379" s="1886">
        <f>+VASTRAL1!C9</f>
        <v/>
      </c>
      <c r="E379" s="1880" t="n"/>
    </row>
    <row r="380">
      <c r="A380" s="1907" t="n"/>
      <c r="B380" s="794" t="inlineStr">
        <is>
          <t>(BEING GST PAYABLE FOR THE MONTH OF</t>
        </is>
      </c>
      <c r="C380" s="1880" t="n"/>
      <c r="D380" s="1886" t="n"/>
      <c r="E380" s="1880" t="n"/>
    </row>
    <row r="381" ht="16.5" customHeight="1">
      <c r="A381" s="1931" t="n"/>
      <c r="B381" s="1888" t="inlineStr">
        <is>
          <t>AUG 2026 TRANSFER FROM BRANCH)</t>
        </is>
      </c>
      <c r="C381" s="1889" t="n"/>
      <c r="D381" s="1890" t="n"/>
      <c r="E381" s="1880" t="n"/>
    </row>
    <row r="382">
      <c r="A382" s="1907" t="n"/>
      <c r="B382" s="794" t="n"/>
      <c r="C382" s="1880" t="n"/>
      <c r="D382" s="1886" t="n"/>
      <c r="E382" s="1880" t="n"/>
    </row>
    <row r="383">
      <c r="A383" s="1885" t="n">
        <v>2</v>
      </c>
      <c r="B383" s="794" t="inlineStr">
        <is>
          <t>GL 8549 GROSS GGST RECEIVABLE A/C. DR….</t>
        </is>
      </c>
      <c r="C383" s="1880">
        <f>+VASTRAL1!D17/2</f>
        <v/>
      </c>
      <c r="D383" s="1886" t="n"/>
      <c r="E383" s="1880" t="n"/>
    </row>
    <row r="384">
      <c r="A384" s="1885" t="n"/>
      <c r="B384" s="794" t="inlineStr">
        <is>
          <t>GL 8551 GROSS CGST RECEIVABLE A/C. DR….</t>
        </is>
      </c>
      <c r="C384" s="1880">
        <f>+C383</f>
        <v/>
      </c>
      <c r="D384" s="1886" t="n"/>
      <c r="E384" s="1880" t="n"/>
    </row>
    <row r="385">
      <c r="A385" s="1885" t="n"/>
      <c r="B385" s="794" t="inlineStr">
        <is>
          <t>GL 8552 GROSS IGST RECEIVABLE A/C. DR….</t>
        </is>
      </c>
      <c r="C385" s="1880">
        <f>+VASTRAL1!D19/2</f>
        <v/>
      </c>
      <c r="D385" s="1886" t="n"/>
      <c r="E385" s="1880" t="n"/>
    </row>
    <row r="386">
      <c r="A386" s="1885" t="n"/>
      <c r="B386" s="794" t="inlineStr">
        <is>
          <t xml:space="preserve">      TO VASTRAL</t>
        </is>
      </c>
      <c r="C386" s="1880" t="n"/>
      <c r="D386" s="1886">
        <f>+VASTRAL1!C15</f>
        <v/>
      </c>
      <c r="E386" s="1880" t="n"/>
    </row>
    <row r="387">
      <c r="A387" s="1885" t="n"/>
      <c r="B387" s="794" t="inlineStr">
        <is>
          <t>(BEING SET OFF OF BRANCH FOR THE MONTH OF</t>
        </is>
      </c>
      <c r="C387" s="1880" t="n"/>
      <c r="D387" s="1886" t="n"/>
      <c r="E387" s="1880" t="n"/>
    </row>
    <row r="388">
      <c r="A388" s="1885" t="n"/>
      <c r="B388" s="794" t="inlineStr">
        <is>
          <t>AUG 2026 TRANSFER FROM BRANCH)</t>
        </is>
      </c>
      <c r="C388" s="1880" t="n"/>
      <c r="D388" s="1886" t="n"/>
      <c r="E388" s="1880" t="n"/>
    </row>
    <row r="389" ht="16.5" customHeight="1">
      <c r="A389" s="1887" t="n"/>
      <c r="B389" s="1888" t="n"/>
      <c r="C389" s="1889" t="n"/>
      <c r="D389" s="1890" t="n"/>
      <c r="E389" s="1880" t="n"/>
    </row>
    <row r="390">
      <c r="A390" s="1885" t="n"/>
      <c r="B390" s="794" t="n"/>
      <c r="C390" s="1880" t="n"/>
      <c r="D390" s="1886" t="n"/>
      <c r="E390" s="1938" t="n"/>
      <c r="F390" s="1938" t="n"/>
    </row>
    <row r="391">
      <c r="A391" s="968" t="n">
        <v>25</v>
      </c>
      <c r="B391" s="103" t="inlineStr">
        <is>
          <t>DEMAT</t>
        </is>
      </c>
      <c r="C391" s="1880" t="n"/>
      <c r="D391" s="1886" t="n"/>
      <c r="E391" s="1938" t="n"/>
      <c r="F391" s="1938" t="n"/>
    </row>
    <row r="392">
      <c r="A392" s="1885" t="n">
        <v>1</v>
      </c>
      <c r="B392" s="794" t="inlineStr">
        <is>
          <t>DEMAT DR…….</t>
        </is>
      </c>
      <c r="C392" s="1880">
        <f>SUM(D393:D395)</f>
        <v/>
      </c>
      <c r="D392" s="1886" t="n"/>
      <c r="E392" s="1938" t="n"/>
      <c r="F392" s="1938" t="n"/>
    </row>
    <row r="393">
      <c r="A393" s="1907" t="n"/>
      <c r="B393" s="794" t="inlineStr">
        <is>
          <t xml:space="preserve">      TO GL 1881 GROSS GGST PAYABLE A/C..</t>
        </is>
      </c>
      <c r="C393" s="1880" t="n"/>
      <c r="D393" s="1886">
        <f>+DEMAT1!C7-DEMAT1!C15</f>
        <v/>
      </c>
      <c r="E393" s="1938" t="n"/>
      <c r="F393" s="1938" t="n"/>
    </row>
    <row r="394">
      <c r="A394" s="1907" t="n"/>
      <c r="B394" s="794" t="inlineStr">
        <is>
          <t xml:space="preserve">      TO GL 1882 GROSS CGST PAYABLE A/C..</t>
        </is>
      </c>
      <c r="C394" s="1880" t="n"/>
      <c r="D394" s="1886">
        <f>+DEMAT1!C8-DEMAT1!C16</f>
        <v/>
      </c>
      <c r="E394" s="1938" t="n"/>
      <c r="F394" s="1938" t="n"/>
    </row>
    <row r="395">
      <c r="A395" s="1907" t="n"/>
      <c r="B395" s="794" t="inlineStr">
        <is>
          <t xml:space="preserve">      TO GL 1883 GROSS IGST PAYABLE A/C..</t>
        </is>
      </c>
      <c r="C395" s="1880" t="n"/>
      <c r="D395" s="1886">
        <f>+DEMAT1!C9+DEMAT1!D17</f>
        <v/>
      </c>
      <c r="E395" s="1938" t="n"/>
      <c r="F395" s="1938" t="n"/>
    </row>
    <row r="396">
      <c r="A396" s="1907" t="n"/>
      <c r="B396" s="794" t="inlineStr">
        <is>
          <t>(BEING GST PAYABLE FOR THE MONTH OF</t>
        </is>
      </c>
      <c r="C396" s="1880" t="n"/>
      <c r="D396" s="1886" t="n"/>
      <c r="E396" s="1938" t="n"/>
      <c r="F396" s="1938" t="n"/>
    </row>
    <row r="397">
      <c r="A397" s="1907" t="n"/>
      <c r="B397" s="794" t="inlineStr">
        <is>
          <t>AUG 2026 TRANSFER FROM BRANCH)</t>
        </is>
      </c>
      <c r="C397" s="1880" t="n"/>
      <c r="D397" s="1886" t="n"/>
      <c r="E397" s="1938" t="n"/>
      <c r="F397" s="1938" t="n"/>
    </row>
    <row r="398" ht="16.5" customHeight="1">
      <c r="A398" s="1931" t="n"/>
      <c r="B398" s="1888" t="n"/>
      <c r="C398" s="1889" t="n"/>
      <c r="D398" s="1890" t="n"/>
      <c r="E398" s="1938" t="n"/>
      <c r="F398" s="1938" t="n"/>
    </row>
    <row r="399">
      <c r="A399" s="1932" t="n"/>
      <c r="B399" s="1893" t="n"/>
      <c r="C399" s="1905" t="n"/>
      <c r="D399" s="1894" t="n"/>
      <c r="E399" s="1880" t="n"/>
    </row>
    <row r="400">
      <c r="A400" s="1885" t="n">
        <v>2</v>
      </c>
      <c r="B400" s="794" t="inlineStr">
        <is>
          <t>GL 8549 GROSS GGST RECEIVABLE A/C. DR….</t>
        </is>
      </c>
      <c r="C400" s="1880">
        <f>+DEMAT1!D33/2</f>
        <v/>
      </c>
      <c r="D400" s="1886" t="n"/>
      <c r="E400" s="1880" t="n"/>
    </row>
    <row r="401">
      <c r="A401" s="1885" t="n"/>
      <c r="B401" s="794" t="inlineStr">
        <is>
          <t>GL 8551 GROSS CGST RECEIVABLE A/C. DR….</t>
        </is>
      </c>
      <c r="C401" s="1880">
        <f>+C400</f>
        <v/>
      </c>
      <c r="D401" s="1886" t="n"/>
      <c r="E401" s="1880" t="n"/>
    </row>
    <row r="402">
      <c r="A402" s="1885" t="n"/>
      <c r="B402" s="794" t="inlineStr">
        <is>
          <t>GL 8552 GROSS IGST RECEIVABLE A/C. DR….</t>
        </is>
      </c>
      <c r="C402" s="1886">
        <f>+DEMAT1!D35/2</f>
        <v/>
      </c>
      <c r="D402" s="1886" t="n"/>
      <c r="E402" s="1880" t="n"/>
    </row>
    <row r="403">
      <c r="A403" s="1885" t="n"/>
      <c r="B403" s="794" t="inlineStr">
        <is>
          <t xml:space="preserve">      TO DEMAT</t>
        </is>
      </c>
      <c r="C403" s="1880" t="n"/>
      <c r="D403" s="1886">
        <f>+DEMAT1!C31</f>
        <v/>
      </c>
      <c r="E403" s="1880" t="n"/>
    </row>
    <row r="404">
      <c r="A404" s="1885" t="n"/>
      <c r="B404" s="794" t="inlineStr">
        <is>
          <t>(BEING SET OFF OF BRANCH FOR THE MONTH OF</t>
        </is>
      </c>
      <c r="C404" s="1880" t="n"/>
      <c r="D404" s="1886" t="n"/>
      <c r="E404" s="1880" t="n"/>
    </row>
    <row r="405">
      <c r="A405" s="1885" t="n"/>
      <c r="B405" s="794" t="inlineStr">
        <is>
          <t>AUG 2026 TRANSFER FROM BRANCH)</t>
        </is>
      </c>
      <c r="C405" s="1880" t="n"/>
      <c r="D405" s="1886" t="n"/>
    </row>
    <row r="406" ht="16.5" customHeight="1">
      <c r="A406" s="1887" t="n"/>
      <c r="B406" s="1888" t="n"/>
      <c r="C406" s="1889" t="n"/>
      <c r="D406" s="1890" t="n"/>
    </row>
    <row r="407">
      <c r="A407" s="1892" t="n"/>
      <c r="B407" s="1893" t="n"/>
      <c r="C407" s="1905" t="n"/>
      <c r="D407" s="1894" t="n"/>
      <c r="E407" s="1880" t="n"/>
    </row>
    <row r="408">
      <c r="A408" s="968" t="n">
        <v>26</v>
      </c>
      <c r="B408" s="103" t="inlineStr">
        <is>
          <t>HEAD OFFICE</t>
        </is>
      </c>
      <c r="D408" s="794" t="n"/>
    </row>
    <row r="409">
      <c r="A409" s="968" t="n"/>
      <c r="B409" s="103" t="n"/>
      <c r="D409" s="794" t="n"/>
    </row>
    <row r="410">
      <c r="A410" s="1907" t="n">
        <v>1</v>
      </c>
      <c r="B410" s="794" t="inlineStr">
        <is>
          <t>GL 1878 GGST PAYABLE A/C. DR….</t>
        </is>
      </c>
      <c r="C410" s="1939" t="n"/>
      <c r="D410" s="794" t="n"/>
    </row>
    <row r="411">
      <c r="A411" s="968" t="n"/>
      <c r="B411" s="794" t="inlineStr">
        <is>
          <t>GL 1879 CGST PAYABLE A/C. DR….</t>
        </is>
      </c>
      <c r="D411" s="1940" t="n"/>
    </row>
    <row r="412">
      <c r="A412" s="968" t="n"/>
      <c r="B412" s="1941" t="inlineStr">
        <is>
          <t>TO GL 1880 IGST PAYABLE A/C…</t>
        </is>
      </c>
      <c r="D412" s="1940" t="n"/>
    </row>
    <row r="413">
      <c r="A413" s="968" t="n"/>
      <c r="B413" s="794" t="inlineStr">
        <is>
          <t>(BEING GST PAYABLE OF IGST WRONGLY RECORDED IN CGST AND SGST</t>
        </is>
      </c>
      <c r="D413" s="1940" t="n"/>
    </row>
    <row r="414">
      <c r="A414" s="968" t="n"/>
      <c r="B414" s="794" t="inlineStr">
        <is>
          <t>PAYABLE HENCE SAME IS RECTIFIED)</t>
        </is>
      </c>
      <c r="D414" s="794" t="n"/>
    </row>
    <row r="415" ht="16.5" customHeight="1">
      <c r="A415" s="968" t="n"/>
      <c r="B415" s="794" t="n"/>
      <c r="D415" s="794" t="n"/>
    </row>
    <row r="416">
      <c r="A416" s="970" t="n"/>
      <c r="B416" s="465" t="n"/>
      <c r="C416" s="1913" t="n"/>
      <c r="D416" s="1893" t="n"/>
      <c r="G416" s="1880" t="n"/>
    </row>
    <row r="417">
      <c r="A417" s="1907" t="n">
        <v>2</v>
      </c>
      <c r="B417" s="794" t="inlineStr">
        <is>
          <t>GL 1878 GGST PAYABLE A/C. DR….</t>
        </is>
      </c>
      <c r="C417" s="1939" t="n">
        <v>0</v>
      </c>
      <c r="D417" s="794" t="n"/>
      <c r="E417" s="497" t="n"/>
    </row>
    <row r="418">
      <c r="A418" s="1907" t="n"/>
      <c r="B418" s="794" t="inlineStr">
        <is>
          <t>GL 1879 CGST PAYABLE A/C. DR….</t>
        </is>
      </c>
      <c r="C418" s="1939" t="n">
        <v>0</v>
      </c>
      <c r="D418" s="794" t="n"/>
      <c r="E418" s="497" t="n"/>
    </row>
    <row r="419">
      <c r="A419" s="1907" t="n"/>
      <c r="B419" s="794" t="inlineStr">
        <is>
          <t>GL 1880 IGST PAYABLE A/C. DR….</t>
        </is>
      </c>
      <c r="C419" s="1939" t="n">
        <v>0</v>
      </c>
      <c r="D419" s="794" t="n"/>
      <c r="E419" s="497" t="n"/>
    </row>
    <row r="420">
      <c r="A420" s="1907" t="n"/>
      <c r="B420" s="794" t="inlineStr">
        <is>
          <t xml:space="preserve">      TO GL 8546 GGST RECEIVABLE A/C..</t>
        </is>
      </c>
      <c r="C420" s="1939" t="n"/>
      <c r="D420" s="1940" t="n">
        <v>0</v>
      </c>
      <c r="E420" s="497" t="n"/>
    </row>
    <row r="421">
      <c r="A421" s="1907" t="n"/>
      <c r="B421" s="794" t="inlineStr">
        <is>
          <t xml:space="preserve">      TO GL 8547 CGST RECEIVABLE A/C..</t>
        </is>
      </c>
      <c r="C421" s="1939" t="n"/>
      <c r="D421" s="1940" t="n">
        <v>0</v>
      </c>
      <c r="E421" s="497" t="n"/>
    </row>
    <row r="422">
      <c r="A422" s="968" t="n"/>
      <c r="B422" s="794" t="inlineStr">
        <is>
          <t xml:space="preserve">      TO GL 8548 IGST RECEIVABLE A/C..</t>
        </is>
      </c>
      <c r="D422" s="1940" t="n">
        <v>0</v>
      </c>
      <c r="E422" s="497" t="n"/>
    </row>
    <row r="423">
      <c r="A423" s="968" t="n"/>
      <c r="B423" s="794" t="inlineStr">
        <is>
          <t xml:space="preserve">(BEING WRONG ENRTY OF PURCHASE RETURN PASS IN 1880 </t>
        </is>
      </c>
      <c r="D423" s="794" t="n"/>
    </row>
    <row r="424">
      <c r="A424" s="968" t="n"/>
      <c r="B424" s="794" t="inlineStr">
        <is>
          <t>INSEAD OF 8548)</t>
        </is>
      </c>
      <c r="D424" s="794" t="n"/>
    </row>
    <row r="425" ht="16.5" customHeight="1">
      <c r="A425" s="969" t="n"/>
      <c r="B425" s="424" t="n"/>
      <c r="C425" s="1915" t="n"/>
      <c r="D425" s="1888" t="n"/>
    </row>
    <row r="426">
      <c r="A426" s="970" t="n"/>
      <c r="B426" s="465" t="n"/>
      <c r="C426" s="1913" t="n"/>
      <c r="D426" s="1893" t="n"/>
      <c r="E426" s="497" t="n"/>
    </row>
    <row r="427">
      <c r="A427" s="1885">
        <f>+A417+1</f>
        <v/>
      </c>
      <c r="B427" s="794" t="inlineStr">
        <is>
          <t>GL 1878 GGST PAYABLE A/C. DR….</t>
        </is>
      </c>
      <c r="C427" s="1880">
        <f>+HO!D60</f>
        <v/>
      </c>
      <c r="D427" s="1886" t="n"/>
      <c r="E427" s="497" t="n"/>
      <c r="F427" s="1880" t="n"/>
    </row>
    <row r="428">
      <c r="A428" s="1885" t="n"/>
      <c r="B428" s="794" t="inlineStr">
        <is>
          <t>GL 1879 CGST PAYABLE A/C. DR….</t>
        </is>
      </c>
      <c r="C428" s="1880">
        <f>+HO!E60</f>
        <v/>
      </c>
      <c r="D428" s="1886" t="n"/>
      <c r="E428" s="497" t="n"/>
    </row>
    <row r="429">
      <c r="A429" s="1885" t="n"/>
      <c r="B429" s="794" t="inlineStr">
        <is>
          <t>GL 1880 IGST PAYABLE A/C. DR….</t>
        </is>
      </c>
      <c r="C429" s="1880">
        <f>HO!F60-C419</f>
        <v/>
      </c>
      <c r="D429" s="1886" t="n"/>
      <c r="E429" s="497" t="n"/>
    </row>
    <row r="430">
      <c r="A430" s="1885" t="n"/>
      <c r="B430" s="794" t="inlineStr">
        <is>
          <t xml:space="preserve">      TO GL 1881 GROSS GGST PAYABLE A/C..</t>
        </is>
      </c>
      <c r="C430" s="1880" t="n"/>
      <c r="D430" s="1886">
        <f>+C427</f>
        <v/>
      </c>
      <c r="E430" s="497" t="n"/>
    </row>
    <row r="431">
      <c r="A431" s="1885" t="n"/>
      <c r="B431" s="794" t="inlineStr">
        <is>
          <t xml:space="preserve">      TO GL 1882 GROSS CGST PAYABLE A/C..</t>
        </is>
      </c>
      <c r="C431" s="1880" t="n"/>
      <c r="D431" s="1886">
        <f>+C428</f>
        <v/>
      </c>
      <c r="E431" s="497" t="n"/>
    </row>
    <row r="432">
      <c r="A432" s="1885" t="n"/>
      <c r="B432" s="794" t="inlineStr">
        <is>
          <t xml:space="preserve">      TO GL 1883 GROSS IGST PAYABLE A/C..</t>
        </is>
      </c>
      <c r="C432" s="1880" t="n"/>
      <c r="D432" s="1886">
        <f>+C429</f>
        <v/>
      </c>
    </row>
    <row r="433">
      <c r="A433" s="1885" t="n"/>
      <c r="B433" s="794" t="inlineStr">
        <is>
          <t>(BEING GST PAYABLE FOR THE MONTH OF</t>
        </is>
      </c>
      <c r="C433" s="1880" t="n"/>
      <c r="D433" s="1886" t="n"/>
    </row>
    <row r="434">
      <c r="A434" s="1885" t="n"/>
      <c r="B434" s="794" t="inlineStr">
        <is>
          <t>AUG 2026 TRANSFER FROM BRANCH)</t>
        </is>
      </c>
      <c r="C434" s="1880" t="n"/>
      <c r="D434" s="1886" t="n"/>
    </row>
    <row r="435" ht="16.5" customHeight="1">
      <c r="A435" s="1887" t="n"/>
      <c r="B435" s="1888" t="n"/>
      <c r="C435" s="1889" t="n"/>
      <c r="D435" s="1890" t="n"/>
    </row>
    <row r="436">
      <c r="A436" s="1885" t="n"/>
      <c r="B436" s="794" t="n"/>
      <c r="C436" s="1880" t="n"/>
      <c r="D436" s="1886" t="n"/>
    </row>
    <row r="437">
      <c r="A437" s="1885">
        <f>+A427+1</f>
        <v/>
      </c>
      <c r="B437" s="794" t="inlineStr">
        <is>
          <t>GL 1878 GGST PAYABLE A/C. DR….</t>
        </is>
      </c>
      <c r="C437" s="1880" t="n">
        <v>0</v>
      </c>
      <c r="D437" s="1886" t="n"/>
    </row>
    <row r="438">
      <c r="A438" s="1885" t="n"/>
      <c r="B438" s="794" t="inlineStr">
        <is>
          <t>PL 4197 SERVICE TAX/GST EXPENSES A/C. DR</t>
        </is>
      </c>
      <c r="C438" s="1880">
        <f>+D439</f>
        <v/>
      </c>
      <c r="D438" s="1886" t="n"/>
    </row>
    <row r="439">
      <c r="A439" s="1885" t="n"/>
      <c r="B439" s="794" t="inlineStr">
        <is>
          <t xml:space="preserve">          TO GL 1879 CGST PAYABLE A/C. </t>
        </is>
      </c>
      <c r="C439" s="1880" t="n"/>
      <c r="D439" s="1886" t="n">
        <v>0</v>
      </c>
    </row>
    <row r="440">
      <c r="A440" s="1885" t="n"/>
      <c r="B440" s="794" t="inlineStr">
        <is>
          <t xml:space="preserve">          TO GL 1880 IGST PAYABLE A/C.</t>
        </is>
      </c>
      <c r="C440" s="1880" t="n"/>
      <c r="D440" s="1886" t="n">
        <v>0</v>
      </c>
    </row>
    <row r="441">
      <c r="A441" s="1885" t="n"/>
      <c r="B441" s="794" t="inlineStr">
        <is>
          <t xml:space="preserve">(BEING TRANSFER OF CREDIT RECODED IN PAYABLE ACCOUNT INTO  </t>
        </is>
      </c>
      <c r="C441" s="1880" t="n"/>
      <c r="D441" s="1886" t="n"/>
    </row>
    <row r="442" ht="16.5" customHeight="1">
      <c r="A442" s="1885" t="n"/>
      <c r="B442" s="794" t="inlineStr">
        <is>
          <t>RECEIVABLE ACCOUNT)</t>
        </is>
      </c>
      <c r="C442" s="1880" t="n"/>
      <c r="D442" s="1886" t="n"/>
    </row>
    <row r="443">
      <c r="A443" s="1892" t="n"/>
      <c r="B443" s="1893" t="n"/>
      <c r="C443" s="1905" t="n"/>
      <c r="D443" s="1894" t="n"/>
    </row>
    <row r="444">
      <c r="A444" s="1885">
        <f>+A437+1</f>
        <v/>
      </c>
      <c r="B444" s="794" t="inlineStr">
        <is>
          <t>PL 3310 MIS. INCOME    DR…</t>
        </is>
      </c>
      <c r="C444" s="1880">
        <f>+D445+D446</f>
        <v/>
      </c>
      <c r="D444" s="1886" t="n"/>
    </row>
    <row r="445">
      <c r="A445" s="1885" t="n"/>
      <c r="B445" s="794" t="inlineStr">
        <is>
          <t xml:space="preserve">      TO GL 1881 GROSS GGST PAYABLE A/C..</t>
        </is>
      </c>
      <c r="C445" s="1880" t="n"/>
      <c r="D445" s="1886" t="n">
        <v>0</v>
      </c>
      <c r="E445" s="497" t="n"/>
    </row>
    <row r="446">
      <c r="A446" s="1885" t="n"/>
      <c r="B446" s="794" t="inlineStr">
        <is>
          <t xml:space="preserve">      TO GL 1882 GROSS CGST PAYABLE A/C..</t>
        </is>
      </c>
      <c r="C446" s="1880" t="n"/>
      <c r="D446" s="1886">
        <f>+D445</f>
        <v/>
      </c>
      <c r="E446" s="497" t="n"/>
    </row>
    <row r="447">
      <c r="A447" s="1885" t="n"/>
      <c r="B447" s="794" t="inlineStr">
        <is>
          <t xml:space="preserve">(BEING CREATE GST PAYABLE ON THE INCOME DIRECTLY CREDITED </t>
        </is>
      </c>
      <c r="C447" s="1880" t="n"/>
      <c r="D447" s="1886" t="n"/>
    </row>
    <row r="448" ht="16.5" customHeight="1">
      <c r="A448" s="1885" t="n"/>
      <c r="B448" s="794" t="inlineStr">
        <is>
          <t>IN PL 3310)</t>
        </is>
      </c>
      <c r="C448" s="1880" t="n"/>
      <c r="D448" s="1886" t="n"/>
    </row>
    <row r="449" ht="11.25" customHeight="1">
      <c r="A449" s="1892" t="n"/>
      <c r="B449" s="1893" t="n"/>
      <c r="C449" s="1905" t="n"/>
      <c r="D449" s="1894" t="n"/>
    </row>
    <row r="450">
      <c r="A450" s="1885">
        <f>+A444+1</f>
        <v/>
      </c>
      <c r="B450" s="794" t="inlineStr">
        <is>
          <t>GL 8549 GROSS GGST RECEIVABLE A/C. DR….</t>
        </is>
      </c>
      <c r="C450" s="1880">
        <f>+D454/2</f>
        <v/>
      </c>
      <c r="D450" s="1886" t="n"/>
      <c r="E450" s="1880" t="n"/>
    </row>
    <row r="451">
      <c r="A451" s="1885" t="n"/>
      <c r="B451" s="794" t="inlineStr">
        <is>
          <t>GL 8551 GROSS CGST RECEIVABLE A/C. DR….</t>
        </is>
      </c>
      <c r="C451" s="1880">
        <f>+D455/2</f>
        <v/>
      </c>
      <c r="D451" s="1886" t="n"/>
      <c r="E451" s="1880" t="n"/>
    </row>
    <row r="452" ht="15.75" customHeight="1">
      <c r="A452" s="1885" t="n"/>
      <c r="B452" s="794" t="inlineStr">
        <is>
          <t>GL 8552 GROSS IGST RECEIVABLE A/C. DR….</t>
        </is>
      </c>
      <c r="C452" s="1880">
        <f>+D456/2</f>
        <v/>
      </c>
      <c r="D452" s="1886" t="n"/>
      <c r="E452" s="1942" t="n"/>
      <c r="G452" s="1943" t="n"/>
    </row>
    <row r="453" ht="15.75" customHeight="1">
      <c r="A453" s="1885" t="n"/>
      <c r="B453" s="794" t="inlineStr">
        <is>
          <t>PL 4197 SERVICE TAX/GST EXPENSES A/C. DR</t>
        </is>
      </c>
      <c r="C453" s="1880">
        <f>SUM(D454:D456)/2</f>
        <v/>
      </c>
      <c r="D453" s="1886" t="n"/>
      <c r="E453" s="1910" t="n"/>
      <c r="G453" s="1943" t="n"/>
    </row>
    <row r="454" ht="15.75" customHeight="1">
      <c r="A454" s="1907" t="n"/>
      <c r="B454" s="794" t="inlineStr">
        <is>
          <t xml:space="preserve">      TO GL 8546 GGST RECEIVABLE A/C..</t>
        </is>
      </c>
      <c r="C454" s="1880" t="n"/>
      <c r="D454" s="1886">
        <f>+HO!D69</f>
        <v/>
      </c>
      <c r="E454" s="1910" t="n"/>
      <c r="G454" s="1943" t="n"/>
    </row>
    <row r="455" ht="16.5" customHeight="1">
      <c r="A455" s="1907" t="n"/>
      <c r="B455" s="794" t="inlineStr">
        <is>
          <t xml:space="preserve">      TO GL 8547 CGST RECEIVABLE A/C..</t>
        </is>
      </c>
      <c r="C455" s="1880" t="n"/>
      <c r="D455" s="1886">
        <f>+HO!E69</f>
        <v/>
      </c>
      <c r="E455" s="1910" t="n"/>
      <c r="G455" s="1943" t="n"/>
    </row>
    <row r="456" ht="15.75" customHeight="1">
      <c r="A456" s="1907" t="n"/>
      <c r="B456" s="794" t="inlineStr">
        <is>
          <t xml:space="preserve">      TO GL 8548 IGST RECEIVABLE A/C..</t>
        </is>
      </c>
      <c r="C456" s="1880" t="n"/>
      <c r="D456" s="1886">
        <f>+HO!F69</f>
        <v/>
      </c>
      <c r="E456" s="1910" t="n"/>
      <c r="G456" s="1943" t="n"/>
    </row>
    <row r="457">
      <c r="A457" s="1907" t="n"/>
      <c r="B457" s="794" t="inlineStr">
        <is>
          <t>(BEING 50% SET OFF TRF TO EXPS PL4197 AND</t>
        </is>
      </c>
      <c r="C457" s="1880" t="n"/>
      <c r="D457" s="1886" t="n"/>
      <c r="E457" s="1880" t="n"/>
      <c r="P457" s="1880">
        <f>+N563-O563</f>
        <v/>
      </c>
    </row>
    <row r="458" ht="16.5" customHeight="1">
      <c r="A458" s="1907" t="n"/>
      <c r="B458" s="794" t="inlineStr">
        <is>
          <t>50% TRF TO GROSS RECEIVABLE)</t>
        </is>
      </c>
      <c r="C458" s="1880" t="n"/>
      <c r="D458" s="1886" t="n"/>
      <c r="E458" s="1880" t="n"/>
      <c r="P458" s="1880">
        <f>+N564-O564</f>
        <v/>
      </c>
    </row>
    <row r="459">
      <c r="A459" s="1932" t="n"/>
      <c r="B459" s="1893" t="n"/>
      <c r="C459" s="1905" t="n"/>
      <c r="D459" s="1894" t="n"/>
      <c r="E459" s="1880" t="n"/>
      <c r="P459" s="1880" t="n"/>
    </row>
    <row r="460" ht="15.75" customHeight="1">
      <c r="A460" s="1885">
        <f>+A450+1</f>
        <v/>
      </c>
      <c r="B460" s="794" t="inlineStr">
        <is>
          <t>GROSS GGST ISD RECEIVABLE A/C. DR</t>
        </is>
      </c>
      <c r="C460" s="1880">
        <f>+D463</f>
        <v/>
      </c>
      <c r="D460" s="1886" t="n"/>
      <c r="E460" s="1944" t="n"/>
      <c r="F460" s="1944" t="n"/>
      <c r="P460" s="1880" t="n"/>
    </row>
    <row r="461">
      <c r="A461" s="1907" t="n"/>
      <c r="B461" s="794" t="inlineStr">
        <is>
          <t>GROSS CGST ISD RECEIVABLE A/C. DR..</t>
        </is>
      </c>
      <c r="C461" s="1880">
        <f>+D464</f>
        <v/>
      </c>
      <c r="D461" s="1886" t="n"/>
      <c r="E461" s="1938" t="inlineStr">
        <is>
          <t>isd</t>
        </is>
      </c>
      <c r="F461" s="1944" t="n"/>
      <c r="P461" s="1880" t="n"/>
    </row>
    <row r="462">
      <c r="A462" s="1907" t="n"/>
      <c r="B462" s="794" t="inlineStr">
        <is>
          <t>GROSS IGST ISD RECEIVABLE A/C. DR…</t>
        </is>
      </c>
      <c r="C462" s="1880">
        <f>+D465</f>
        <v/>
      </c>
      <c r="D462" s="1886" t="n"/>
      <c r="E462" s="1938" t="n"/>
      <c r="F462" s="1944" t="n"/>
      <c r="P462" s="1880" t="n"/>
    </row>
    <row r="463">
      <c r="A463" s="1907" t="n"/>
      <c r="B463" s="794" t="inlineStr">
        <is>
          <t xml:space="preserve">           TO GL 8546 GGST RECEIVABLE A/C…</t>
        </is>
      </c>
      <c r="C463" s="1880" t="n"/>
      <c r="D463" s="1886">
        <f>+HO!D68</f>
        <v/>
      </c>
      <c r="E463" s="1944" t="n"/>
      <c r="F463" s="1944" t="n"/>
      <c r="P463" s="1880" t="n"/>
    </row>
    <row r="464">
      <c r="A464" s="1907" t="n"/>
      <c r="B464" s="794" t="inlineStr">
        <is>
          <t xml:space="preserve">           TO GL 8547 CGST RECEIVABLE A/C…</t>
        </is>
      </c>
      <c r="C464" s="1880" t="n"/>
      <c r="D464" s="1886">
        <f>+HO!E68</f>
        <v/>
      </c>
      <c r="E464" s="1944" t="n"/>
      <c r="F464" s="1944" t="n"/>
      <c r="P464" s="1880" t="n"/>
    </row>
    <row r="465">
      <c r="A465" s="1907" t="n"/>
      <c r="B465" s="794" t="inlineStr">
        <is>
          <t xml:space="preserve">           TO GL 8548 IGST RECEIVABLE A/C…</t>
        </is>
      </c>
      <c r="C465" s="1880" t="n"/>
      <c r="D465" s="1886">
        <f>+HO!F68</f>
        <v/>
      </c>
      <c r="E465" s="1944" t="n"/>
      <c r="F465" s="1944" t="n"/>
      <c r="P465" s="1880" t="n"/>
    </row>
    <row r="466">
      <c r="A466" s="1907" t="n"/>
      <c r="B466" s="794" t="inlineStr">
        <is>
          <t>(BEING AMOUNT TRF TO ISD A/C)</t>
        </is>
      </c>
      <c r="C466" s="1880" t="n"/>
      <c r="D466" s="1886" t="n"/>
      <c r="E466" s="1944" t="n"/>
      <c r="F466" s="1944" t="n"/>
      <c r="P466" s="1880" t="n"/>
    </row>
    <row r="467" ht="16.5" customHeight="1">
      <c r="A467" s="1931" t="n"/>
      <c r="B467" s="1888" t="n"/>
      <c r="C467" s="1889" t="n"/>
      <c r="D467" s="1890" t="n"/>
      <c r="E467" s="1880" t="n"/>
      <c r="F467" s="685" t="n"/>
      <c r="P467" s="1880" t="n"/>
    </row>
    <row r="468">
      <c r="A468" s="1907" t="n"/>
      <c r="B468" s="794" t="n"/>
      <c r="C468" s="1880" t="n"/>
      <c r="D468" s="1886" t="n"/>
      <c r="E468" s="1880" t="n"/>
      <c r="F468" s="685" t="n"/>
      <c r="P468" s="1880" t="n"/>
    </row>
    <row r="469">
      <c r="A469" s="1907">
        <f>+A460+1</f>
        <v/>
      </c>
      <c r="B469" s="794" t="inlineStr">
        <is>
          <t>GROSS GGST ISD RECEIVABLE A/C. DR</t>
        </is>
      </c>
      <c r="C469" s="1880">
        <f>+D472</f>
        <v/>
      </c>
      <c r="D469" s="1886" t="n"/>
      <c r="E469" s="1880" t="n"/>
      <c r="F469" s="685" t="n"/>
      <c r="P469" s="1880" t="n"/>
    </row>
    <row r="470">
      <c r="A470" s="1907" t="n"/>
      <c r="B470" s="794" t="inlineStr">
        <is>
          <t>GROSS CGST ISD RECEIVABLE A/C. DR..</t>
        </is>
      </c>
      <c r="C470" s="1880">
        <f>+D473</f>
        <v/>
      </c>
      <c r="D470" s="1886" t="n"/>
      <c r="E470" s="1880" t="n"/>
      <c r="F470" s="685" t="n"/>
      <c r="P470" s="1880" t="n"/>
    </row>
    <row r="471">
      <c r="A471" s="1907" t="n"/>
      <c r="B471" s="794" t="inlineStr">
        <is>
          <t>GROSS IGST ISD RECEIVABLE A/C. DR…</t>
        </is>
      </c>
      <c r="C471" s="1880" t="n"/>
      <c r="D471" s="1886" t="n"/>
      <c r="E471" s="1880" t="n"/>
      <c r="F471" s="685" t="n"/>
      <c r="P471" s="1880" t="n"/>
    </row>
    <row r="472">
      <c r="A472" s="1907" t="n"/>
      <c r="B472" s="794" t="inlineStr">
        <is>
          <t xml:space="preserve">                    TO GL 8549 GROSS GGST RECEIVABLE A/C.</t>
        </is>
      </c>
      <c r="C472" s="1880" t="n"/>
      <c r="D472" s="1886" t="n">
        <v>0</v>
      </c>
      <c r="E472" s="1880" t="inlineStr">
        <is>
          <t>isd</t>
        </is>
      </c>
      <c r="F472" s="685" t="n"/>
      <c r="P472" s="1880" t="n"/>
    </row>
    <row r="473">
      <c r="A473" s="1907" t="n"/>
      <c r="B473" s="794" t="inlineStr">
        <is>
          <t xml:space="preserve">                    TO GL 8551 GROSS CGST RECEIVABLE A/C.</t>
        </is>
      </c>
      <c r="C473" s="1880" t="n"/>
      <c r="D473" s="1886" t="n">
        <v>0</v>
      </c>
      <c r="E473" s="1880" t="n"/>
      <c r="F473" s="685" t="n"/>
      <c r="P473" s="1880" t="n"/>
    </row>
    <row r="474">
      <c r="A474" s="1907" t="n"/>
      <c r="B474" s="794" t="inlineStr">
        <is>
          <t xml:space="preserve">                    TO GL 8552 GROSS IGST RECEIVABLE A/C. </t>
        </is>
      </c>
      <c r="C474" s="1880" t="n"/>
      <c r="D474" s="1886" t="n"/>
      <c r="E474" s="1880" t="n"/>
      <c r="F474" s="685" t="n"/>
      <c r="P474" s="1880" t="n"/>
    </row>
    <row r="475">
      <c r="A475" s="1907" t="n"/>
      <c r="B475" s="794" t="inlineStr">
        <is>
          <t>(BEING AMOUNT TRF TO ISD A/C)</t>
        </is>
      </c>
      <c r="C475" s="1880" t="n"/>
      <c r="D475" s="1886" t="n"/>
      <c r="E475" s="1880" t="n"/>
      <c r="F475" s="685" t="n"/>
      <c r="P475" s="1880" t="n"/>
    </row>
    <row r="476" ht="16.5" customHeight="1">
      <c r="A476" s="1907" t="n"/>
      <c r="B476" s="794" t="n"/>
      <c r="C476" s="1880" t="n"/>
      <c r="D476" s="1886" t="n"/>
      <c r="E476" s="1880" t="n"/>
      <c r="F476" s="685" t="n"/>
      <c r="P476" s="1880" t="n"/>
    </row>
    <row r="477">
      <c r="A477" s="1892" t="n"/>
      <c r="B477" s="1893" t="n"/>
      <c r="C477" s="1894" t="n"/>
      <c r="D477" s="1894" t="n"/>
      <c r="E477" s="1880" t="n"/>
      <c r="P477" s="1880" t="n"/>
    </row>
    <row r="478">
      <c r="A478" s="1885">
        <f>+A469+1</f>
        <v/>
      </c>
      <c r="B478" s="794" t="inlineStr">
        <is>
          <t>GROSS IGST ISD RECEIVABLE  (ANDHERI) A/C. DR…</t>
        </is>
      </c>
      <c r="C478" s="1886">
        <f>+SUM(D479:D481)</f>
        <v/>
      </c>
      <c r="D478" s="1886" t="n"/>
      <c r="E478" s="1880" t="n"/>
      <c r="P478" s="1880" t="n"/>
    </row>
    <row r="479">
      <c r="A479" s="1885" t="n"/>
      <c r="B479" s="1908" t="inlineStr">
        <is>
          <t xml:space="preserve"> TO  GROSS GGST ISD RECEIVABLE A/C…</t>
        </is>
      </c>
      <c r="C479" s="1886" t="n"/>
      <c r="D479" s="1886">
        <f>+D463-'SUMMARY SHEET GST'!D62</f>
        <v/>
      </c>
      <c r="E479" s="1880" t="inlineStr">
        <is>
          <t>isd</t>
        </is>
      </c>
      <c r="P479" s="1880" t="n"/>
    </row>
    <row r="480">
      <c r="A480" s="1885" t="n"/>
      <c r="B480" s="1908" t="inlineStr">
        <is>
          <t xml:space="preserve"> TO GROSS CGST ISD RECEIVABLE A/C…</t>
        </is>
      </c>
      <c r="C480" s="1886" t="n"/>
      <c r="D480" s="1886">
        <f>+D464-'SUMMARY SHEET GST'!E62+C470</f>
        <v/>
      </c>
      <c r="E480" s="1880" t="n"/>
      <c r="P480" s="1880" t="n"/>
    </row>
    <row r="481">
      <c r="A481" s="1885" t="n"/>
      <c r="B481" s="1908" t="inlineStr">
        <is>
          <t xml:space="preserve"> TO GROSS IGST ISD RECEIVABLE A/C…</t>
        </is>
      </c>
      <c r="C481" s="1886" t="n"/>
      <c r="D481" s="1886">
        <f>+D465-'SUMMARY SHEET GST'!F62+C471</f>
        <v/>
      </c>
      <c r="E481" s="1880" t="n"/>
      <c r="P481" s="1880" t="n"/>
    </row>
    <row r="482">
      <c r="A482" s="1885" t="n"/>
      <c r="B482" s="794" t="inlineStr">
        <is>
          <t xml:space="preserve">(BEING ISD AMOUNT OF ANDHERI BRANCH TRANSFERRED FROM </t>
        </is>
      </c>
      <c r="C482" s="1886" t="n"/>
      <c r="D482" s="1886" t="n">
        <v>0</v>
      </c>
      <c r="E482" s="1880" t="n"/>
      <c r="P482" s="1880" t="n"/>
    </row>
    <row r="483" ht="16.5" customHeight="1">
      <c r="A483" s="1887" t="n"/>
      <c r="B483" s="1888" t="inlineStr">
        <is>
          <t>HO BRANCH)</t>
        </is>
      </c>
      <c r="C483" s="1890" t="n"/>
      <c r="D483" s="1890" t="n"/>
      <c r="E483" s="1880" t="n"/>
      <c r="P483" s="1880" t="n"/>
    </row>
    <row r="484">
      <c r="A484" s="1892" t="n"/>
      <c r="B484" s="1893" t="n"/>
      <c r="C484" s="1894" t="n"/>
      <c r="D484" s="1894" t="n"/>
      <c r="E484" s="1880" t="n"/>
      <c r="P484" s="1880" t="n"/>
    </row>
    <row r="485">
      <c r="A485" s="1885">
        <f>+A478+1</f>
        <v/>
      </c>
      <c r="B485" s="794" t="inlineStr">
        <is>
          <t>PL 4197 SERVICE TAX/GST EXPENSES A/C. DR</t>
        </is>
      </c>
      <c r="C485" s="1886">
        <f>+SUM(D486:D488)</f>
        <v/>
      </c>
      <c r="D485" s="1886" t="n"/>
      <c r="E485" s="1880" t="inlineStr">
        <is>
          <t>isd</t>
        </is>
      </c>
      <c r="P485" s="1880" t="n"/>
    </row>
    <row r="486">
      <c r="A486" s="1885" t="n"/>
      <c r="B486" s="1908" t="inlineStr">
        <is>
          <t xml:space="preserve"> TO  GROSS GGST ISD RECEIVABLE A/C…</t>
        </is>
      </c>
      <c r="C486" s="1886" t="n"/>
      <c r="D486" s="1886">
        <f>+(D463-D479+C469)/2</f>
        <v/>
      </c>
      <c r="E486" s="1880" t="n"/>
      <c r="P486" s="1880" t="n"/>
    </row>
    <row r="487">
      <c r="A487" s="1885" t="n"/>
      <c r="B487" s="1908" t="inlineStr">
        <is>
          <t xml:space="preserve"> TO  GROSS CGST ISD RECEIVABLE A/C…</t>
        </is>
      </c>
      <c r="C487" s="1886" t="n"/>
      <c r="D487" s="1886">
        <f>+(D464-D480+C470)/2</f>
        <v/>
      </c>
      <c r="E487" s="1880" t="n"/>
      <c r="P487" s="1880" t="n"/>
    </row>
    <row r="488">
      <c r="A488" s="1885" t="n"/>
      <c r="B488" s="1908" t="inlineStr">
        <is>
          <t xml:space="preserve"> TO  GROSS IGST ISD RECEIVABLE A/C…</t>
        </is>
      </c>
      <c r="C488" s="1886" t="n"/>
      <c r="D488" s="1886">
        <f>+(D465-D481+C471)/2</f>
        <v/>
      </c>
      <c r="E488" s="1880" t="n"/>
      <c r="P488" s="1880" t="n"/>
    </row>
    <row r="489" ht="15" customHeight="1">
      <c r="A489" s="1885" t="n"/>
      <c r="B489" s="794" t="inlineStr">
        <is>
          <t>(BEING 50% SET OFF OF ISD TRF TO EXPS PL4197)</t>
        </is>
      </c>
      <c r="C489" s="1886" t="n"/>
      <c r="D489" s="1886" t="n"/>
      <c r="E489" s="1880" t="n"/>
      <c r="P489" s="1880" t="n"/>
    </row>
    <row r="490" ht="16.5" customHeight="1">
      <c r="A490" s="1887" t="n"/>
      <c r="B490" s="1888" t="n"/>
      <c r="C490" s="1890" t="n"/>
      <c r="D490" s="1890" t="n"/>
      <c r="E490" s="1880" t="n"/>
      <c r="P490" s="1880" t="n"/>
    </row>
    <row r="491">
      <c r="A491" s="1885" t="n"/>
      <c r="B491" s="794" t="n"/>
      <c r="C491" s="1886" t="n"/>
      <c r="D491" s="1886" t="n"/>
      <c r="E491" s="1880" t="n"/>
      <c r="P491" s="1880" t="n"/>
    </row>
    <row r="492">
      <c r="A492" s="1885">
        <f>+A485+1</f>
        <v/>
      </c>
      <c r="B492" s="794" t="inlineStr">
        <is>
          <t>GL 1881 GROSS GGST PAYABLE A/C..  DR</t>
        </is>
      </c>
      <c r="C492" s="1886" t="n">
        <v>0</v>
      </c>
      <c r="D492" s="1886" t="n"/>
      <c r="E492" s="1880" t="n"/>
      <c r="P492" s="1880" t="n"/>
    </row>
    <row r="493">
      <c r="A493" s="1885" t="n"/>
      <c r="B493" s="794" t="inlineStr">
        <is>
          <t>GL 1882 GROSS CGST PAYABLE A/C..  DR</t>
        </is>
      </c>
      <c r="C493" s="1886" t="n">
        <v>0</v>
      </c>
      <c r="D493" s="1886" t="n"/>
      <c r="P493" s="1880" t="n"/>
    </row>
    <row r="494">
      <c r="A494" s="1907" t="n"/>
      <c r="B494" s="794" t="inlineStr">
        <is>
          <t>GL 1883 GROSS IGST PAYABLE A/C..   DR</t>
        </is>
      </c>
      <c r="C494" s="1884" t="n">
        <v>0</v>
      </c>
      <c r="D494" s="1886" t="n"/>
      <c r="E494" s="1880" t="n"/>
      <c r="P494" s="1880" t="n"/>
    </row>
    <row r="495">
      <c r="A495" s="1907" t="n"/>
      <c r="B495" s="794" t="inlineStr">
        <is>
          <t xml:space="preserve">                      TO PL 4197 SERVICE TAX/GST EXPENSES A/C</t>
        </is>
      </c>
      <c r="C495" s="1901" t="n"/>
      <c r="D495" s="1886">
        <f>+C493+C492+C494</f>
        <v/>
      </c>
      <c r="E495" s="1880" t="n"/>
      <c r="P495" s="1880" t="n"/>
    </row>
    <row r="496">
      <c r="A496" s="1907" t="n"/>
      <c r="B496" s="794" t="inlineStr">
        <is>
          <t>(BEING SHORT COLLECTION TRF TO EXPS)</t>
        </is>
      </c>
      <c r="C496" s="1886" t="n"/>
      <c r="D496" s="1886" t="n"/>
      <c r="E496" s="1880" t="n"/>
      <c r="P496" s="1880" t="n"/>
    </row>
    <row r="497" ht="16.5" customHeight="1">
      <c r="A497" s="1907" t="n"/>
      <c r="B497" s="794" t="n"/>
      <c r="C497" s="1886" t="n"/>
      <c r="D497" s="1886" t="n"/>
      <c r="E497" s="1880" t="n"/>
      <c r="P497" s="1880" t="n"/>
    </row>
    <row r="498">
      <c r="A498" s="1892" t="n"/>
      <c r="B498" s="1893" t="n"/>
      <c r="C498" s="1894" t="n"/>
      <c r="D498" s="1894" t="n"/>
      <c r="E498" s="1880" t="n"/>
      <c r="P498" s="1880" t="n"/>
    </row>
    <row r="499">
      <c r="A499" s="1885">
        <f>+A492+1</f>
        <v/>
      </c>
      <c r="B499" s="794" t="inlineStr">
        <is>
          <t>PL 4197 SERVICE TAX/GST EXPENSES A/C. DR</t>
        </is>
      </c>
      <c r="C499" s="1886">
        <f>+SUM(D500:D502)</f>
        <v/>
      </c>
      <c r="D499" s="1886" t="n"/>
      <c r="E499" s="1880" t="n"/>
      <c r="P499" s="1880" t="n"/>
    </row>
    <row r="500">
      <c r="A500" s="1885" t="n"/>
      <c r="B500" s="794" t="inlineStr">
        <is>
          <t xml:space="preserve">      TO GL 8549 GROSS GGST RECEIVABLE A/C..</t>
        </is>
      </c>
      <c r="C500" s="1886" t="n"/>
      <c r="D500" s="1886">
        <f>(+'SUMMARY SHEET GST'!G57/2)</f>
        <v/>
      </c>
      <c r="E500" s="1880" t="n"/>
      <c r="P500" s="1880" t="n"/>
    </row>
    <row r="501">
      <c r="A501" s="1907" t="n"/>
      <c r="B501" s="794" t="inlineStr">
        <is>
          <t xml:space="preserve">      TO GL 8551 GROSS CGST RECEIVABLE A/C..</t>
        </is>
      </c>
      <c r="C501" s="1901" t="n"/>
      <c r="D501" s="1886">
        <f>(+'SUMMARY SHEET GST'!H57/2)</f>
        <v/>
      </c>
      <c r="E501" s="1880" t="n"/>
      <c r="P501" s="1880" t="n"/>
    </row>
    <row r="502">
      <c r="A502" s="1907" t="n"/>
      <c r="B502" s="794" t="inlineStr">
        <is>
          <t xml:space="preserve">      TO GL 8552 GROSS IGST RECEIVABLE A/C..</t>
        </is>
      </c>
      <c r="C502" s="1901" t="n"/>
      <c r="D502" s="1886">
        <f>(+'SUMMARY SHEET GST'!I57/2)</f>
        <v/>
      </c>
      <c r="E502" s="1880" t="n"/>
      <c r="P502" s="1880" t="n"/>
    </row>
    <row r="503">
      <c r="A503" s="1907" t="n"/>
      <c r="B503" s="794" t="inlineStr">
        <is>
          <t>(BEING SET OFF TRF TO EXPS PL4197 OF BILLS</t>
        </is>
      </c>
      <c r="C503" s="1886" t="n"/>
      <c r="D503" s="1886" t="n"/>
      <c r="E503" s="1880" t="n"/>
      <c r="P503" s="1880" t="n"/>
    </row>
    <row r="504" ht="16.5" customHeight="1">
      <c r="A504" s="1907" t="n"/>
      <c r="B504" s="794" t="inlineStr">
        <is>
          <t>ON WHICH GST NO NOT MENTIONED)</t>
        </is>
      </c>
      <c r="C504" s="1886" t="n"/>
      <c r="D504" s="1886" t="n"/>
      <c r="E504" s="1880" t="n"/>
      <c r="P504" s="1880" t="n"/>
    </row>
    <row r="505">
      <c r="A505" s="1892" t="n"/>
      <c r="B505" s="1893" t="n"/>
      <c r="C505" s="1894" t="n"/>
      <c r="D505" s="1894" t="n"/>
      <c r="E505" s="1880" t="n"/>
      <c r="P505" s="1880" t="n"/>
    </row>
    <row r="506">
      <c r="A506" s="1885">
        <f>+A499+1</f>
        <v/>
      </c>
      <c r="B506" s="794" t="inlineStr">
        <is>
          <t>PL 4197 SERVICE TAX/GST EXPENSES A/C. DR</t>
        </is>
      </c>
      <c r="C506" s="1886">
        <f>+SUM(D507:D509)</f>
        <v/>
      </c>
      <c r="D506" s="1886" t="n"/>
      <c r="E506" s="1880" t="n"/>
      <c r="P506" s="1880" t="n"/>
    </row>
    <row r="507">
      <c r="A507" s="1907" t="n"/>
      <c r="B507" s="794" t="inlineStr">
        <is>
          <t xml:space="preserve">      TO GL 8549 GROSS GGST RECEIVABLE A/C..</t>
        </is>
      </c>
      <c r="C507" s="1886" t="n"/>
      <c r="D507" s="1886" t="n"/>
      <c r="E507" s="1880">
        <f>+D507*2</f>
        <v/>
      </c>
      <c r="P507" s="1880" t="n"/>
    </row>
    <row r="508">
      <c r="A508" s="1907" t="n"/>
      <c r="B508" s="794" t="inlineStr">
        <is>
          <t xml:space="preserve">      TO GL 8551 GROSS CGST RECEIVABLE A/C..</t>
        </is>
      </c>
      <c r="C508" s="1886" t="n"/>
      <c r="D508" s="1886" t="n"/>
      <c r="E508" s="1880">
        <f>+D508*2</f>
        <v/>
      </c>
      <c r="P508" s="1880" t="n"/>
    </row>
    <row r="509">
      <c r="A509" s="1907" t="n"/>
      <c r="B509" s="794" t="inlineStr">
        <is>
          <t xml:space="preserve">      TO GL 8552 GROSS IGST RECEIVABLE A/C..</t>
        </is>
      </c>
      <c r="C509" s="1886" t="n"/>
      <c r="D509" s="1886" t="n"/>
      <c r="E509" s="1880">
        <f>+D509*2</f>
        <v/>
      </c>
      <c r="P509" s="1880" t="n"/>
    </row>
    <row r="510">
      <c r="A510" s="1907" t="n"/>
      <c r="B510" s="794" t="inlineStr">
        <is>
          <t>(BEING SET OFF TRF TO EXPS PL4197 OF BILLS OF F.Y.24-25</t>
        </is>
      </c>
      <c r="C510" s="1886" t="n"/>
      <c r="D510" s="1886" t="n"/>
      <c r="E510" s="1880" t="n"/>
      <c r="P510" s="1880" t="n"/>
    </row>
    <row r="511">
      <c r="A511" s="1907" t="n"/>
      <c r="B511" s="501" t="inlineStr">
        <is>
          <t xml:space="preserve">OF WHCH CREDIT ARE  RECODED BUT NOT REFLECTED IN </t>
        </is>
      </c>
      <c r="C511" s="1886" t="n"/>
      <c r="D511" s="1886" t="n"/>
      <c r="E511" s="1880" t="n"/>
      <c r="P511" s="1880" t="n"/>
    </row>
    <row r="512">
      <c r="A512" s="1907" t="n"/>
      <c r="B512" s="794" t="inlineStr">
        <is>
          <t>GSTR-2B TILL DATE )</t>
        </is>
      </c>
      <c r="C512" s="1886" t="n"/>
      <c r="D512" s="1886" t="n"/>
      <c r="E512" s="1880" t="n"/>
      <c r="P512" s="1880" t="n"/>
    </row>
    <row r="513" ht="16.5" customHeight="1">
      <c r="A513" s="1907" t="n"/>
      <c r="B513" s="794" t="n"/>
      <c r="C513" s="1886" t="n"/>
      <c r="D513" s="1886" t="n"/>
      <c r="E513" s="1880" t="n"/>
      <c r="P513" s="1880" t="n"/>
    </row>
    <row r="514">
      <c r="A514" s="1892" t="n"/>
      <c r="B514" s="1893" t="n"/>
      <c r="C514" s="1894" t="n"/>
      <c r="D514" s="1894" t="n"/>
      <c r="E514" s="1880" t="n"/>
      <c r="P514" s="1880" t="n"/>
    </row>
    <row r="515">
      <c r="A515" s="1885">
        <f>+A506+1</f>
        <v/>
      </c>
      <c r="B515" s="794" t="inlineStr">
        <is>
          <t>PL 4197 SERVICE TAX/GST EXPENSES A/C. DR</t>
        </is>
      </c>
      <c r="C515" s="1886">
        <f>+D516+D517+D518</f>
        <v/>
      </c>
      <c r="D515" s="1886" t="n"/>
      <c r="E515" s="1880" t="n"/>
      <c r="P515" s="1880" t="n"/>
    </row>
    <row r="516">
      <c r="A516" s="1885" t="n"/>
      <c r="B516" s="794" t="inlineStr">
        <is>
          <t xml:space="preserve">      TO GL 8549 GROSS GGST RECEIVABLE A/C..</t>
        </is>
      </c>
      <c r="C516" s="1886" t="n"/>
      <c r="D516" s="1886">
        <f>+'SUMMARY SHEET GST'!G63</f>
        <v/>
      </c>
      <c r="E516" s="1880" t="n"/>
      <c r="P516" s="1880" t="n"/>
    </row>
    <row r="517">
      <c r="A517" s="1907" t="n"/>
      <c r="B517" s="794" t="inlineStr">
        <is>
          <t xml:space="preserve">      TO GL 8551 GROSS CGST RECEIVABLE A/C..</t>
        </is>
      </c>
      <c r="C517" s="1886" t="n"/>
      <c r="D517" s="1886">
        <f>+D516</f>
        <v/>
      </c>
      <c r="E517" s="1880" t="n"/>
      <c r="P517" s="1880" t="n"/>
    </row>
    <row r="518">
      <c r="A518" s="1907" t="n"/>
      <c r="B518" s="794" t="inlineStr">
        <is>
          <t xml:space="preserve">      TO GL 8552 GROSS IGST RECEIVABLE A/C..</t>
        </is>
      </c>
      <c r="C518" s="1886" t="n"/>
      <c r="D518" s="1886" t="n"/>
      <c r="E518" s="1880" t="n"/>
      <c r="P518" s="1880" t="n"/>
    </row>
    <row r="519">
      <c r="A519" s="1907" t="n"/>
      <c r="B519" s="794" t="inlineStr">
        <is>
          <t xml:space="preserve">(SHORT ITC REVERSED IN THE MONTH OF DEC'23 HENCE SAME IS </t>
        </is>
      </c>
      <c r="C519" s="1886" t="n"/>
      <c r="D519" s="1886" t="n"/>
      <c r="E519" s="1880" t="n"/>
      <c r="P519" s="1880" t="n"/>
    </row>
    <row r="520">
      <c r="A520" s="1907" t="n"/>
      <c r="B520" s="794" t="inlineStr">
        <is>
          <t>REVERSED)</t>
        </is>
      </c>
      <c r="C520" s="1886" t="n"/>
      <c r="D520" s="1886" t="n"/>
      <c r="E520" s="1880" t="n"/>
      <c r="P520" s="1880" t="n"/>
    </row>
    <row r="521" ht="16.5" customHeight="1">
      <c r="A521" s="1907" t="n"/>
      <c r="B521" s="794" t="n"/>
      <c r="C521" s="1886" t="n"/>
      <c r="D521" s="1886" t="n"/>
      <c r="E521" s="1880" t="n"/>
      <c r="P521" s="1880" t="n"/>
    </row>
    <row r="522">
      <c r="A522" s="1892" t="n"/>
      <c r="B522" s="1893" t="n"/>
      <c r="C522" s="1894" t="n"/>
      <c r="D522" s="1894" t="n"/>
      <c r="E522" s="1880" t="n"/>
    </row>
    <row r="523" ht="18.75" customHeight="1">
      <c r="A523" s="1885">
        <f>+A515+1</f>
        <v/>
      </c>
      <c r="B523" s="794" t="inlineStr">
        <is>
          <t>PL 4197 SERVICE TAX/GST EXPENSES A/C. DR</t>
        </is>
      </c>
      <c r="C523" s="1886">
        <f>+SUM(D524:D526)</f>
        <v/>
      </c>
      <c r="D523" s="1886" t="n"/>
      <c r="E523" s="1880" t="n"/>
    </row>
    <row r="524">
      <c r="A524" s="1885" t="n"/>
      <c r="B524" s="794" t="inlineStr">
        <is>
          <t xml:space="preserve">      TO GL 8549 GROSS GGST RECEIVABLE A/C..</t>
        </is>
      </c>
      <c r="C524" s="1886" t="n"/>
      <c r="D524" s="1886">
        <f>+('SUMMARY SHEET GST'!G58)/2</f>
        <v/>
      </c>
      <c r="E524" s="1070" t="n"/>
      <c r="F524" s="1071" t="n"/>
    </row>
    <row r="525">
      <c r="A525" s="1907" t="n"/>
      <c r="B525" s="794" t="inlineStr">
        <is>
          <t xml:space="preserve">      TO GL 8551 GROSS CGST RECEIVABLE A/C..</t>
        </is>
      </c>
      <c r="C525" s="1901" t="n"/>
      <c r="D525" s="1886">
        <f>+('SUMMARY SHEET GST'!G58)/2</f>
        <v/>
      </c>
      <c r="E525" s="1070" t="n"/>
      <c r="F525" s="1071" t="n"/>
    </row>
    <row r="526">
      <c r="A526" s="1907" t="n"/>
      <c r="B526" s="794" t="inlineStr">
        <is>
          <t xml:space="preserve">      TO GL 8552 GROSS IGST RECEIVABLE A/C..</t>
        </is>
      </c>
      <c r="C526" s="1901" t="n"/>
      <c r="D526" s="1886">
        <f>+('SUMMARY SHEET GST'!F58)/2</f>
        <v/>
      </c>
      <c r="E526" s="1880" t="n"/>
    </row>
    <row r="527">
      <c r="A527" s="1907" t="n"/>
      <c r="B527" s="794" t="inlineStr">
        <is>
          <t>(BEING SET OFF TRF TO EXPS PL4197 OF BILLS</t>
        </is>
      </c>
      <c r="C527" s="1886" t="n"/>
      <c r="D527" s="1886" t="n"/>
      <c r="E527" s="1880" t="n"/>
    </row>
    <row r="528">
      <c r="A528" s="1907" t="n"/>
      <c r="B528" s="794" t="inlineStr">
        <is>
          <t>OF WHCH CREDIT ARE  BLOCKED UNDER SECTION 17(5) )</t>
        </is>
      </c>
      <c r="C528" s="1886" t="n"/>
      <c r="D528" s="1886" t="n"/>
      <c r="E528" s="1880" t="n"/>
    </row>
    <row r="529" ht="16.5" customHeight="1">
      <c r="A529" s="1931" t="n"/>
      <c r="B529" s="1888" t="n"/>
      <c r="C529" s="1890" t="n"/>
      <c r="D529" s="1890" t="n"/>
      <c r="E529" s="1880" t="n"/>
    </row>
    <row r="530">
      <c r="A530" s="1892" t="n"/>
      <c r="B530" s="1893" t="n"/>
      <c r="C530" s="1905" t="n"/>
      <c r="D530" s="1894" t="n"/>
      <c r="E530" s="1880" t="n"/>
    </row>
    <row r="531" ht="15.75" customHeight="1">
      <c r="A531" s="1885">
        <f>+A523+1</f>
        <v/>
      </c>
      <c r="B531" s="794" t="inlineStr">
        <is>
          <t>PL 4197 SERVICE TAX/GST EXPENSES A/C. DR</t>
        </is>
      </c>
      <c r="C531" s="1880">
        <f>+SUM(D532:D534)</f>
        <v/>
      </c>
      <c r="D531" s="1886" t="n"/>
      <c r="E531" s="1945" t="n"/>
      <c r="F531" s="1946" t="n"/>
    </row>
    <row r="532" ht="15.75" customHeight="1">
      <c r="A532" s="1885" t="n"/>
      <c r="B532" s="794" t="inlineStr">
        <is>
          <t xml:space="preserve">      TO GL 1881 GROSS GGST PAYABLE A/C..</t>
        </is>
      </c>
      <c r="C532" s="1880" t="n"/>
      <c r="D532" s="1886">
        <f>+'SUMMARY SHEET GST'!D32</f>
        <v/>
      </c>
      <c r="E532" s="1945" t="n"/>
      <c r="F532" s="1947" t="n"/>
    </row>
    <row r="533">
      <c r="A533" s="1885" t="n"/>
      <c r="B533" s="794" t="inlineStr">
        <is>
          <t xml:space="preserve">      TO GL 1882 GROSS CGST PAYABLE A/C..</t>
        </is>
      </c>
      <c r="C533" s="1880" t="n"/>
      <c r="D533" s="1886">
        <f>+'SUMMARY SHEET GST'!E32</f>
        <v/>
      </c>
      <c r="E533" s="1945" t="n"/>
      <c r="F533" s="1947" t="n"/>
    </row>
    <row r="534">
      <c r="A534" s="1900" t="n"/>
      <c r="B534" s="794" t="inlineStr">
        <is>
          <t xml:space="preserve">      TO GL 1883 GROSS IGST PAYABLE A/C..</t>
        </is>
      </c>
      <c r="C534" s="1880" t="n"/>
      <c r="D534" s="1886">
        <f>+'SUMMARY SHEET GST'!F32</f>
        <v/>
      </c>
      <c r="E534" s="1945" t="n"/>
      <c r="F534" s="1947" t="n"/>
    </row>
    <row r="535">
      <c r="A535" s="1885" t="n"/>
      <c r="B535" s="794" t="inlineStr">
        <is>
          <t>(BEING SHORT COLLECTION TRF TO EXPS)</t>
        </is>
      </c>
      <c r="C535" s="1880" t="n"/>
      <c r="D535" s="1886" t="n"/>
      <c r="E535" s="1945" t="n"/>
      <c r="F535" s="1947" t="n"/>
    </row>
    <row r="536" ht="16.5" customHeight="1">
      <c r="A536" s="1887" t="n"/>
      <c r="B536" s="1888" t="n"/>
      <c r="C536" s="1889" t="n"/>
      <c r="D536" s="1890" t="n"/>
      <c r="E536" s="1880" t="n"/>
    </row>
    <row r="537">
      <c r="A537" s="1907" t="n"/>
      <c r="B537" s="794" t="n"/>
      <c r="C537" s="1880" t="n"/>
      <c r="D537" s="1886" t="n"/>
      <c r="E537" s="1880" t="n"/>
    </row>
    <row r="538">
      <c r="A538" s="1885">
        <f>+A531+1</f>
        <v/>
      </c>
      <c r="B538" s="794" t="inlineStr">
        <is>
          <t>GL 1881 GROSS GGST PAYABLE A/C..DR</t>
        </is>
      </c>
      <c r="C538" s="1880" t="n">
        <v>0</v>
      </c>
      <c r="D538" s="1886" t="n"/>
      <c r="E538" s="497" t="n"/>
    </row>
    <row r="539">
      <c r="A539" s="1885" t="n"/>
      <c r="B539" s="794" t="inlineStr">
        <is>
          <t>GL 1882 GROSS CGST PAYABLE A/C..DR</t>
        </is>
      </c>
      <c r="C539" s="1880" t="n">
        <v>0</v>
      </c>
      <c r="D539" s="1886" t="n"/>
      <c r="E539" s="497" t="n"/>
    </row>
    <row r="540">
      <c r="A540" s="1885" t="n"/>
      <c r="B540" s="794" t="inlineStr">
        <is>
          <t>GL 1883 GROSS IGST PAYABLE A/C..DR</t>
        </is>
      </c>
      <c r="C540" s="1880" t="n">
        <v>0</v>
      </c>
      <c r="D540" s="1886" t="n"/>
      <c r="E540" s="1880" t="n"/>
    </row>
    <row r="541">
      <c r="A541" s="1885" t="n"/>
      <c r="B541" s="1908" t="inlineStr">
        <is>
          <t xml:space="preserve"> TO PL 4197 SERVICE TAX/GST EXPENSES A/C.</t>
        </is>
      </c>
      <c r="C541" s="1880" t="n"/>
      <c r="D541" s="1886">
        <f>+C538+C539+C540</f>
        <v/>
      </c>
      <c r="E541" s="1880" t="n"/>
    </row>
    <row r="542">
      <c r="A542" s="1885" t="n"/>
      <c r="B542" s="794" t="inlineStr">
        <is>
          <t>(BEING SHORT COLLECTION TRF TO EXPS)</t>
        </is>
      </c>
      <c r="C542" s="1880" t="n"/>
      <c r="D542" s="1886" t="n"/>
      <c r="E542" s="1880" t="n"/>
    </row>
    <row r="543">
      <c r="A543" s="1885" t="n"/>
      <c r="B543" s="794" t="n"/>
      <c r="C543" s="1880" t="n"/>
      <c r="D543" s="1886" t="n"/>
      <c r="E543" s="1880" t="n"/>
    </row>
    <row r="544" ht="16.5" customHeight="1">
      <c r="A544" s="1887" t="n"/>
      <c r="B544" s="1888" t="n"/>
      <c r="C544" s="1889" t="n"/>
      <c r="D544" s="1890" t="n"/>
      <c r="E544" s="1880" t="n"/>
    </row>
    <row r="545">
      <c r="A545" s="1885" t="n"/>
      <c r="B545" s="794" t="n"/>
      <c r="C545" s="1880" t="n"/>
      <c r="D545" s="1886" t="n"/>
      <c r="E545" s="1880" t="n"/>
    </row>
    <row r="546">
      <c r="A546" s="1885">
        <f>+A538+1</f>
        <v/>
      </c>
      <c r="B546" s="794" t="inlineStr">
        <is>
          <t xml:space="preserve"> GL 8549 GROSS GGST RECEIVABLE A/C. DR….</t>
        </is>
      </c>
      <c r="C546" s="1880">
        <f>+D549</f>
        <v/>
      </c>
      <c r="D546" s="1886" t="n"/>
      <c r="E546" s="1880" t="n"/>
    </row>
    <row r="547">
      <c r="A547" s="1885" t="n"/>
      <c r="B547" s="794" t="inlineStr">
        <is>
          <t>GL 8551 GROSS CGST RECEIVABLE A/C. DR….</t>
        </is>
      </c>
      <c r="C547" s="1880">
        <f>+D550</f>
        <v/>
      </c>
      <c r="D547" s="1886" t="n"/>
      <c r="E547" s="1880" t="n"/>
    </row>
    <row r="548">
      <c r="A548" s="1885" t="n"/>
      <c r="B548" s="794" t="inlineStr">
        <is>
          <t>GL 8552 GROSS IGST RECEIVABLE A/C. DR….</t>
        </is>
      </c>
      <c r="C548" s="1880">
        <f>+D551</f>
        <v/>
      </c>
      <c r="D548" s="1886" t="n"/>
      <c r="E548" s="1880" t="n"/>
    </row>
    <row r="549">
      <c r="A549" s="1885" t="n"/>
      <c r="B549" s="1948" t="inlineStr">
        <is>
          <t xml:space="preserve"> TO GROSS GGST ISD RECEIVABLE A/C…</t>
        </is>
      </c>
      <c r="C549" s="1880" t="n"/>
      <c r="D549" s="1886">
        <f>+'SUMMARY SHEET GST'!D62/2</f>
        <v/>
      </c>
      <c r="E549" s="1880" t="inlineStr">
        <is>
          <t>isd</t>
        </is>
      </c>
    </row>
    <row r="550">
      <c r="A550" s="1885" t="n"/>
      <c r="B550" s="1948" t="inlineStr">
        <is>
          <t xml:space="preserve"> TO GROSS CGST ISD RECEIVABLE A/C…</t>
        </is>
      </c>
      <c r="C550" s="1880" t="n"/>
      <c r="D550" s="1886">
        <f>+'SUMMARY SHEET GST'!E62/2</f>
        <v/>
      </c>
      <c r="E550" s="1880" t="n"/>
    </row>
    <row r="551">
      <c r="A551" s="1885" t="n"/>
      <c r="B551" s="1948" t="inlineStr">
        <is>
          <t xml:space="preserve"> TO GROSS IGST ISD RECEIVABLE A/C…</t>
        </is>
      </c>
      <c r="C551" s="1880" t="n"/>
      <c r="D551" s="1886">
        <f>+'SUMMARY SHEET GST'!F62/2</f>
        <v/>
      </c>
      <c r="E551" s="1880">
        <f>+D551*2</f>
        <v/>
      </c>
    </row>
    <row r="552">
      <c r="A552" s="1885" t="n"/>
      <c r="B552" s="794" t="inlineStr">
        <is>
          <t>(BEING SET OFF ENRTY OF ISD CREDIT UTILISATION)</t>
        </is>
      </c>
      <c r="C552" s="1880" t="n"/>
      <c r="D552" s="1886" t="n"/>
      <c r="E552" s="1880" t="n"/>
    </row>
    <row r="553" ht="16.5" customHeight="1">
      <c r="A553" s="1887" t="n"/>
      <c r="B553" s="1888" t="n"/>
      <c r="C553" s="1889" t="n"/>
      <c r="D553" s="1890" t="n"/>
      <c r="E553" s="1880" t="n"/>
    </row>
    <row r="554">
      <c r="A554" s="1885" t="n"/>
      <c r="B554" s="794" t="n"/>
      <c r="C554" s="1880" t="n"/>
      <c r="D554" s="1886" t="n"/>
      <c r="E554" s="1880" t="n"/>
    </row>
    <row r="555">
      <c r="A555" s="1885">
        <f>+A546+1</f>
        <v/>
      </c>
      <c r="B555" s="794" t="inlineStr">
        <is>
          <t>GL 1881 GROSS GGST PAYABLE A/C. DR….</t>
        </is>
      </c>
      <c r="C555" s="1880">
        <f>+D556+D557</f>
        <v/>
      </c>
      <c r="D555" s="1886" t="n"/>
    </row>
    <row r="556">
      <c r="A556" s="1885" t="n"/>
      <c r="B556" s="794" t="inlineStr">
        <is>
          <t xml:space="preserve">      TO GL 8549 GROSS GGST RECEIVABLE A/C..</t>
        </is>
      </c>
      <c r="C556" s="1880" t="n"/>
      <c r="D556" s="1886">
        <f>+'SUMMARY SHEET GST'!F102</f>
        <v/>
      </c>
    </row>
    <row r="557">
      <c r="A557" s="1885" t="n"/>
      <c r="B557" s="794" t="inlineStr">
        <is>
          <t xml:space="preserve">      TO GL 8552 GROSS IGST RECEIVABLE A/C..</t>
        </is>
      </c>
      <c r="C557" s="1880" t="n"/>
      <c r="D557" s="1886">
        <f>+'SUMMARY SHEET GST'!D102</f>
        <v/>
      </c>
    </row>
    <row r="558">
      <c r="A558" s="1907" t="n"/>
      <c r="B558" s="794" t="inlineStr">
        <is>
          <t>(BEING SET OFF TAKEN OF GGST &amp; IGST)</t>
        </is>
      </c>
      <c r="C558" s="1880" t="n"/>
      <c r="D558" s="1886" t="n"/>
      <c r="G558" s="1891" t="n"/>
    </row>
    <row r="559" ht="16.5" customHeight="1">
      <c r="A559" s="1931" t="n"/>
      <c r="B559" s="1888" t="n"/>
      <c r="C559" s="1889" t="n"/>
      <c r="D559" s="1890" t="n"/>
      <c r="G559" s="1891" t="n"/>
    </row>
    <row r="560" ht="16.5" customHeight="1">
      <c r="A560" s="1892" t="n"/>
      <c r="B560" s="1893" t="n"/>
      <c r="C560" s="1894" t="n"/>
      <c r="D560" s="1949" t="n"/>
      <c r="G560" s="1880" t="n"/>
    </row>
    <row r="561" ht="16.5" customHeight="1">
      <c r="A561" s="1885">
        <f>+A555+1</f>
        <v/>
      </c>
      <c r="B561" s="794" t="inlineStr">
        <is>
          <t>GL 1882 GROSS CGST PAYABLE A/C. DR….</t>
        </is>
      </c>
      <c r="C561" s="1886">
        <f>+D562+D563</f>
        <v/>
      </c>
      <c r="D561" s="1921" t="n"/>
      <c r="F561" s="149" t="inlineStr">
        <is>
          <t>RECEIVABLE</t>
        </is>
      </c>
      <c r="G561" s="1558" t="n"/>
      <c r="H561" s="1558" t="n"/>
      <c r="I561" s="1558" t="n"/>
      <c r="J561" s="1558" t="n"/>
      <c r="K561" s="1558" t="n"/>
      <c r="L561" s="1558" t="n"/>
      <c r="M561" s="1559" t="n"/>
    </row>
    <row r="562" ht="16.5" customHeight="1">
      <c r="A562" s="1885" t="n"/>
      <c r="B562" s="794" t="inlineStr">
        <is>
          <t xml:space="preserve">      TO GL 8551 GROSS CGST RECEIVABLE A/C..</t>
        </is>
      </c>
      <c r="C562" s="1886" t="n"/>
      <c r="D562" s="1886">
        <f>+'SUMMARY SHEET GST'!E101</f>
        <v/>
      </c>
      <c r="F562" s="243" t="inlineStr">
        <is>
          <t>Particulars</t>
        </is>
      </c>
      <c r="G562" s="241" t="inlineStr">
        <is>
          <t xml:space="preserve">total </t>
        </is>
      </c>
      <c r="H562" s="241" t="inlineStr">
        <is>
          <t>Ineligibele</t>
        </is>
      </c>
      <c r="I562" s="244" t="inlineStr">
        <is>
          <t>Net</t>
        </is>
      </c>
      <c r="J562" s="1142" t="inlineStr">
        <is>
          <t>RCM ITC</t>
        </is>
      </c>
      <c r="K562" s="336" t="inlineStr">
        <is>
          <t>OPENING BAL</t>
        </is>
      </c>
      <c r="L562" s="241" t="inlineStr">
        <is>
          <t>TOTAL</t>
        </is>
      </c>
      <c r="M562" s="241" t="inlineStr">
        <is>
          <t>UTILISATION</t>
        </is>
      </c>
      <c r="N562" s="242" t="inlineStr">
        <is>
          <t>CLOSING BAL.</t>
        </is>
      </c>
      <c r="O562" s="1884" t="inlineStr">
        <is>
          <t>AS PER CAL</t>
        </is>
      </c>
    </row>
    <row r="563">
      <c r="A563" s="1885" t="n"/>
      <c r="B563" s="794" t="inlineStr">
        <is>
          <t xml:space="preserve">      TO GL 8552 GROSS IGST RECEIVABLE A/C..</t>
        </is>
      </c>
      <c r="C563" s="1886" t="n"/>
      <c r="D563" s="1886">
        <f>+'SUMMARY SHEET GST'!D101</f>
        <v/>
      </c>
      <c r="F563" s="236" t="inlineStr">
        <is>
          <t>GGST</t>
        </is>
      </c>
      <c r="G563" s="1950">
        <f>+C15+C31+C47+C63+C79+C95+C111+C127+C143+C159+C175+C191+C207+C223+C239+C255+C271+C287+C303+C319+C335+C351+C400+C450</f>
        <v/>
      </c>
      <c r="H563" s="1950">
        <f>+D524</f>
        <v/>
      </c>
      <c r="I563" s="1951">
        <f>+G563-H563</f>
        <v/>
      </c>
      <c r="J563" s="1950">
        <f>+C574</f>
        <v/>
      </c>
      <c r="K563" s="1952">
        <f>+'SUMMARY SHEET GST'!C83</f>
        <v/>
      </c>
      <c r="L563" s="1953">
        <f>+I563+J563+K563</f>
        <v/>
      </c>
      <c r="M563" s="1954">
        <f>+'SUMMARY SHEET GST'!F102+'SUMMARY SHEET GST'!F100</f>
        <v/>
      </c>
      <c r="N563" s="1955">
        <f>+L563-M563</f>
        <v/>
      </c>
      <c r="O563" s="247">
        <f>+'SUMMARY SHEET GST'!C92</f>
        <v/>
      </c>
      <c r="P563" s="1880">
        <f>+N563-O563</f>
        <v/>
      </c>
      <c r="Q563" s="1880">
        <f>+J563</f>
        <v/>
      </c>
      <c r="R563" s="1891">
        <f>+P563+Q563</f>
        <v/>
      </c>
    </row>
    <row r="564">
      <c r="A564" s="1907" t="n"/>
      <c r="B564" s="794" t="inlineStr">
        <is>
          <t>(BEING SET OFF TAKEN OF CGST)</t>
        </is>
      </c>
      <c r="C564" s="1886" t="n"/>
      <c r="D564" s="1921" t="n"/>
      <c r="F564" s="1157" t="inlineStr">
        <is>
          <t>SGST</t>
        </is>
      </c>
      <c r="G564" s="1956">
        <f>+C16+C32+C48+C64+C80+C96+C112+C128+C144+C160+C176+C192+C208+C224+C240+C256+C272+C288+C304+C320+C336+C352+C401+C451</f>
        <v/>
      </c>
      <c r="H564" s="1950">
        <f>+D525</f>
        <v/>
      </c>
      <c r="I564" s="1957">
        <f>+G564-H564</f>
        <v/>
      </c>
      <c r="J564" s="1956">
        <f>+C575</f>
        <v/>
      </c>
      <c r="K564" s="1952">
        <f>+'SUMMARY SHEET GST'!D83</f>
        <v/>
      </c>
      <c r="L564" s="1953">
        <f>+I564+J564+K564</f>
        <v/>
      </c>
      <c r="M564" s="1954">
        <f>+'SUMMARY SHEET GST'!E100+'SUMMARY SHEET GST'!E101</f>
        <v/>
      </c>
      <c r="N564" s="1955">
        <f>+L564-M564</f>
        <v/>
      </c>
      <c r="O564" s="247">
        <f>+'SUMMARY SHEET GST'!D92</f>
        <v/>
      </c>
      <c r="P564" s="1880">
        <f>+N564-O564</f>
        <v/>
      </c>
      <c r="Q564" s="1880">
        <f>+J564</f>
        <v/>
      </c>
      <c r="R564" s="1891">
        <f>+P564+Q564</f>
        <v/>
      </c>
    </row>
    <row r="565" ht="16.5" customHeight="1">
      <c r="A565" s="1931" t="n"/>
      <c r="B565" s="1888" t="n"/>
      <c r="C565" s="1890" t="n"/>
      <c r="D565" s="1927" t="n"/>
      <c r="F565" s="224" t="inlineStr">
        <is>
          <t>IGST</t>
        </is>
      </c>
      <c r="G565" s="1956">
        <f>+C17+C33+C49+C65+C81+C97+C113+C129+C145+C161+C177+C193+C209+C225+C241+C257+C273+C289+C305+C321+C337+C353+C402+C452</f>
        <v/>
      </c>
      <c r="H565" s="1956" t="n">
        <v>0</v>
      </c>
      <c r="I565" s="1956">
        <f>+G565-H565</f>
        <v/>
      </c>
      <c r="J565" s="1958" t="n">
        <v>0</v>
      </c>
      <c r="K565" s="1952">
        <f>+'SUMMARY SHEET GST'!E83</f>
        <v/>
      </c>
      <c r="L565" s="1959">
        <f>+I565+J565+K565</f>
        <v/>
      </c>
      <c r="M565" s="1954">
        <f>+SUM('SUMMARY SHEET GST'!D100:D102)</f>
        <v/>
      </c>
      <c r="N565" s="1954">
        <f>+L565-M565</f>
        <v/>
      </c>
      <c r="O565" s="247">
        <f>+'SUMMARY SHEET GST'!E92</f>
        <v/>
      </c>
      <c r="P565" s="1960">
        <f>+N565-O565</f>
        <v/>
      </c>
      <c r="Q565" s="1880">
        <f>+J565</f>
        <v/>
      </c>
      <c r="R565" s="1891">
        <f>+P565+Q565</f>
        <v/>
      </c>
    </row>
    <row r="566">
      <c r="A566" s="1892" t="n"/>
      <c r="B566" s="1893" t="n"/>
      <c r="C566" s="1905" t="n"/>
      <c r="D566" s="1894" t="n"/>
      <c r="F566" s="397" t="n"/>
      <c r="G566" s="1961" t="n"/>
      <c r="H566" s="1961" t="n"/>
      <c r="I566" s="1962" t="n"/>
      <c r="J566" s="1963" t="n"/>
      <c r="K566" s="1964" t="n"/>
      <c r="L566" s="1965" t="n"/>
      <c r="M566" s="1965" t="n"/>
      <c r="N566" s="1966" t="n"/>
      <c r="O566" s="248" t="n"/>
    </row>
    <row r="567">
      <c r="A567" s="1885">
        <f>+A561+1</f>
        <v/>
      </c>
      <c r="B567" s="794" t="inlineStr">
        <is>
          <t>GL 1883 GROSS IGST PAYABLE A/C. DR….</t>
        </is>
      </c>
      <c r="C567" s="1960">
        <f>+D568+D569+D570</f>
        <v/>
      </c>
      <c r="D567" s="1886" t="n"/>
      <c r="F567" s="397" t="n"/>
      <c r="G567" s="1961" t="n"/>
      <c r="H567" s="1961" t="n"/>
      <c r="I567" s="1962" t="n"/>
      <c r="J567" s="1963" t="n"/>
      <c r="K567" s="1964" t="n"/>
      <c r="L567" s="1965" t="n"/>
      <c r="M567" s="1965" t="n"/>
      <c r="N567" s="1966" t="n"/>
      <c r="O567" s="248" t="n"/>
    </row>
    <row r="568">
      <c r="A568" s="1885" t="n"/>
      <c r="B568" s="794" t="inlineStr">
        <is>
          <t xml:space="preserve">      TO GL 8552 GROSS IGST RECEIVABLE A/C..</t>
        </is>
      </c>
      <c r="C568" s="1880" t="n"/>
      <c r="D568" s="1967">
        <f>+'SUMMARY SHEET GST'!D100</f>
        <v/>
      </c>
      <c r="F568" s="397" t="n"/>
      <c r="G568" s="1961" t="n"/>
      <c r="H568" s="1961" t="n"/>
      <c r="I568" s="1962" t="n"/>
      <c r="J568" s="1963" t="n"/>
      <c r="K568" s="1964" t="n"/>
      <c r="L568" s="1965" t="n"/>
      <c r="M568" s="1965" t="n"/>
      <c r="N568" s="1966" t="n"/>
      <c r="O568" s="248" t="n"/>
    </row>
    <row r="569">
      <c r="A569" s="1885" t="n"/>
      <c r="B569" s="794" t="inlineStr">
        <is>
          <t xml:space="preserve">      TO GL 8549 GROSS GGST RECEIVABLE A/C..</t>
        </is>
      </c>
      <c r="C569" s="1880" t="n"/>
      <c r="D569" s="1886">
        <f>+'SUMMARY SHEET GST'!F100</f>
        <v/>
      </c>
      <c r="F569" s="397" t="n"/>
      <c r="G569" s="1961" t="n"/>
      <c r="H569" s="1961" t="n"/>
      <c r="I569" s="1962" t="n"/>
      <c r="J569" s="1963" t="n"/>
      <c r="K569" s="1964" t="n"/>
      <c r="L569" s="1965" t="n"/>
      <c r="M569" s="1965" t="n"/>
      <c r="N569" s="1966" t="n"/>
      <c r="O569" s="248" t="n"/>
    </row>
    <row r="570" ht="16.5" customHeight="1">
      <c r="A570" s="1885" t="n"/>
      <c r="B570" s="794" t="inlineStr">
        <is>
          <t xml:space="preserve">      TO GL 8551 GROSS CGST RECEIVABLE A/C..</t>
        </is>
      </c>
      <c r="C570" s="1880" t="n"/>
      <c r="D570" s="1886">
        <f>+'SUMMARY SHEET GST'!E100</f>
        <v/>
      </c>
      <c r="F570" s="397" t="n"/>
      <c r="G570" s="1961" t="n"/>
      <c r="H570" s="1961" t="n"/>
      <c r="I570" s="1962" t="n"/>
      <c r="J570" s="1963" t="n"/>
      <c r="K570" s="1964" t="n"/>
      <c r="L570" s="1965" t="n"/>
      <c r="M570" s="1965" t="n"/>
      <c r="N570" s="1966" t="n"/>
      <c r="O570" s="248" t="n"/>
    </row>
    <row r="571" ht="16.5" customHeight="1">
      <c r="A571" s="1907" t="n"/>
      <c r="B571" s="794" t="inlineStr">
        <is>
          <t>(BEING SET OFF TAKEN OF IGST)</t>
        </is>
      </c>
      <c r="C571" s="1880" t="n"/>
      <c r="D571" s="1886" t="n"/>
      <c r="F571" s="243" t="inlineStr">
        <is>
          <t>TOTAL</t>
        </is>
      </c>
      <c r="G571" s="245">
        <f>SUM(G563:G565)</f>
        <v/>
      </c>
      <c r="H571" s="245">
        <f>SUM(H563:H565)</f>
        <v/>
      </c>
      <c r="I571" s="246">
        <f>SUM(I563:I565)</f>
        <v/>
      </c>
      <c r="J571" s="1968" t="n"/>
      <c r="K571" s="1969">
        <f>SUM(K563:K565)</f>
        <v/>
      </c>
      <c r="L571" s="1970">
        <f>SUM(L563:L565)</f>
        <v/>
      </c>
      <c r="M571" s="1970">
        <f>SUM(M563:M565)</f>
        <v/>
      </c>
      <c r="N571" s="1971">
        <f>SUM(N563:N565)</f>
        <v/>
      </c>
    </row>
    <row r="572" ht="16.5" customHeight="1">
      <c r="A572" s="1931" t="n"/>
      <c r="B572" s="1888" t="n"/>
      <c r="C572" s="1890" t="n"/>
      <c r="D572" s="1927" t="n"/>
      <c r="F572" s="236" t="inlineStr">
        <is>
          <t>as per cal.</t>
        </is>
      </c>
      <c r="G572" s="237">
        <f>+'SUMMARY SHEET GST'!D54/2+'SUMMARY SHEET GST'!E54/2+'SUMMARY SHEET GST'!F54/2</f>
        <v/>
      </c>
      <c r="H572" s="237">
        <f>+'SUMMARY SHEET GST'!D57/2+'SUMMARY SHEET GST'!E57/2+'SUMMARY SHEET GST'!F57/2</f>
        <v/>
      </c>
      <c r="I572" s="238">
        <f>+'SUMMARY SHEET GST'!D64/2+'SUMMARY SHEET GST'!E64/2+'SUMMARY SHEET GST'!F64/2</f>
        <v/>
      </c>
      <c r="M572" s="1972">
        <f>+D556+D557+D562+D563+D568</f>
        <v/>
      </c>
    </row>
    <row r="573" ht="16.5" customHeight="1">
      <c r="A573" s="1932" t="n"/>
      <c r="B573" s="1893" t="n"/>
      <c r="C573" s="1894" t="n"/>
      <c r="D573" s="1894" t="n"/>
      <c r="F573" s="1162" t="inlineStr">
        <is>
          <t>diff</t>
        </is>
      </c>
      <c r="G573" s="232">
        <f>+G571-G572</f>
        <v/>
      </c>
      <c r="H573" s="232">
        <f>+H571-H572</f>
        <v/>
      </c>
      <c r="I573" s="233">
        <f>+I571-I572</f>
        <v/>
      </c>
    </row>
    <row r="574" ht="16.5" customHeight="1">
      <c r="A574" s="1907">
        <f>+A567+1</f>
        <v/>
      </c>
      <c r="B574" s="794" t="inlineStr">
        <is>
          <t>GL 8549 GROSS GGST RECEIVABLE A/C. DR….</t>
        </is>
      </c>
      <c r="C574" s="1886">
        <f>+D577/2</f>
        <v/>
      </c>
      <c r="D574" s="1886" t="n"/>
      <c r="J574" s="1973" t="n"/>
    </row>
    <row r="575">
      <c r="A575" s="1907" t="n"/>
      <c r="B575" s="794" t="inlineStr">
        <is>
          <t>GL 8551 GROSS CGST RECEIVABLE A/C. DR….</t>
        </is>
      </c>
      <c r="C575" s="1886">
        <f>+D578/2</f>
        <v/>
      </c>
      <c r="D575" s="1886" t="n"/>
      <c r="F575" s="1974" t="inlineStr">
        <is>
          <t>PAYABLE</t>
        </is>
      </c>
      <c r="G575" s="1815" t="n"/>
      <c r="H575" s="1815" t="n"/>
      <c r="I575" s="1816" t="n"/>
      <c r="K575" s="224" t="inlineStr">
        <is>
          <t>REGULAR PAYABLE</t>
        </is>
      </c>
      <c r="L575" s="409" t="inlineStr">
        <is>
          <t>RCM PAYABLE</t>
        </is>
      </c>
      <c r="M575" s="409" t="inlineStr">
        <is>
          <t>TOTAL</t>
        </is>
      </c>
    </row>
    <row r="576">
      <c r="A576" s="1907" t="n"/>
      <c r="B576" s="794" t="inlineStr">
        <is>
          <t>PL 4197 SERVICE TAX/GST EXPENSES A/C. DR</t>
        </is>
      </c>
      <c r="C576" s="1886">
        <f>(+D577+D578)/2</f>
        <v/>
      </c>
      <c r="D576" s="1886" t="n"/>
      <c r="F576" s="1157" t="n"/>
      <c r="G576" s="224" t="inlineStr">
        <is>
          <t>AS PER ENTRIES</t>
        </is>
      </c>
      <c r="H576" s="224" t="inlineStr">
        <is>
          <t>AS PER PL CAL.</t>
        </is>
      </c>
      <c r="I576" s="234" t="inlineStr">
        <is>
          <t>DIFF</t>
        </is>
      </c>
      <c r="K576" s="1958" t="n"/>
      <c r="L576" s="1958" t="n"/>
      <c r="M576" s="1958" t="n"/>
    </row>
    <row r="577">
      <c r="A577" s="1907" t="n"/>
      <c r="B577" s="794" t="inlineStr">
        <is>
          <t xml:space="preserve">      TO 1881 GROSS GGST PAYABLE</t>
        </is>
      </c>
      <c r="C577" s="1886" t="n"/>
      <c r="D577" s="1886">
        <f>+'SUMMARY SHEET GST'!D112</f>
        <v/>
      </c>
      <c r="E577" s="1880" t="n"/>
      <c r="F577" s="1157" t="inlineStr">
        <is>
          <t>GGST PAYABLE</t>
        </is>
      </c>
      <c r="G577" s="1954">
        <f>+D9+D25+D41+D57+D73+D89+D105+D121+D137+D153+D169+D185+D201+D217+D233+D249+D265+D281+D297+D313+D329+D345+D393+D430+D577+D532</f>
        <v/>
      </c>
      <c r="H577" s="1954">
        <f>+'SUMMARY SHEET GST'!C101+D158</f>
        <v/>
      </c>
      <c r="I577" s="1975">
        <f>+G577-H577</f>
        <v/>
      </c>
      <c r="J577" s="1973" t="n"/>
      <c r="K577" s="1976">
        <f>+'SUMMARY SHEET GST'!D31</f>
        <v/>
      </c>
      <c r="L577" s="1976">
        <f>+'SUMMARY SHEET GST'!F44</f>
        <v/>
      </c>
      <c r="M577" s="1976">
        <f>+K577+L577</f>
        <v/>
      </c>
    </row>
    <row r="578">
      <c r="A578" s="1907" t="n"/>
      <c r="B578" s="794" t="inlineStr">
        <is>
          <t xml:space="preserve">      TO 1882 GROSS CGST PAYABLE</t>
        </is>
      </c>
      <c r="C578" s="1886" t="n"/>
      <c r="D578" s="1886">
        <f>+'SUMMARY SHEET GST'!E112</f>
        <v/>
      </c>
      <c r="F578" s="1157" t="inlineStr">
        <is>
          <t>CGST PAYABLE</t>
        </is>
      </c>
      <c r="G578" s="1954">
        <f>+D10+D26+D42+D58+D74+D90+D106+D122+D138+D154+D170+D186+D202+D218+D234+D250+D266+D282+D298+D314+D330+D346+D394+D431+D578+D533</f>
        <v/>
      </c>
      <c r="H578" s="1954">
        <f>+'SUMMARY SHEET GST'!C102+D159</f>
        <v/>
      </c>
      <c r="I578" s="1975">
        <f>+G578-H578</f>
        <v/>
      </c>
      <c r="J578" s="1973" t="n"/>
      <c r="K578" s="1976">
        <f>+'SUMMARY SHEET GST'!E31+'SUMMARY SHEET GST'!E32</f>
        <v/>
      </c>
      <c r="L578" s="1976">
        <f>+'SUMMARY SHEET GST'!G44</f>
        <v/>
      </c>
      <c r="M578" s="1976">
        <f>+K578+L578</f>
        <v/>
      </c>
    </row>
    <row r="579">
      <c r="A579" s="1907" t="n"/>
      <c r="B579" s="794" t="inlineStr">
        <is>
          <t>(BEING RCM PAYABLE FOR THE MONTH OF</t>
        </is>
      </c>
      <c r="C579" s="1886" t="n"/>
      <c r="D579" s="1886" t="n"/>
      <c r="F579" s="1157" t="inlineStr">
        <is>
          <t>IGST PAYABLE</t>
        </is>
      </c>
      <c r="G579" s="1954">
        <f>+D11+D27+D43+D59+D75+D91+D107+D123+D139+D155+D171+D187+D203+D219+D235+D251+D267+D283+D299+D315+D331+D347+D395+D432+D579+D534</f>
        <v/>
      </c>
      <c r="H579" s="1954">
        <f>+'SUMMARY SHEET GST'!C100</f>
        <v/>
      </c>
      <c r="I579" s="1975">
        <f>+G579-H579</f>
        <v/>
      </c>
      <c r="K579" s="1976">
        <f>+'SUMMARY SHEET GST'!F31+'SUMMARY SHEET GST'!F32</f>
        <v/>
      </c>
      <c r="L579" s="1954" t="n">
        <v>0</v>
      </c>
      <c r="M579" s="1976">
        <f>+K579+L579</f>
        <v/>
      </c>
    </row>
    <row r="580" ht="16.5" customHeight="1">
      <c r="A580" s="1907" t="n"/>
      <c r="B580" s="794" t="inlineStr">
        <is>
          <t>AUG 2025 TRANSFER FROM BRANCH)</t>
        </is>
      </c>
      <c r="C580" s="1886" t="n"/>
      <c r="D580" s="1886" t="n"/>
      <c r="F580" s="1162" t="inlineStr">
        <is>
          <t>TOTAL</t>
        </is>
      </c>
      <c r="G580" s="389">
        <f>SUM(G577:G579)</f>
        <v/>
      </c>
      <c r="H580" s="389">
        <f>SUM(H577:H579)</f>
        <v/>
      </c>
      <c r="I580" s="1977">
        <f>SUM(I577:I579)</f>
        <v/>
      </c>
      <c r="J580" s="1978" t="inlineStr">
        <is>
          <t>TOTAL</t>
        </is>
      </c>
      <c r="K580" s="395">
        <f>SUM(K577:K579)</f>
        <v/>
      </c>
      <c r="L580" s="395">
        <f>SUM(L577:L579)</f>
        <v/>
      </c>
      <c r="M580" s="395">
        <f>+K580+L580</f>
        <v/>
      </c>
    </row>
    <row r="581" ht="16.5" customHeight="1">
      <c r="A581" s="1931" t="n"/>
      <c r="B581" s="1888" t="n"/>
      <c r="C581" s="1890" t="n"/>
      <c r="D581" s="1890" t="n"/>
      <c r="F581" s="1167" t="n"/>
      <c r="G581" s="405" t="n"/>
      <c r="H581" s="405" t="n"/>
      <c r="I581" s="405" t="n"/>
      <c r="J581" s="1978" t="n"/>
      <c r="K581" s="1136" t="n"/>
      <c r="L581" s="1136" t="n"/>
      <c r="M581" s="1136" t="n"/>
    </row>
    <row r="582" ht="17.25" customHeight="1">
      <c r="A582" s="1907" t="n"/>
      <c r="B582" s="1902" t="n"/>
      <c r="C582" s="1886" t="n"/>
      <c r="D582" s="1886" t="n"/>
      <c r="M582" s="1136" t="n"/>
    </row>
    <row r="583">
      <c r="A583" s="1907">
        <f>+A574+1</f>
        <v/>
      </c>
      <c r="B583" s="1902" t="inlineStr">
        <is>
          <t>8561 GGST TDS RECEIVABLE DR…</t>
        </is>
      </c>
      <c r="C583" s="1886">
        <f>+'SUMMARY SHEET GST'!C77</f>
        <v/>
      </c>
      <c r="D583" s="1886" t="n"/>
      <c r="F583" s="1880" t="n"/>
      <c r="M583" s="1136" t="n"/>
    </row>
    <row r="584" ht="16.5" customHeight="1">
      <c r="A584" s="1907" t="n"/>
      <c r="B584" s="1902" t="inlineStr">
        <is>
          <t>8562 CGST TDS RECEIVABLE DR…</t>
        </is>
      </c>
      <c r="C584" s="1886">
        <f>+'SUMMARY SHEET GST'!D77</f>
        <v/>
      </c>
      <c r="D584" s="1886" t="n"/>
      <c r="F584" s="1880" t="n"/>
      <c r="M584" s="1136" t="n"/>
    </row>
    <row r="585" ht="16.5" customHeight="1">
      <c r="A585" s="1907" t="n"/>
      <c r="B585" s="1902" t="inlineStr">
        <is>
          <t xml:space="preserve">      TO 8563 IGST TDS RECEIVABLE</t>
        </is>
      </c>
      <c r="C585" s="1886" t="n"/>
      <c r="D585" s="1886">
        <f>+SUM(C583:C584)</f>
        <v/>
      </c>
      <c r="F585" s="1979" t="inlineStr">
        <is>
          <t xml:space="preserve">MATCHING OF GL </t>
        </is>
      </c>
      <c r="G585" s="1558" t="n"/>
      <c r="H585" s="1558" t="n"/>
      <c r="I585" s="1558" t="n"/>
      <c r="J585" s="1558" t="n"/>
      <c r="K585" s="1558" t="n"/>
      <c r="L585" s="1559" t="n"/>
      <c r="M585" s="1136" t="n"/>
    </row>
    <row r="586">
      <c r="A586" s="1907" t="n"/>
      <c r="B586" s="1902" t="inlineStr">
        <is>
          <t>(BEING GST TDS CREDIT OF IGST TRFERED TO CGST &amp; GGST EQUALLY)</t>
        </is>
      </c>
      <c r="C586" s="1886" t="n"/>
      <c r="D586" s="1886" t="n"/>
      <c r="F586" s="1902" t="n"/>
      <c r="L586" s="1926" t="n"/>
      <c r="M586" s="1136" t="n"/>
    </row>
    <row r="587" ht="16.5" customHeight="1">
      <c r="A587" s="1907" t="n"/>
      <c r="B587" s="1902" t="n"/>
      <c r="C587" s="1886" t="n"/>
      <c r="D587" s="1886" t="n"/>
      <c r="F587" s="1902" t="n"/>
      <c r="L587" s="1926" t="n"/>
      <c r="M587" s="1136" t="n"/>
      <c r="N587" s="1891" t="n"/>
      <c r="O587" s="1891" t="n"/>
      <c r="P587" s="1891" t="n"/>
    </row>
    <row r="588" ht="16.5" customHeight="1">
      <c r="A588" s="1932" t="n"/>
      <c r="B588" s="1896" t="n"/>
      <c r="C588" s="1894" t="n"/>
      <c r="D588" s="1894" t="n"/>
      <c r="F588" s="1980" t="inlineStr">
        <is>
          <t>DEBIT SIDE OF GL</t>
        </is>
      </c>
      <c r="G588" s="1558" t="n"/>
      <c r="H588" s="1559" t="n"/>
      <c r="J588" s="1980" t="inlineStr">
        <is>
          <t>OPENING</t>
        </is>
      </c>
      <c r="K588" s="1558" t="n"/>
      <c r="L588" s="1559" t="n"/>
      <c r="M588" s="1136" t="n"/>
    </row>
    <row r="589" ht="16.5" customHeight="1">
      <c r="A589" s="1907">
        <f>+A583+1</f>
        <v/>
      </c>
      <c r="B589" s="1902" t="inlineStr">
        <is>
          <t>GL 1881 GROSS GGST PAYABLE DR…</t>
        </is>
      </c>
      <c r="C589" s="1886">
        <f>-'SUMMARY SHEET GST'!D110</f>
        <v/>
      </c>
      <c r="D589" s="1886" t="n"/>
      <c r="F589" s="1981" t="inlineStr">
        <is>
          <t xml:space="preserve">GL 8549 </t>
        </is>
      </c>
      <c r="G589" s="1981" t="inlineStr">
        <is>
          <t>GL 8551</t>
        </is>
      </c>
      <c r="H589" s="1981" t="inlineStr">
        <is>
          <t>GL 8552</t>
        </is>
      </c>
      <c r="J589" s="1981" t="inlineStr">
        <is>
          <t xml:space="preserve">GL 8549 </t>
        </is>
      </c>
      <c r="K589" s="1981" t="inlineStr">
        <is>
          <t>GL 8551</t>
        </is>
      </c>
      <c r="L589" s="1981" t="inlineStr">
        <is>
          <t>GL 8552</t>
        </is>
      </c>
      <c r="M589" s="1136" t="n"/>
    </row>
    <row r="590" ht="16.5" customHeight="1">
      <c r="A590" s="1907" t="n"/>
      <c r="B590" s="1902" t="inlineStr">
        <is>
          <t>GL 1882 GROSS CGST PAYABLE DR…</t>
        </is>
      </c>
      <c r="C590" s="1886">
        <f>-'SUMMARY SHEET GST'!E110</f>
        <v/>
      </c>
      <c r="D590" s="1886" t="n"/>
      <c r="F590" s="1982">
        <f>+C15+C31+C47+C63+C79+C95+C111+C127+C143+C159+C175+C191+C207+C223+C239+C255+C271+C287+C303+C319+C335+C351+C400+C450+C574+C668+C546+C617+C367+C383</f>
        <v/>
      </c>
      <c r="G590" s="1982">
        <f>+F590+C611</f>
        <v/>
      </c>
      <c r="H590" s="1982">
        <f>+C17+C33+C49+C65+C81+C97+C113+C129+C145+C161+C177+C193+C209+C225+C241+C257+C273+C289+C305+C321+C337+C353+C402+C452+C548+C619+C369+C385</f>
        <v/>
      </c>
      <c r="I590" s="684" t="n"/>
      <c r="J590" s="1983" t="n">
        <v>474097.58</v>
      </c>
      <c r="K590" s="1983" t="n">
        <v>474077.19</v>
      </c>
      <c r="L590" s="1983" t="n">
        <v>315491.34</v>
      </c>
      <c r="M590" s="1136" t="inlineStr">
        <is>
          <t>MANNUAL</t>
        </is>
      </c>
      <c r="O590" s="1891" t="n"/>
    </row>
    <row r="591" ht="16.5" customHeight="1">
      <c r="A591" s="1907" t="n"/>
      <c r="B591" s="1902" t="inlineStr">
        <is>
          <t xml:space="preserve">     TO 8561 GGST TDS RECEIVABLE</t>
        </is>
      </c>
      <c r="C591" s="1886" t="n"/>
      <c r="D591" s="1886">
        <f>C589</f>
        <v/>
      </c>
      <c r="E591" s="1891" t="n"/>
      <c r="F591" s="1980" t="inlineStr">
        <is>
          <t>CREDIT SIDE OF GL</t>
        </is>
      </c>
      <c r="G591" s="1558" t="n"/>
      <c r="H591" s="1559" t="n"/>
      <c r="I591" s="405" t="n"/>
      <c r="J591" s="1978" t="n"/>
      <c r="K591" s="1136" t="n"/>
      <c r="L591" s="1139" t="n"/>
      <c r="M591" s="1136" t="n"/>
    </row>
    <row r="592" ht="16.5" customHeight="1">
      <c r="A592" s="1907" t="n"/>
      <c r="B592" s="1902" t="inlineStr">
        <is>
          <t xml:space="preserve">     TO 8562 CGST TDS RECEIVABLE</t>
        </is>
      </c>
      <c r="C592" s="1886" t="n"/>
      <c r="D592" s="1886">
        <f>C590</f>
        <v/>
      </c>
      <c r="F592" s="1981" t="inlineStr">
        <is>
          <t xml:space="preserve">GL 8549 </t>
        </is>
      </c>
      <c r="G592" s="1981" t="inlineStr">
        <is>
          <t>GL 8551</t>
        </is>
      </c>
      <c r="H592" s="1981" t="inlineStr">
        <is>
          <t>GL 8552</t>
        </is>
      </c>
      <c r="I592" s="1984" t="inlineStr">
        <is>
          <t>CLOSING AFTER ENTRIES(50%)</t>
        </is>
      </c>
      <c r="J592" s="1985">
        <f>+J590+F590-F593</f>
        <v/>
      </c>
      <c r="K592" s="1985">
        <f>+K590+G590-G593</f>
        <v/>
      </c>
      <c r="L592" s="1986">
        <f>+L590+H590-H593</f>
        <v/>
      </c>
      <c r="M592" s="1136" t="n"/>
      <c r="N592" s="1972" t="n"/>
      <c r="O592" s="1880" t="n"/>
    </row>
    <row r="593" ht="16.5" customHeight="1">
      <c r="A593" s="1907" t="n"/>
      <c r="B593" s="1902" t="inlineStr">
        <is>
          <t xml:space="preserve">(BEING UTILISING CASH (RECEIVED TRHOGH TDS CREDIT) </t>
        </is>
      </c>
      <c r="C593" s="1886" t="n"/>
      <c r="D593" s="1886" t="n"/>
      <c r="E593" s="1884" t="inlineStr">
        <is>
          <t xml:space="preserve"> </t>
        </is>
      </c>
      <c r="F593" s="791">
        <f>+D524+D556+D569+D493+D500+D507+D516+D607+D613+D636+D678+D627</f>
        <v/>
      </c>
      <c r="G593" s="791">
        <f>+F593-D607+D608</f>
        <v/>
      </c>
      <c r="H593" s="472">
        <f>+D557+D563+D568+D509+D608+D526+D615+D623-C626</f>
        <v/>
      </c>
      <c r="I593" s="1987" t="inlineStr">
        <is>
          <t>CLOSING ON PORTAL</t>
        </is>
      </c>
      <c r="J593" s="1988">
        <f>+'SUMMARY SHEET GST'!C92</f>
        <v/>
      </c>
      <c r="K593" s="1989">
        <f>+'SUMMARY SHEET GST'!D92</f>
        <v/>
      </c>
      <c r="L593" s="1990">
        <f>+'SUMMARY SHEET GST'!E92</f>
        <v/>
      </c>
      <c r="M593" s="1131" t="n"/>
      <c r="O593" s="1880" t="n"/>
    </row>
    <row r="594">
      <c r="A594" s="1907" t="n"/>
      <c r="B594" s="1902" t="inlineStr">
        <is>
          <t>LEDGER BALANCE FOR THE MONTH OF AUG)</t>
        </is>
      </c>
      <c r="C594" s="1886" t="n"/>
      <c r="D594" s="1886" t="n"/>
      <c r="F594" s="519">
        <f>+F590-F593</f>
        <v/>
      </c>
      <c r="G594" s="685">
        <f>+G590-G593</f>
        <v/>
      </c>
      <c r="H594" s="522">
        <f>+H590-H593</f>
        <v/>
      </c>
      <c r="I594" s="1991" t="n"/>
      <c r="J594" s="1992">
        <f>+J592-J593</f>
        <v/>
      </c>
      <c r="K594" s="1158">
        <f>+K592-K593</f>
        <v/>
      </c>
      <c r="L594" s="1159">
        <f>+L592-L593</f>
        <v/>
      </c>
      <c r="M594" s="1136" t="n"/>
    </row>
    <row r="595" ht="16.5" customHeight="1">
      <c r="A595" s="1931" t="n"/>
      <c r="B595" s="1888" t="n"/>
      <c r="C595" s="1890" t="n"/>
      <c r="D595" s="1890" t="n"/>
      <c r="F595" s="520" t="n"/>
      <c r="G595" s="405" t="n"/>
      <c r="H595" s="523" t="n"/>
      <c r="I595" s="1987" t="inlineStr">
        <is>
          <t>ITC NOT TAKEN TILL DATE</t>
        </is>
      </c>
      <c r="J595" s="1989">
        <f>+J594*2</f>
        <v/>
      </c>
      <c r="K595" s="1989">
        <f>+K594*2</f>
        <v/>
      </c>
      <c r="L595" s="1993">
        <f>+L594*2</f>
        <v/>
      </c>
      <c r="N595" s="1891" t="n"/>
    </row>
    <row r="596" ht="16.5" customHeight="1">
      <c r="A596" s="1907" t="n"/>
      <c r="B596" s="1902" t="n"/>
      <c r="C596" s="1886" t="n"/>
      <c r="D596" s="1886" t="n"/>
      <c r="F596" s="1980" t="inlineStr">
        <is>
          <t>DEBIT SIDE OF GL</t>
        </is>
      </c>
      <c r="G596" s="1558" t="n"/>
      <c r="H596" s="1559" t="n"/>
      <c r="I596" s="1994" t="inlineStr">
        <is>
          <t>DIFFERENCE</t>
        </is>
      </c>
      <c r="J596" s="1995">
        <f>+J592-'SUMMARY SHEET GST'!C94</f>
        <v/>
      </c>
      <c r="K596" s="1995">
        <f>+K592-'SUMMARY SHEET GST'!D94</f>
        <v/>
      </c>
      <c r="L596" s="1996">
        <f>+L592-'SUMMARY SHEET GST'!E94</f>
        <v/>
      </c>
      <c r="M596" s="1136" t="inlineStr">
        <is>
          <t xml:space="preserve">NOTE- RS 54056/- arises due to wrongly amount gets deducted from the bank account. The entry for the same needs to be passed at time of taking refund. And Rs 315/- difference </t>
        </is>
      </c>
    </row>
    <row r="597" ht="16.5" customHeight="1">
      <c r="A597" s="1907">
        <f>+A589+1</f>
        <v/>
      </c>
      <c r="B597" s="1902" t="inlineStr">
        <is>
          <t>GL 1881 GROSS GGST PAYABLE DR…</t>
        </is>
      </c>
      <c r="C597" s="1997">
        <f>+'SUMMARY SHEET GST'!D114</f>
        <v/>
      </c>
      <c r="D597" s="1886" t="n"/>
      <c r="F597" s="1981" t="inlineStr">
        <is>
          <t>GL 1881</t>
        </is>
      </c>
      <c r="G597" s="1981" t="inlineStr">
        <is>
          <t>GL 1882</t>
        </is>
      </c>
      <c r="H597" s="1981" t="inlineStr">
        <is>
          <t>GL 1883</t>
        </is>
      </c>
      <c r="I597" s="405" t="n"/>
      <c r="J597" s="1998" t="n"/>
      <c r="K597" s="1998" t="n"/>
      <c r="L597" s="1139" t="n"/>
      <c r="M597" s="1891" t="n"/>
    </row>
    <row r="598" ht="16.5" customHeight="1">
      <c r="A598" s="1907" t="n"/>
      <c r="B598" s="1902" t="inlineStr">
        <is>
          <t>GL 1882 GROSS CGST PAYABLE DR…</t>
        </is>
      </c>
      <c r="C598" s="1997">
        <f>+'SUMMARY SHEET GST'!E114</f>
        <v/>
      </c>
      <c r="D598" s="1886" t="n"/>
      <c r="F598" s="1982">
        <f>+C555+C589+C597+C492+C538+C654+C675</f>
        <v/>
      </c>
      <c r="G598" s="1982">
        <f>+F598</f>
        <v/>
      </c>
      <c r="H598" s="1982">
        <f>+C567+C599</f>
        <v/>
      </c>
      <c r="I598" s="405" t="n"/>
      <c r="J598" s="1980" t="inlineStr">
        <is>
          <t>OPENING ISD</t>
        </is>
      </c>
      <c r="K598" s="1558" t="n"/>
      <c r="L598" s="1559" t="n"/>
    </row>
    <row r="599" ht="16.5" customHeight="1">
      <c r="A599" s="1907" t="n"/>
      <c r="B599" s="1902" t="inlineStr">
        <is>
          <t>GL 1883 GROSS IGST PAYABLE DR…</t>
        </is>
      </c>
      <c r="C599" s="1997">
        <f>+'SUMMARY SHEET GST'!F114</f>
        <v/>
      </c>
      <c r="D599" s="1886" t="inlineStr">
        <is>
          <t xml:space="preserve"> </t>
        </is>
      </c>
      <c r="F599" s="1980" t="inlineStr">
        <is>
          <t>CREDIT SIDE OF GL</t>
        </is>
      </c>
      <c r="G599" s="1558" t="n"/>
      <c r="H599" s="1559" t="n"/>
      <c r="I599" s="405" t="n"/>
      <c r="J599" s="1142" t="inlineStr">
        <is>
          <t>GL 8576</t>
        </is>
      </c>
      <c r="K599" s="1142" t="inlineStr">
        <is>
          <t>GL 8577</t>
        </is>
      </c>
      <c r="L599" s="1142" t="inlineStr">
        <is>
          <t>GL 8578</t>
        </is>
      </c>
    </row>
    <row r="600" ht="16.5" customHeight="1">
      <c r="A600" s="1907" t="n"/>
      <c r="B600" s="1902" t="inlineStr">
        <is>
          <t xml:space="preserve">     TO SUNDRY BALANCE CR…</t>
        </is>
      </c>
      <c r="C600" s="1886" t="n"/>
      <c r="D600" s="1967">
        <f>+C597+C598+C599</f>
        <v/>
      </c>
      <c r="F600" s="1981" t="inlineStr">
        <is>
          <t>GL 1881</t>
        </is>
      </c>
      <c r="G600" s="1981" t="inlineStr">
        <is>
          <t>GL 1882</t>
        </is>
      </c>
      <c r="H600" s="1981" t="inlineStr">
        <is>
          <t>GL 1883</t>
        </is>
      </c>
      <c r="I600" s="405" t="n"/>
      <c r="J600" s="1981" t="n">
        <v>0</v>
      </c>
      <c r="K600" s="1981" t="n">
        <v>0</v>
      </c>
      <c r="L600" s="1999" t="n">
        <v>0</v>
      </c>
      <c r="M600" s="1167" t="inlineStr">
        <is>
          <t>MANNUAL</t>
        </is>
      </c>
    </row>
    <row r="601" ht="16.5" customHeight="1">
      <c r="A601" s="1907" t="n"/>
      <c r="B601" s="1902" t="inlineStr">
        <is>
          <t>(BEING CASH LEDGER BALANCE WITH RESPECT TO GST</t>
        </is>
      </c>
      <c r="C601" s="1886" t="n"/>
      <c r="D601" s="1886" t="n"/>
      <c r="F601" s="1982">
        <f>+D9+D25+D41+D57+D73+D89+D105+D121+D137+D153+D169+D185+D201+D217+D233+D249+D265+D281+D297+D313+D329+D345+D393+D411+D430+D577+D532+D445+D538+D361+D377+D681+D606</f>
        <v/>
      </c>
      <c r="G601" s="2000">
        <f>+F601</f>
        <v/>
      </c>
      <c r="H601" s="1982">
        <f>+D11+D27+D43+D59+D75+D91+D107+D123+D139+D155+D171+D187+D203+D219+D235+D251+D267+D283+D299+D315+D331+D347+D395+D413+D432+D534+D656+D677</f>
        <v/>
      </c>
      <c r="I601" s="405" t="n"/>
    </row>
    <row r="602" ht="16.5" customHeight="1">
      <c r="A602" s="1907" t="n"/>
      <c r="B602" s="1902" t="inlineStr">
        <is>
          <t xml:space="preserve">TDS RECEIVABLE IS UTILISED FOR RCM PAYABLE AND </t>
        </is>
      </c>
      <c r="C602" s="1886" t="n"/>
      <c r="D602" s="1886" t="n"/>
      <c r="F602" s="1982">
        <f>+F598-F601</f>
        <v/>
      </c>
      <c r="G602" s="1982">
        <f>+G598-G601</f>
        <v/>
      </c>
      <c r="H602" s="2001">
        <f>+H598-H601</f>
        <v/>
      </c>
      <c r="I602" s="2002" t="inlineStr">
        <is>
          <t>TOTAL ISD DEBIT</t>
        </is>
      </c>
      <c r="J602" s="2003">
        <f>+C460</f>
        <v/>
      </c>
      <c r="K602" s="2003">
        <f>+C461</f>
        <v/>
      </c>
      <c r="L602" s="2004">
        <f>+C462</f>
        <v/>
      </c>
    </row>
    <row r="603" ht="15.75" customHeight="1">
      <c r="A603" s="1907" t="n"/>
      <c r="B603" s="1902" t="inlineStr">
        <is>
          <t>REST TO BE PAID)</t>
        </is>
      </c>
      <c r="C603" s="1886" t="n"/>
      <c r="D603" s="1886" t="n"/>
      <c r="F603" s="2005" t="inlineStr">
        <is>
          <t>GST CHALLAN INTEREST</t>
        </is>
      </c>
      <c r="G603" s="1522" t="n"/>
      <c r="H603" s="1523" t="n"/>
      <c r="I603" s="1991" t="inlineStr">
        <is>
          <t>CREDIT (ANDHERI BRANCH)</t>
        </is>
      </c>
      <c r="J603" s="1956">
        <f>+D479</f>
        <v/>
      </c>
      <c r="K603" s="1956">
        <f>+D480</f>
        <v/>
      </c>
      <c r="L603" s="2006">
        <f>+D481</f>
        <v/>
      </c>
    </row>
    <row r="604" ht="16.5" customHeight="1">
      <c r="A604" s="1931" t="n"/>
      <c r="B604" s="1888" t="n"/>
      <c r="C604" s="1890" t="n"/>
      <c r="D604" s="1890" t="n"/>
      <c r="F604" s="1155" t="n"/>
      <c r="G604" s="1156" t="n"/>
      <c r="H604" s="1156" t="n"/>
      <c r="I604" s="1157" t="inlineStr">
        <is>
          <t xml:space="preserve">NET ISD OF GUJARAT </t>
        </is>
      </c>
      <c r="J604" s="1158">
        <f>+J602-J603+D670</f>
        <v/>
      </c>
      <c r="K604" s="1158">
        <f>+K602-K603</f>
        <v/>
      </c>
      <c r="L604" s="1159">
        <f>+L602-L603</f>
        <v/>
      </c>
    </row>
    <row r="605" ht="16.5" customHeight="1">
      <c r="A605" s="2007">
        <f>+A597+1</f>
        <v/>
      </c>
      <c r="B605" s="1893" t="inlineStr">
        <is>
          <t>PL 4197 SERVICE TAX/GST EXPENSES A/C. DR</t>
        </is>
      </c>
      <c r="C605" s="1905">
        <f>+D606+D607</f>
        <v/>
      </c>
      <c r="D605" s="1894" t="n"/>
      <c r="F605" s="1155" t="n"/>
      <c r="G605" s="1156" t="n"/>
      <c r="H605" s="1156" t="n"/>
      <c r="I605" s="1162" t="inlineStr">
        <is>
          <t>DIFFERENCE</t>
        </is>
      </c>
      <c r="J605" s="1163">
        <f>+J602-J603-J604+J600</f>
        <v/>
      </c>
      <c r="K605" s="1164">
        <f>+J605</f>
        <v/>
      </c>
      <c r="L605" s="1163">
        <f>+L602-L603-L604+L600</f>
        <v/>
      </c>
    </row>
    <row r="606">
      <c r="A606" s="1900" t="n"/>
      <c r="B606" s="794" t="inlineStr">
        <is>
          <t xml:space="preserve">               TO GL 1881 GROSS GGST PAYABLE A/C</t>
        </is>
      </c>
      <c r="C606" s="1880" t="n"/>
      <c r="D606" s="1886" t="n">
        <v>0</v>
      </c>
      <c r="F606" s="1155" t="n"/>
      <c r="G606" s="1156" t="n"/>
      <c r="H606" s="1156" t="n"/>
      <c r="I606" s="1167" t="n"/>
      <c r="J606" s="1168" t="n"/>
      <c r="K606" s="1169" t="n"/>
      <c r="L606" s="1168" t="n"/>
    </row>
    <row r="607">
      <c r="A607" s="1900" t="n"/>
      <c r="B607" s="794" t="inlineStr">
        <is>
          <t xml:space="preserve">               TO GL 1882 GROSS CGST PAYABLE A/C</t>
        </is>
      </c>
      <c r="C607" s="1880" t="n"/>
      <c r="D607" s="1886" t="n">
        <v>0</v>
      </c>
      <c r="E607" s="1167" t="n"/>
      <c r="F607" s="1155" t="n"/>
      <c r="G607" s="1156" t="n"/>
      <c r="H607" s="1156" t="n"/>
      <c r="I607" s="1167" t="n"/>
      <c r="J607" s="1168" t="n"/>
      <c r="K607" s="1169" t="n"/>
      <c r="L607" s="1168" t="n"/>
    </row>
    <row r="608">
      <c r="A608" s="1900" t="n"/>
      <c r="B608" s="2008" t="inlineStr">
        <is>
          <t>(BEING GST RECTIFICATION ENTRIES FOR THE MONTH OF JUNE'26)</t>
        </is>
      </c>
      <c r="C608" s="1880" t="n"/>
      <c r="D608" s="1886" t="n"/>
      <c r="F608" s="1155" t="n"/>
      <c r="G608" s="1156" t="n"/>
      <c r="H608" s="1156" t="n"/>
      <c r="I608" s="1167" t="n"/>
      <c r="J608" s="1168" t="n"/>
      <c r="K608" s="1169" t="n"/>
      <c r="L608" s="1168" t="n"/>
    </row>
    <row r="609">
      <c r="A609" s="1902" t="n"/>
      <c r="B609" s="2008" t="n"/>
      <c r="C609" s="1880" t="n"/>
      <c r="D609" s="1886" t="n"/>
      <c r="F609" s="1155" t="n"/>
      <c r="G609" s="1156" t="n"/>
      <c r="H609" s="1156" t="n"/>
      <c r="I609" s="1167" t="n"/>
      <c r="J609" s="2009" t="n"/>
      <c r="K609" s="1169" t="n"/>
      <c r="L609" s="1168" t="n"/>
    </row>
    <row r="610" ht="16.5" customHeight="1">
      <c r="A610" s="1903" t="n"/>
      <c r="B610" s="2010" t="n"/>
      <c r="C610" s="1889" t="n"/>
      <c r="D610" s="1890" t="n"/>
      <c r="F610" s="1155" t="n"/>
      <c r="G610" s="1156" t="n"/>
      <c r="H610" s="1156" t="n"/>
      <c r="I610" s="1167" t="n"/>
      <c r="J610" s="1168" t="n"/>
      <c r="K610" s="2011" t="n"/>
      <c r="L610" s="1168" t="n"/>
    </row>
    <row r="611">
      <c r="A611" s="1907">
        <f>+A605+1</f>
        <v/>
      </c>
      <c r="B611" s="1902" t="inlineStr">
        <is>
          <t xml:space="preserve">    GL 8551 GROSS CGST RECEIVABALE A/C. DR…</t>
        </is>
      </c>
      <c r="C611" s="2012" t="n">
        <v>0</v>
      </c>
      <c r="D611" s="1886" t="n"/>
      <c r="F611" s="1156" t="n"/>
      <c r="G611" s="1156" t="n"/>
      <c r="H611" s="1156" t="n"/>
      <c r="J611" s="1883" t="n"/>
      <c r="K611" s="1883" t="n"/>
      <c r="L611" s="1883" t="n"/>
    </row>
    <row r="612">
      <c r="A612" s="1907" t="n"/>
      <c r="B612" s="2013" t="inlineStr">
        <is>
          <t>TO GL 8549 GROSS GGST RECEIVABLE A/C…</t>
        </is>
      </c>
      <c r="C612" s="1886" t="n"/>
      <c r="D612" s="2012" t="n">
        <v>0</v>
      </c>
      <c r="F612" s="1156" t="n"/>
      <c r="G612" s="1156" t="n"/>
      <c r="H612" s="1156" t="n"/>
      <c r="J612" s="1891" t="n"/>
    </row>
    <row r="613">
      <c r="A613" s="1907" t="n"/>
      <c r="B613" s="2014" t="inlineStr">
        <is>
          <t>TO GL 8552 GROSS IGST  RECEIVABLE A/C…</t>
        </is>
      </c>
      <c r="C613" s="1886" t="n"/>
      <c r="D613" s="2012" t="n">
        <v>0</v>
      </c>
      <c r="F613" s="1156" t="n"/>
      <c r="G613" s="1156" t="n"/>
      <c r="H613" s="1156" t="n"/>
    </row>
    <row r="614">
      <c r="A614" s="1907" t="n"/>
      <c r="B614" s="2013" t="inlineStr">
        <is>
          <t>TO PL 4197 SERVICE TAX/GST EXPENSES A/C…</t>
        </is>
      </c>
      <c r="C614" s="1886" t="n"/>
      <c r="D614" s="2012">
        <f>+C611-D612-D613</f>
        <v/>
      </c>
    </row>
    <row r="615" ht="16.5" customHeight="1">
      <c r="A615" s="1907" t="n"/>
      <c r="B615" s="1902" t="n"/>
      <c r="C615" s="1886" t="n"/>
      <c r="D615" s="1886" t="n"/>
    </row>
    <row r="616">
      <c r="A616" s="1932" t="n"/>
      <c r="B616" s="1896" t="n"/>
      <c r="C616" s="1894" t="n"/>
      <c r="D616" s="1894" t="n"/>
    </row>
    <row r="617" ht="15.75" customHeight="1">
      <c r="A617" s="1907">
        <f>+A611+1</f>
        <v/>
      </c>
      <c r="B617" s="794" t="inlineStr">
        <is>
          <t xml:space="preserve">GL 8549 GROSS GGST RECEIVABLE A/C.. </t>
        </is>
      </c>
      <c r="C617" s="1886" t="n">
        <v>1889.59</v>
      </c>
      <c r="D617" s="2015" t="n"/>
      <c r="E617" s="1156" t="n"/>
    </row>
    <row r="618">
      <c r="A618" s="1907" t="n"/>
      <c r="B618" s="794" t="inlineStr">
        <is>
          <t xml:space="preserve">GL 8551 GROSS CGST RECEIVABLE A/C..   </t>
        </is>
      </c>
      <c r="C618" s="1886">
        <f>20.39+1889.59</f>
        <v/>
      </c>
      <c r="D618" s="2015" t="n"/>
      <c r="E618" s="1156" t="n"/>
      <c r="F618" s="1891" t="n"/>
      <c r="G618" s="1891" t="n"/>
      <c r="H618" s="1891" t="n"/>
    </row>
    <row r="619">
      <c r="A619" s="1907" t="n"/>
      <c r="B619" s="794" t="inlineStr">
        <is>
          <t>GL 8552 GROSS IGST  RECEIVABLE A/C…</t>
        </is>
      </c>
      <c r="C619" s="1886" t="n">
        <v>0</v>
      </c>
      <c r="D619" s="2015" t="n"/>
      <c r="E619" s="1156" t="n"/>
      <c r="F619" s="1880" t="n"/>
      <c r="G619" s="1880" t="n"/>
      <c r="H619" s="1880" t="n"/>
    </row>
    <row r="620">
      <c r="A620" s="1907" t="n"/>
      <c r="B620" s="1884" t="inlineStr">
        <is>
          <t xml:space="preserve">              TO PL 4197 SERVICE TAX/GST EXPENSES A/C…. </t>
        </is>
      </c>
      <c r="C620" s="1886" t="n"/>
      <c r="D620" s="2015">
        <f>+C617+C618</f>
        <v/>
      </c>
      <c r="E620" s="1156" t="n"/>
    </row>
    <row r="621">
      <c r="A621" s="1907" t="n"/>
      <c r="C621" s="1886" t="n"/>
      <c r="D621" s="2015" t="n"/>
      <c r="E621" s="1156" t="n"/>
    </row>
    <row r="622">
      <c r="A622" s="1907" t="n"/>
      <c r="B622" s="1902" t="inlineStr">
        <is>
          <t>(BEING WRONG ENTRY PASSED BY THEM  NOW RECTIFIED)</t>
        </is>
      </c>
      <c r="C622" s="1886" t="n"/>
      <c r="D622" s="2015" t="n"/>
      <c r="E622" s="1156" t="n"/>
    </row>
    <row r="623" ht="16.5" customHeight="1">
      <c r="A623" s="1907" t="n"/>
      <c r="B623" s="1902" t="n"/>
      <c r="C623" s="1886" t="n"/>
      <c r="D623" s="1886" t="n"/>
      <c r="F623" s="1891" t="n"/>
      <c r="G623" s="1891" t="n"/>
      <c r="H623" s="1891" t="n"/>
    </row>
    <row r="624">
      <c r="A624" s="1932" t="n"/>
      <c r="B624" s="1896" t="n"/>
      <c r="C624" s="1894" t="n"/>
      <c r="D624" s="1894" t="n"/>
      <c r="E624" s="790" t="n"/>
      <c r="F624" s="1891" t="n"/>
      <c r="G624" s="1891" t="n"/>
      <c r="H624" s="1891" t="n"/>
    </row>
    <row r="625">
      <c r="A625" s="1907">
        <f>+A617+1</f>
        <v/>
      </c>
      <c r="B625" s="1884" t="inlineStr">
        <is>
          <t xml:space="preserve">PL 4197 SERVICE TAX/GST EXPENSES A/C…. </t>
        </is>
      </c>
      <c r="C625" s="1886">
        <f>+D627+D628-C626</f>
        <v/>
      </c>
      <c r="D625" s="1886" t="n"/>
      <c r="E625" s="790" t="n"/>
      <c r="F625" s="1891" t="n"/>
      <c r="G625" s="1891" t="n"/>
      <c r="H625" s="1891" t="n"/>
    </row>
    <row r="626">
      <c r="A626" s="1907" t="n"/>
      <c r="B626" s="794" t="inlineStr">
        <is>
          <t>GL 8552 GROSS IGST  RECEIVABLE A/C…</t>
        </is>
      </c>
      <c r="C626" s="1886" t="n"/>
      <c r="D626" s="1886" t="n"/>
      <c r="E626" s="790" t="n"/>
      <c r="F626" s="1891" t="n"/>
      <c r="G626" s="1891" t="n"/>
      <c r="H626" s="1891" t="n"/>
    </row>
    <row r="627">
      <c r="A627" s="1907" t="n"/>
      <c r="B627" s="794" t="inlineStr">
        <is>
          <t xml:space="preserve">              TO GL 8549 GROSS GGST RECEIVABLE A/C.. </t>
        </is>
      </c>
      <c r="C627" s="1886" t="n"/>
      <c r="D627" s="1886" t="n"/>
      <c r="E627" s="790" t="n"/>
      <c r="F627" s="1891" t="n"/>
      <c r="G627" s="1891" t="n"/>
      <c r="H627" s="1891" t="n"/>
    </row>
    <row r="628">
      <c r="A628" s="1907" t="n"/>
      <c r="B628" s="794" t="inlineStr">
        <is>
          <t xml:space="preserve">              TO GL 8551 GROSS CGST RECEIVABLE A/C..   </t>
        </is>
      </c>
      <c r="C628" s="1886" t="n"/>
      <c r="D628" s="1886" t="n"/>
      <c r="E628" s="790" t="n"/>
      <c r="F628" s="1891" t="n"/>
      <c r="G628" s="1891" t="n"/>
      <c r="H628" s="1891" t="n"/>
    </row>
    <row r="629">
      <c r="A629" s="1907" t="n"/>
      <c r="B629" s="1902" t="n"/>
      <c r="C629" s="1886" t="n"/>
      <c r="D629" s="1886" t="n"/>
      <c r="E629" s="790" t="n"/>
      <c r="F629" s="1891" t="n"/>
      <c r="G629" s="1891" t="n"/>
      <c r="H629" s="1891" t="n"/>
    </row>
    <row r="630">
      <c r="A630" s="1907" t="n"/>
      <c r="B630" s="1902" t="inlineStr">
        <is>
          <t>(BEING WRONG ENTRY PASSED BY THEM  NOW RECTIFIED)</t>
        </is>
      </c>
      <c r="C630" s="1886" t="n"/>
      <c r="D630" s="1886" t="n"/>
      <c r="E630" s="790" t="n"/>
      <c r="F630" s="1891" t="n"/>
      <c r="G630" s="1891" t="n"/>
      <c r="H630" s="1891" t="n"/>
    </row>
    <row r="631" ht="16.5" customHeight="1">
      <c r="A631" s="1931" t="n"/>
      <c r="B631" s="1903" t="n"/>
      <c r="C631" s="1890" t="n"/>
      <c r="D631" s="1890" t="n"/>
      <c r="E631" s="790" t="n"/>
      <c r="F631" s="1891" t="n"/>
      <c r="G631" s="1891" t="n"/>
      <c r="H631" s="1891" t="n"/>
    </row>
    <row r="632">
      <c r="A632" s="1907" t="n"/>
      <c r="B632" s="1884" t="n"/>
      <c r="C632" s="1886" t="n"/>
      <c r="D632" s="1921" t="n"/>
      <c r="E632" s="790" t="n"/>
      <c r="F632" s="1891" t="n"/>
      <c r="G632" s="1891" t="n"/>
      <c r="H632" s="1891" t="n"/>
    </row>
    <row r="633" ht="16.5" customHeight="1">
      <c r="A633" s="1907">
        <f>+A625+1</f>
        <v/>
      </c>
      <c r="B633" s="2016" t="inlineStr">
        <is>
          <t xml:space="preserve"> IGST ISD RECEIVABLE A/C… DR</t>
        </is>
      </c>
      <c r="C633" s="1886" t="n">
        <v>0</v>
      </c>
      <c r="D633" s="1921" t="n"/>
      <c r="E633" s="1458" t="n"/>
    </row>
    <row r="634">
      <c r="A634" s="1907" t="n"/>
      <c r="B634" s="2016" t="inlineStr">
        <is>
          <t>GROSS CGST ISD RECEIVABLE A/C…  DR</t>
        </is>
      </c>
      <c r="C634" s="1886" t="n"/>
      <c r="D634" s="1921" t="n"/>
      <c r="E634" s="1910" t="n"/>
    </row>
    <row r="635">
      <c r="A635" s="1907" t="n"/>
      <c r="B635" s="2016" t="inlineStr">
        <is>
          <t>GROSS IGST ISD RECEIVABLE A/C… DR</t>
        </is>
      </c>
      <c r="C635" s="1886" t="n"/>
      <c r="D635" s="1921" t="n"/>
      <c r="E635" s="1910" t="n"/>
    </row>
    <row r="636">
      <c r="A636" s="1907" t="n"/>
      <c r="B636" s="2014" t="inlineStr">
        <is>
          <t>TO GL 8552 GROSS IGST  RECEIVABLE A/C…</t>
        </is>
      </c>
      <c r="C636" s="1886" t="n"/>
      <c r="D636" s="1921">
        <f>+C633+C634+C635</f>
        <v/>
      </c>
      <c r="E636" s="790" t="n"/>
    </row>
    <row r="637">
      <c r="A637" s="1907" t="n"/>
      <c r="B637" s="2017" t="inlineStr">
        <is>
          <t>(BEING AMOUNT TRF FROM GL 8552 TO  IGST ISD A/C.)</t>
        </is>
      </c>
      <c r="C637" s="1886" t="n"/>
      <c r="D637" s="1921" t="n"/>
      <c r="E637" s="790" t="n"/>
    </row>
    <row r="638" ht="16.5" customHeight="1">
      <c r="A638" s="1931" t="n"/>
      <c r="B638" s="2018" t="n"/>
      <c r="C638" s="1890" t="n"/>
      <c r="D638" s="1927" t="n"/>
      <c r="E638" s="790" t="n"/>
    </row>
    <row r="639">
      <c r="A639" s="1932" t="n"/>
      <c r="B639" s="1896" t="n"/>
      <c r="C639" s="1894" t="n"/>
      <c r="D639" s="1894" t="n"/>
      <c r="E639" s="790" t="n"/>
    </row>
    <row r="640">
      <c r="A640" s="1907">
        <f>+A633+1</f>
        <v/>
      </c>
      <c r="B640" s="794" t="inlineStr">
        <is>
          <t>PL 4197 SERVICE TAX/GST EXPENSES A/C. DR</t>
        </is>
      </c>
      <c r="C640" s="1886">
        <f>+D641+D642</f>
        <v/>
      </c>
      <c r="D640" s="1886" t="n"/>
      <c r="E640" s="790" t="n"/>
    </row>
    <row r="641">
      <c r="A641" s="1907" t="n"/>
      <c r="B641" s="794" t="inlineStr">
        <is>
          <t xml:space="preserve">      TO GL 8549 GROSS GGST RECEIVABLE A/C..</t>
        </is>
      </c>
      <c r="C641" s="1886" t="n"/>
      <c r="D641" s="1886" t="n">
        <v>0</v>
      </c>
      <c r="E641" s="790" t="n"/>
      <c r="L641" s="1884">
        <f>1657-1557</f>
        <v/>
      </c>
    </row>
    <row r="642">
      <c r="A642" s="1907" t="n"/>
      <c r="B642" s="794" t="inlineStr">
        <is>
          <t xml:space="preserve">      TO GL 8551 GROSS CGST RECEIVABLE A/C..</t>
        </is>
      </c>
      <c r="C642" s="1886" t="n"/>
      <c r="D642" s="1886" t="n">
        <v>0</v>
      </c>
      <c r="E642" s="790" t="n"/>
    </row>
    <row r="643">
      <c r="A643" s="1907" t="n"/>
      <c r="B643" s="1902" t="inlineStr">
        <is>
          <t>(BEING EXCESS ITC RECORDED IN NARAYANNAGAR BRANCH</t>
        </is>
      </c>
      <c r="C643" s="1886" t="n"/>
      <c r="D643" s="1886" t="n"/>
      <c r="E643" s="790" t="n"/>
    </row>
    <row r="644">
      <c r="A644" s="1907" t="n"/>
      <c r="B644" s="1902" t="inlineStr">
        <is>
          <t>HENCE SAME IS TRF TO EXP ACCOUNT)</t>
        </is>
      </c>
      <c r="C644" s="1886" t="n"/>
      <c r="D644" s="1886" t="n"/>
      <c r="E644" s="790" t="n"/>
    </row>
    <row r="645" ht="16.5" customHeight="1">
      <c r="A645" s="1931" t="n"/>
      <c r="B645" s="1903" t="n"/>
      <c r="C645" s="1890" t="n"/>
      <c r="D645" s="1890" t="n"/>
      <c r="E645" s="790" t="n"/>
    </row>
    <row r="646">
      <c r="A646" s="1932" t="n"/>
      <c r="B646" s="1896" t="n"/>
      <c r="C646" s="1894" t="n"/>
      <c r="D646" s="1894" t="n"/>
    </row>
    <row r="647">
      <c r="A647" s="1907">
        <f>+A640+1</f>
        <v/>
      </c>
      <c r="B647" s="1923" t="inlineStr">
        <is>
          <t>GL  8561 GGST TDS RECEIVABLE DR.</t>
        </is>
      </c>
      <c r="C647" s="1997" t="n">
        <v>0</v>
      </c>
      <c r="D647" s="1886" t="n"/>
    </row>
    <row r="648">
      <c r="A648" s="1907" t="n"/>
      <c r="B648" s="1902" t="inlineStr">
        <is>
          <t>GL 8562 CGST TDS RECEIVABLE DR.</t>
        </is>
      </c>
      <c r="C648" s="1997" t="n">
        <v>0</v>
      </c>
      <c r="D648" s="1886" t="n"/>
    </row>
    <row r="649">
      <c r="A649" s="1907" t="n"/>
      <c r="B649" s="2013" t="inlineStr">
        <is>
          <t>TO PL 4197 SERVICE TAX/GST EXPENSES A/C…</t>
        </is>
      </c>
      <c r="C649" s="1886" t="n"/>
      <c r="D649" s="1967">
        <f>+C647+C648</f>
        <v/>
      </c>
    </row>
    <row r="650">
      <c r="A650" s="1907" t="n"/>
      <c r="B650" s="2008" t="inlineStr">
        <is>
          <t>(BEING TDS RECTIFICATION ENTRIES FOR THE MONTH OF DEC 2025)</t>
        </is>
      </c>
      <c r="C650" s="1886" t="n"/>
      <c r="D650" s="1886" t="n"/>
    </row>
    <row r="651">
      <c r="A651" s="1907" t="n"/>
      <c r="B651" s="2008" t="n"/>
      <c r="C651" s="1886" t="n"/>
      <c r="D651" s="1886" t="n"/>
    </row>
    <row r="652" ht="16.5" customHeight="1">
      <c r="A652" s="1931" t="n"/>
      <c r="B652" s="2010" t="n"/>
      <c r="C652" s="1890" t="n"/>
      <c r="D652" s="1890" t="n"/>
    </row>
    <row r="653">
      <c r="A653" s="1932" t="n"/>
      <c r="B653" s="1896" t="n"/>
      <c r="C653" s="1894" t="n"/>
      <c r="D653" s="1894" t="n"/>
    </row>
    <row r="654">
      <c r="A654" s="1907">
        <f>+A647+1</f>
        <v/>
      </c>
      <c r="B654" s="1902" t="inlineStr">
        <is>
          <t>GL 8562 CGST TDS RECEIVABLE DR…</t>
        </is>
      </c>
      <c r="C654" s="2019" t="n">
        <v>0</v>
      </c>
      <c r="D654" s="1886" t="n"/>
    </row>
    <row r="655">
      <c r="A655" s="1907" t="n"/>
      <c r="B655" s="794" t="inlineStr">
        <is>
          <t>PL 4197 SERVICE TAX/GST EXPENSES A/C. DR</t>
        </is>
      </c>
      <c r="C655" s="2019">
        <f>+D656+D657-C654</f>
        <v/>
      </c>
      <c r="D655" s="1886" t="n"/>
    </row>
    <row r="656">
      <c r="A656" s="1907" t="n"/>
      <c r="B656" s="1902" t="inlineStr">
        <is>
          <t xml:space="preserve">                                TO GL 8561 SGST TDS RECEIVABLE</t>
        </is>
      </c>
      <c r="C656" s="1886" t="n"/>
      <c r="D656" s="1886" t="n">
        <v>0</v>
      </c>
    </row>
    <row r="657">
      <c r="A657" s="1907" t="n"/>
      <c r="B657" s="1902" t="inlineStr">
        <is>
          <t xml:space="preserve">                                TO GL 8563 IGST TDS RECEIVABLE</t>
        </is>
      </c>
      <c r="C657" s="1886" t="n"/>
      <c r="D657" s="1886" t="n">
        <v>0</v>
      </c>
    </row>
    <row r="658">
      <c r="A658" s="1907" t="n"/>
      <c r="B658" s="2008" t="inlineStr">
        <is>
          <t>(BEING ROUND OFF DIFFRENCE TRANSFER TO EXPENSE)</t>
        </is>
      </c>
      <c r="C658" s="1886" t="n"/>
      <c r="D658" s="1886" t="n"/>
    </row>
    <row r="659">
      <c r="A659" s="1907" t="n"/>
      <c r="B659" s="2008" t="n"/>
      <c r="C659" s="1886" t="n"/>
      <c r="D659" s="1886" t="n"/>
    </row>
    <row r="660" ht="16.5" customHeight="1">
      <c r="A660" s="1931" t="n"/>
      <c r="B660" s="2010" t="n"/>
      <c r="C660" s="1890" t="n"/>
      <c r="D660" s="1890" t="n"/>
    </row>
    <row r="661">
      <c r="A661" s="1932" t="n"/>
      <c r="B661" s="2020" t="n"/>
      <c r="C661" s="1894" t="n"/>
      <c r="D661" s="1894" t="n"/>
    </row>
    <row r="662">
      <c r="A662" s="1907">
        <f>+A654+1</f>
        <v/>
      </c>
      <c r="B662" s="1923" t="inlineStr">
        <is>
          <t>GL 8551 GROSS GGST RECEIVABLE A/C</t>
        </is>
      </c>
      <c r="C662" s="1886" t="n">
        <v>0</v>
      </c>
      <c r="D662" s="1886" t="n"/>
    </row>
    <row r="663">
      <c r="A663" s="1907" t="n"/>
      <c r="B663" s="794" t="inlineStr">
        <is>
          <t xml:space="preserve">                            TO GL 8562 GROSS GGST RECEIVABLE A/C</t>
        </is>
      </c>
      <c r="C663" s="1886" t="n"/>
      <c r="D663" s="1886">
        <f>+C662</f>
        <v/>
      </c>
    </row>
    <row r="664">
      <c r="A664" s="1907" t="n"/>
      <c r="B664" s="2008" t="inlineStr">
        <is>
          <t>(BEING GST RECTIFICATION ENTRIES FOR THE MONTH OF DEC 2025)</t>
        </is>
      </c>
      <c r="C664" s="1886" t="n"/>
      <c r="D664" s="1886" t="n"/>
    </row>
    <row r="665" ht="20.25" customHeight="1">
      <c r="A665" s="1907" t="n"/>
      <c r="B665" s="2008" t="n"/>
      <c r="C665" s="1886" t="n"/>
      <c r="D665" s="1886" t="n"/>
    </row>
    <row r="666" ht="16.5" customHeight="1">
      <c r="A666" s="1931" t="n"/>
      <c r="B666" s="1888" t="n"/>
      <c r="C666" s="1890" t="n"/>
      <c r="D666" s="1890" t="n"/>
    </row>
    <row r="667">
      <c r="A667" s="1932" t="n"/>
      <c r="B667" s="1896" t="n"/>
      <c r="C667" s="1894" t="n"/>
      <c r="D667" s="1894" t="n"/>
    </row>
    <row r="668">
      <c r="A668" s="2021">
        <f>+A662+1</f>
        <v/>
      </c>
      <c r="B668" s="1923" t="inlineStr">
        <is>
          <t>GL 8549 GROSS GGST RECEIVABLE A/C DR..</t>
        </is>
      </c>
      <c r="C668" s="2019" t="n">
        <v>0</v>
      </c>
      <c r="D668" s="1886" t="n"/>
      <c r="F668" s="1960" t="n"/>
    </row>
    <row r="669">
      <c r="A669" s="1907" t="n"/>
      <c r="B669" s="1902" t="inlineStr">
        <is>
          <t>GL 8551 GROSS CGST  RECEIVABLE A/C DR…</t>
        </is>
      </c>
      <c r="C669" s="2019" t="n">
        <v>0</v>
      </c>
      <c r="D669" s="1886" t="n"/>
    </row>
    <row r="670">
      <c r="A670" s="1907" t="n"/>
      <c r="B670" s="794" t="inlineStr">
        <is>
          <t xml:space="preserve">                            TO GL 8576 SGST ISD RECEIVABLE    A/C</t>
        </is>
      </c>
      <c r="C670" s="1886" t="n"/>
      <c r="D670" s="1886">
        <f>+C668</f>
        <v/>
      </c>
    </row>
    <row r="671">
      <c r="A671" s="1907" t="n"/>
      <c r="B671" s="794" t="inlineStr">
        <is>
          <t xml:space="preserve">                            TO 8577 CGST ISD RECEIVABLE    A/C</t>
        </is>
      </c>
      <c r="C671" s="794" t="n"/>
      <c r="D671" s="1886">
        <f>+C669</f>
        <v/>
      </c>
    </row>
    <row r="672">
      <c r="A672" s="1907" t="n"/>
      <c r="B672" s="794" t="inlineStr">
        <is>
          <t>(BEING LAST MONTH ISD ENTRY PENDING PASSEDE IN THIS MONTH A/C)</t>
        </is>
      </c>
      <c r="C672" s="1886" t="n"/>
      <c r="D672" s="1967" t="n"/>
    </row>
    <row r="673" ht="16.5" customHeight="1">
      <c r="A673" s="1931" t="n"/>
      <c r="B673" s="2010" t="n"/>
      <c r="C673" s="1890" t="n"/>
      <c r="D673" s="1890" t="n"/>
    </row>
    <row r="674">
      <c r="A674" s="2007" t="n"/>
      <c r="B674" s="2020" t="n"/>
      <c r="C674" s="1905" t="n"/>
      <c r="D674" s="1894" t="n"/>
    </row>
    <row r="675">
      <c r="A675" s="1900">
        <f>+A668+1</f>
        <v/>
      </c>
      <c r="B675" s="794" t="inlineStr">
        <is>
          <t>GL 1881 GROSS GGST PAYABLE DR…</t>
        </is>
      </c>
      <c r="C675" s="1880" t="n">
        <v>0</v>
      </c>
      <c r="D675" s="1886" t="n"/>
    </row>
    <row r="676">
      <c r="A676" s="1900" t="n"/>
      <c r="B676" s="794" t="inlineStr">
        <is>
          <t>GL 1882 GROSS CGST PAYABLE DR…</t>
        </is>
      </c>
      <c r="C676" s="1880" t="n">
        <v>0</v>
      </c>
      <c r="D676" s="1886" t="n"/>
    </row>
    <row r="677">
      <c r="A677" s="1900" t="n"/>
      <c r="B677" s="794" t="inlineStr">
        <is>
          <t xml:space="preserve">             TO GL 1883 GROSS IGST PAYABLE A/C..  </t>
        </is>
      </c>
      <c r="C677" s="1880" t="n"/>
      <c r="D677" s="1886" t="n">
        <v>0</v>
      </c>
    </row>
    <row r="678">
      <c r="A678" s="1900" t="n"/>
      <c r="B678" s="2008" t="inlineStr">
        <is>
          <t>(BEING GST SET OFF ENTRIES  MONTH OF DEC 2025)</t>
        </is>
      </c>
      <c r="C678" s="1880" t="n"/>
      <c r="D678" s="1886" t="n"/>
    </row>
    <row r="679" ht="16.5" customHeight="1">
      <c r="A679" s="1900" t="n"/>
      <c r="B679" s="2008" t="n"/>
      <c r="C679" s="1880" t="n"/>
      <c r="D679" s="1886" t="n"/>
    </row>
    <row r="680">
      <c r="A680" s="2007" t="n">
        <v>33</v>
      </c>
      <c r="B680" s="1893" t="inlineStr">
        <is>
          <t>PL 4197 SERVICE TAX/GST EXPENSES A/C. DR</t>
        </is>
      </c>
      <c r="C680" s="1905">
        <f>+D681+D682</f>
        <v/>
      </c>
      <c r="D680" s="1894" t="n"/>
    </row>
    <row r="681">
      <c r="A681" s="1900" t="n"/>
      <c r="B681" s="794" t="inlineStr">
        <is>
          <t xml:space="preserve">               TO GL 1881 GROSS GGST PAYABLE A/C</t>
        </is>
      </c>
      <c r="C681" s="1880" t="n"/>
      <c r="D681" s="1886" t="n"/>
    </row>
    <row r="682">
      <c r="A682" s="1900" t="n"/>
      <c r="B682" s="794" t="inlineStr">
        <is>
          <t xml:space="preserve">               TO GL 1882 GROSS CGST PAYABLE A/C</t>
        </is>
      </c>
      <c r="C682" s="1880" t="n"/>
      <c r="D682" s="1886" t="n"/>
    </row>
    <row r="683">
      <c r="A683" s="1900" t="n"/>
      <c r="B683" s="2008" t="inlineStr">
        <is>
          <t>(BEING GST RECTIFICATION ENTRIES FOR THE MONTH OF JUNE'26)</t>
        </is>
      </c>
      <c r="C683" s="1880" t="n"/>
      <c r="D683" s="1886" t="n"/>
    </row>
    <row r="684">
      <c r="A684" s="1902" t="n"/>
      <c r="B684" s="2008" t="n"/>
      <c r="C684" s="1880" t="n"/>
      <c r="D684" s="1886" t="n"/>
    </row>
    <row r="685" ht="16.5" customHeight="1">
      <c r="A685" s="1903" t="n"/>
      <c r="B685" s="2010" t="n"/>
      <c r="C685" s="1889" t="n"/>
      <c r="D685" s="1890" t="n"/>
    </row>
    <row r="686"/>
    <row r="687">
      <c r="A687" s="649">
        <f>+CELL("filename")</f>
        <v/>
      </c>
    </row>
  </sheetData>
  <mergeCells count="19">
    <mergeCell ref="F561:M561"/>
    <mergeCell ref="E239:E244"/>
    <mergeCell ref="F591:H591"/>
    <mergeCell ref="F585:L585"/>
    <mergeCell ref="A1:D1"/>
    <mergeCell ref="F575:I575"/>
    <mergeCell ref="E302:F309"/>
    <mergeCell ref="J598:L598"/>
    <mergeCell ref="E270:E277"/>
    <mergeCell ref="E633:E635"/>
    <mergeCell ref="F603:H603"/>
    <mergeCell ref="F588:H588"/>
    <mergeCell ref="E256:E261"/>
    <mergeCell ref="F599:H599"/>
    <mergeCell ref="J588:L588"/>
    <mergeCell ref="A3:D3"/>
    <mergeCell ref="E452:F456"/>
    <mergeCell ref="E174:E179"/>
    <mergeCell ref="F596:H5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2026-10-23T08:01:50Z</dcterms:modified>
</cp:coreProperties>
</file>