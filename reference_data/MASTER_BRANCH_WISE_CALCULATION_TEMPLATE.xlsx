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-120" yWindow="-120" windowWidth="24240" windowHeight="13140" tabRatio="757" firstSheet="26" activeTab="27"/>
  </bookViews>
  <sheets>
    <sheet name="ODHAV " sheetId="6" r:id="rId1"/>
    <sheet name="RAKHIAL" sheetId="7" r:id="rId2"/>
    <sheet name="NEW SHARDA" sheetId="9" r:id="rId3"/>
    <sheet name="CHANGODAR" sheetId="8" r:id="rId4"/>
    <sheet name="ISANPUR" sheetId="10" r:id="rId5"/>
    <sheet name="MANINAGAR" sheetId="11" r:id="rId6"/>
    <sheet name="SHANTI COMM" sheetId="12" r:id="rId7"/>
    <sheet name="MASKATI" sheetId="13" r:id="rId8"/>
    <sheet name="VEJALPUR" sheetId="14" r:id="rId9"/>
    <sheet name="JODHPUR-SATELLITE" sheetId="56" r:id="rId10"/>
    <sheet name="PANJRAPOLE" sheetId="16" r:id="rId11"/>
    <sheet name="ASHRAM ROAD" sheetId="17" r:id="rId12"/>
    <sheet name="NARAYANNAGAR" sheetId="18" r:id="rId13"/>
    <sheet name="NARANPURA" sheetId="19" r:id="rId14"/>
    <sheet name="DRIVE IN" sheetId="20" r:id="rId15"/>
    <sheet name="VASANA " sheetId="21" r:id="rId16"/>
    <sheet name="SURAT" sheetId="22" r:id="rId17"/>
    <sheet name="LAW GARDEN" sheetId="23" r:id="rId18"/>
    <sheet name="NEW CLOTH" sheetId="24" r:id="rId19"/>
    <sheet name="BAPUNAGAR" sheetId="25" r:id="rId20"/>
    <sheet name="BOPAL" sheetId="57" r:id="rId21"/>
    <sheet name="THALTEJ" sheetId="27" r:id="rId22"/>
    <sheet name="CHANDKHEDA" sheetId="62" r:id="rId23"/>
    <sheet name="VASTRAL" sheetId="63" r:id="rId24"/>
    <sheet name="Sheet1" sheetId="30" r:id="rId25"/>
    <sheet name="HO" sheetId="28" r:id="rId26"/>
    <sheet name="DEMAT" sheetId="29" r:id="rId27"/>
    <sheet name="SUMMARY SHEET GST" sheetId="31" r:id="rId28"/>
    <sheet name="Notes" sheetId="66" r:id="rId29"/>
    <sheet name="GSTN CANCELLTED" sheetId="58" r:id="rId30"/>
    <sheet name="ODHAV1" sheetId="32" r:id="rId31"/>
    <sheet name="RAKHIAL1" sheetId="33" r:id="rId32"/>
    <sheet name="CHANGODAR1" sheetId="34" r:id="rId33"/>
    <sheet name="SHARDA MANDIR 1" sheetId="35" r:id="rId34"/>
    <sheet name="ISANPUR1" sheetId="36" r:id="rId35"/>
    <sheet name="MANINAGAR1" sheetId="37" r:id="rId36"/>
    <sheet name="SHANTI COMMERCIAL" sheetId="38" r:id="rId37"/>
    <sheet name="MASKATI MARKET" sheetId="39" r:id="rId38"/>
    <sheet name="VEJALPUR1" sheetId="40" r:id="rId39"/>
    <sheet name="JODHPUR1" sheetId="41" r:id="rId40"/>
    <sheet name="PANJRAPOLE1" sheetId="42" r:id="rId41"/>
    <sheet name="ASHRAM ROAD 1" sheetId="43" r:id="rId42"/>
    <sheet name="NARAYANNAGAR1" sheetId="44" r:id="rId43"/>
    <sheet name="NARANPURA1" sheetId="45" r:id="rId44"/>
    <sheet name="DRIVE IN1" sheetId="46" r:id="rId45"/>
    <sheet name="VASNA1" sheetId="47" r:id="rId46"/>
    <sheet name="SURAT1" sheetId="48" r:id="rId47"/>
    <sheet name="LAWGARGEN1" sheetId="49" r:id="rId48"/>
    <sheet name="NEW CLOTH MARKET 1" sheetId="50" r:id="rId49"/>
    <sheet name="BAPUNAGAR1" sheetId="51" r:id="rId50"/>
    <sheet name="BOPAL1" sheetId="52" r:id="rId51"/>
    <sheet name="THALTEJ1" sheetId="53" r:id="rId52"/>
    <sheet name="CHANDKHEDA1" sheetId="64" r:id="rId53"/>
    <sheet name="VASTRAL1" sheetId="65" r:id="rId54"/>
    <sheet name="DEMAT1" sheetId="54" r:id="rId55"/>
    <sheet name="HO1" sheetId="55" r:id="rId56"/>
  </sheets>
  <externalReferences>
    <externalReference r:id="rId57"/>
    <externalReference r:id="rId58"/>
  </externalReferences>
  <definedNames>
    <definedName name="_xlnm._FilterDatabase" localSheetId="29" hidden="1">'GSTN CANCELLTED'!$A$1:$D$37</definedName>
    <definedName name="_xlnm._FilterDatabase" localSheetId="25" hidden="1">HO!$A$77:$F$84</definedName>
    <definedName name="_xlnm._FilterDatabase" localSheetId="55" hidden="1">'HO1'!$A$5:$D$688</definedName>
    <definedName name="_xlnm._FilterDatabase" localSheetId="2" hidden="1">'NEW SHARDA'!$A$7:$I$66</definedName>
    <definedName name="_xlnm._FilterDatabase" localSheetId="27" hidden="1">'SUMMARY SHEET GST'!$B$161:$M$173</definedName>
    <definedName name="_xlnm.Print_Area" localSheetId="11">'ASHRAM ROAD'!$A$1:$F$91</definedName>
    <definedName name="_xlnm.Print_Area" localSheetId="41">'ASHRAM ROAD 1'!$A$1:$D$22</definedName>
    <definedName name="_xlnm.Print_Area" localSheetId="19">BAPUNAGAR!$A$1:$F$96</definedName>
    <definedName name="_xlnm.Print_Area" localSheetId="49">BAPUNAGAR1!$A$1:$D$21</definedName>
    <definedName name="_xlnm.Print_Area" localSheetId="20">BOPAL!$A$1:$F$100</definedName>
    <definedName name="_xlnm.Print_Area" localSheetId="50">BOPAL1!$A$1:$D$21</definedName>
    <definedName name="_xlnm.Print_Area" localSheetId="22">CHANDKHEDA!$A$1:$F$97</definedName>
    <definedName name="_xlnm.Print_Area" localSheetId="52">CHANDKHEDA1!$A$1:$D$22</definedName>
    <definedName name="_xlnm.Print_Area" localSheetId="3">CHANGODAR!$A$1:$F$92</definedName>
    <definedName name="_xlnm.Print_Area" localSheetId="32">CHANGODAR1!$A$1:$D$22</definedName>
    <definedName name="_xlnm.Print_Area" localSheetId="26">DEMAT!$A$1:$F$62</definedName>
    <definedName name="_xlnm.Print_Area" localSheetId="54">DEMAT1!$A$1:$D$37</definedName>
    <definedName name="_xlnm.Print_Area" localSheetId="14">'DRIVE IN'!$A$1:$F$93</definedName>
    <definedName name="_xlnm.Print_Area" localSheetId="44">'DRIVE IN1'!$A$1:$D$23</definedName>
    <definedName name="_xlnm.Print_Area" localSheetId="25">HO!$A$1:$F$113</definedName>
    <definedName name="_xlnm.Print_Area" localSheetId="55">'HO1'!$A$1:$D$686</definedName>
    <definedName name="_xlnm.Print_Area" localSheetId="4">ISANPUR!$A$1:$F$94</definedName>
    <definedName name="_xlnm.Print_Area" localSheetId="34">ISANPUR1!$A$1:$D$28</definedName>
    <definedName name="_xlnm.Print_Area" localSheetId="39">JODHPUR1!$A$1:$E$28</definedName>
    <definedName name="_xlnm.Print_Area" localSheetId="9">'JODHPUR-SATELLITE'!$A$1:$F$99</definedName>
    <definedName name="_xlnm.Print_Area" localSheetId="17">'LAW GARDEN'!$A$1:$F$99</definedName>
    <definedName name="_xlnm.Print_Area" localSheetId="47">LAWGARGEN1!$A$1:$D$27</definedName>
    <definedName name="_xlnm.Print_Area" localSheetId="5">MANINAGAR!$A$1:$F$99</definedName>
    <definedName name="_xlnm.Print_Area" localSheetId="35">MANINAGAR1!$A$1:$D$21</definedName>
    <definedName name="_xlnm.Print_Area" localSheetId="7">MASKATI!$A$1:$F$101</definedName>
    <definedName name="_xlnm.Print_Area" localSheetId="37">'MASKATI MARKET'!$A$1:$D$38</definedName>
    <definedName name="_xlnm.Print_Area" localSheetId="13">NARANPURA!$A$1:$F$94</definedName>
    <definedName name="_xlnm.Print_Area" localSheetId="43">NARANPURA1!$A$1:$D$22</definedName>
    <definedName name="_xlnm.Print_Area" localSheetId="12">NARAYANNAGAR!$A$1:$F$102</definedName>
    <definedName name="_xlnm.Print_Area" localSheetId="42">NARAYANNAGAR1!$A$1:$D$22</definedName>
    <definedName name="_xlnm.Print_Area" localSheetId="18">'NEW CLOTH'!$A$1:$F$98</definedName>
    <definedName name="_xlnm.Print_Area" localSheetId="48">'NEW CLOTH MARKET 1'!$A$1:$D$29</definedName>
    <definedName name="_xlnm.Print_Area" localSheetId="2">'NEW SHARDA'!$A$1:$F$96</definedName>
    <definedName name="_xlnm.Print_Area" localSheetId="0">'ODHAV '!$A$1:$F$105</definedName>
    <definedName name="_xlnm.Print_Area" localSheetId="30">ODHAV1!$A$1:$D$21</definedName>
    <definedName name="_xlnm.Print_Area" localSheetId="10">PANJRAPOLE!$A$1:$F$92</definedName>
    <definedName name="_xlnm.Print_Area" localSheetId="40">PANJRAPOLE1!$A$1:$D$22</definedName>
    <definedName name="_xlnm.Print_Area" localSheetId="1">RAKHIAL!$A$1:$F$97</definedName>
    <definedName name="_xlnm.Print_Area" localSheetId="31">RAKHIAL1!$A$1:$D$22</definedName>
    <definedName name="_xlnm.Print_Area" localSheetId="6">'SHANTI COMM'!$A$1:$F$97</definedName>
    <definedName name="_xlnm.Print_Area" localSheetId="36">'SHANTI COMMERCIAL'!$A$1:$D$21</definedName>
    <definedName name="_xlnm.Print_Area" localSheetId="33">'SHARDA MANDIR 1'!$A$1:$D$30</definedName>
    <definedName name="_xlnm.Print_Area" localSheetId="24">Sheet1!$A$1:$I$88</definedName>
    <definedName name="_xlnm.Print_Area" localSheetId="27">'SUMMARY SHEET GST'!$A$1:$Q$175</definedName>
    <definedName name="_xlnm.Print_Area" localSheetId="16">SURAT!$A$1:$F$97</definedName>
    <definedName name="_xlnm.Print_Area" localSheetId="46">SURAT1!$A$1:$D$21</definedName>
    <definedName name="_xlnm.Print_Area" localSheetId="21">THALTEJ!$A$1:$F$99</definedName>
    <definedName name="_xlnm.Print_Area" localSheetId="51">THALTEJ1!$A$1:$D$22</definedName>
    <definedName name="_xlnm.Print_Area" localSheetId="15">'VASANA '!$A$1:$F$99</definedName>
    <definedName name="_xlnm.Print_Area" localSheetId="45">VASNA1!$A$1:$D$29</definedName>
    <definedName name="_xlnm.Print_Area" localSheetId="23">VASTRAL!$A$1:$F$100</definedName>
    <definedName name="_xlnm.Print_Area" localSheetId="53">VASTRAL1!$A$1:$D$22</definedName>
    <definedName name="_xlnm.Print_Area" localSheetId="8">VEJALPUR!$A$1:$F$94</definedName>
    <definedName name="_xlnm.Print_Area" localSheetId="38">VEJALPUR1!$A$1:$D$21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8" i="55" l="1"/>
  <c r="D532" i="55" l="1"/>
  <c r="D533" i="55"/>
  <c r="D534" i="55"/>
  <c r="D526" i="55"/>
  <c r="H601" i="55"/>
  <c r="C625" i="55"/>
  <c r="D17" i="37" l="1"/>
  <c r="G90" i="31" l="1"/>
  <c r="H116" i="31" l="1"/>
  <c r="H115" i="31"/>
  <c r="G115" i="31"/>
  <c r="G111" i="31"/>
  <c r="G114" i="31"/>
  <c r="E93" i="31" l="1"/>
  <c r="C93" i="31"/>
  <c r="E94" i="31" l="1"/>
  <c r="C94" i="31"/>
  <c r="A118" i="31" l="1"/>
  <c r="D31" i="31"/>
  <c r="E31" i="31"/>
  <c r="E111" i="31" l="1"/>
  <c r="C100" i="31"/>
  <c r="F58" i="31"/>
  <c r="M169" i="31"/>
  <c r="L169" i="31"/>
  <c r="K169" i="31"/>
  <c r="J169" i="31"/>
  <c r="I169" i="31"/>
  <c r="H169" i="31"/>
  <c r="M168" i="31"/>
  <c r="M167" i="31"/>
  <c r="M166" i="31"/>
  <c r="M165" i="31"/>
  <c r="M164" i="31"/>
  <c r="M163" i="31"/>
  <c r="M162" i="31"/>
  <c r="M161" i="31"/>
  <c r="M160" i="31"/>
  <c r="M159" i="31"/>
  <c r="F62" i="31" l="1"/>
  <c r="D62" i="31"/>
  <c r="F59" i="31" l="1"/>
  <c r="D59" i="31"/>
  <c r="D81" i="28" l="1"/>
  <c r="M124" i="31" l="1"/>
  <c r="L124" i="31"/>
  <c r="K124" i="31"/>
  <c r="L54" i="30" l="1"/>
  <c r="C55" i="30"/>
  <c r="C54" i="30"/>
  <c r="C53" i="30"/>
  <c r="C52" i="30"/>
  <c r="G29" i="30"/>
  <c r="G28" i="30"/>
  <c r="C33" i="31"/>
  <c r="N126" i="31"/>
  <c r="K126" i="31"/>
  <c r="G84" i="22" l="1"/>
  <c r="D7" i="31" l="1"/>
  <c r="E7" i="31"/>
  <c r="C22" i="28" l="1"/>
  <c r="C59" i="9" l="1"/>
  <c r="C47" i="9"/>
  <c r="G65" i="6" l="1"/>
  <c r="C60" i="57" l="1"/>
  <c r="C47" i="57"/>
  <c r="C22" i="29"/>
  <c r="C16" i="29"/>
  <c r="D21" i="29" l="1"/>
  <c r="F11" i="29"/>
  <c r="D8" i="29"/>
  <c r="D20" i="29" l="1"/>
  <c r="C50" i="30" l="1"/>
  <c r="C32" i="29"/>
  <c r="D18" i="29"/>
  <c r="E18" i="29" s="1"/>
  <c r="K43" i="27"/>
  <c r="J42" i="27"/>
  <c r="C59" i="27"/>
  <c r="C47" i="27"/>
  <c r="C14" i="27"/>
  <c r="C42" i="25" l="1"/>
  <c r="J75" i="25"/>
  <c r="I75" i="25"/>
  <c r="J33" i="25"/>
  <c r="C59" i="19" l="1"/>
  <c r="C47" i="19"/>
  <c r="E82" i="19"/>
  <c r="C72" i="10"/>
  <c r="D72" i="10"/>
  <c r="G65" i="10"/>
  <c r="C47" i="10"/>
  <c r="C59" i="10"/>
  <c r="C14" i="10"/>
  <c r="G75" i="14" l="1"/>
  <c r="H73" i="14"/>
  <c r="G73" i="14"/>
  <c r="C47" i="14"/>
  <c r="C42" i="12"/>
  <c r="I89" i="12"/>
  <c r="C47" i="56" l="1"/>
  <c r="C59" i="56"/>
  <c r="C59" i="16" l="1"/>
  <c r="C47" i="16"/>
  <c r="C47" i="18" l="1"/>
  <c r="C59" i="18"/>
  <c r="C30" i="18"/>
  <c r="C30" i="13"/>
  <c r="C29" i="13"/>
  <c r="J38" i="11"/>
  <c r="C47" i="11"/>
  <c r="C59" i="11"/>
  <c r="G65" i="17" l="1"/>
  <c r="C14" i="17"/>
  <c r="E74" i="7" l="1"/>
  <c r="C42" i="23" l="1"/>
  <c r="C47" i="23"/>
  <c r="C59" i="23"/>
  <c r="C14" i="23"/>
  <c r="C58" i="23"/>
  <c r="C47" i="62"/>
  <c r="C47" i="20"/>
  <c r="C60" i="20"/>
  <c r="E74" i="20"/>
  <c r="C47" i="21"/>
  <c r="C59" i="21"/>
  <c r="C47" i="6"/>
  <c r="C14" i="6"/>
  <c r="D59" i="29" l="1"/>
  <c r="E67" i="28"/>
  <c r="D83" i="31" l="1"/>
  <c r="D102" i="31"/>
  <c r="G59" i="31" l="1"/>
  <c r="E59" i="31" l="1"/>
  <c r="D88" i="17" l="1"/>
  <c r="D89" i="17"/>
  <c r="M125" i="31" l="1"/>
  <c r="C130" i="31" l="1"/>
  <c r="C140" i="31" l="1"/>
  <c r="E130" i="31"/>
  <c r="D130" i="31"/>
  <c r="L9" i="30"/>
  <c r="D15" i="28" l="1"/>
  <c r="D22" i="28"/>
  <c r="E22" i="28" s="1"/>
  <c r="D30" i="28"/>
  <c r="D14" i="28" l="1"/>
  <c r="E14" i="28" s="1"/>
  <c r="I67" i="28" l="1"/>
  <c r="H67" i="28"/>
  <c r="G67" i="28"/>
  <c r="H72" i="56"/>
  <c r="H71" i="56"/>
  <c r="D58" i="18" l="1"/>
  <c r="C14" i="18"/>
  <c r="E74" i="10" l="1"/>
  <c r="C14" i="12" l="1"/>
  <c r="E74" i="8" l="1"/>
  <c r="D620" i="55" l="1"/>
  <c r="C429" i="55" l="1"/>
  <c r="D432" i="55" s="1"/>
  <c r="C7" i="51" l="1"/>
  <c r="D17" i="46" l="1"/>
  <c r="C7" i="46"/>
  <c r="C24" i="39" l="1"/>
  <c r="H94" i="31" l="1"/>
  <c r="C77" i="31" l="1"/>
  <c r="D76" i="31"/>
  <c r="F76" i="31" s="1"/>
  <c r="D549" i="55" l="1"/>
  <c r="D551" i="55"/>
  <c r="E551" i="55" s="1"/>
  <c r="G62" i="31"/>
  <c r="M129" i="31" l="1"/>
  <c r="L134" i="31"/>
  <c r="M127" i="31"/>
  <c r="F19" i="31" l="1"/>
  <c r="F18" i="31"/>
  <c r="D21" i="31"/>
  <c r="R15" i="30" l="1"/>
  <c r="O9" i="30"/>
  <c r="O10" i="30"/>
  <c r="O11" i="30"/>
  <c r="O12" i="30"/>
  <c r="O13" i="30"/>
  <c r="O14" i="30"/>
  <c r="L56" i="30"/>
  <c r="E21" i="31" l="1"/>
  <c r="D28" i="28" l="1"/>
  <c r="C11" i="30" l="1"/>
  <c r="C20" i="30"/>
  <c r="H70" i="22" l="1"/>
  <c r="G71" i="22"/>
  <c r="H71" i="22" s="1"/>
  <c r="G72" i="22"/>
  <c r="H72" i="22" s="1"/>
  <c r="F55" i="19" l="1"/>
  <c r="F54" i="19"/>
  <c r="H70" i="19" l="1"/>
  <c r="I70" i="19" s="1"/>
  <c r="E74" i="24" l="1"/>
  <c r="H69" i="56" l="1"/>
  <c r="I69" i="56" s="1"/>
  <c r="E74" i="13" l="1"/>
  <c r="C25" i="39" s="1"/>
  <c r="G82" i="27" l="1"/>
  <c r="E75" i="27"/>
  <c r="F55" i="18" l="1"/>
  <c r="F21" i="18"/>
  <c r="C605" i="55" l="1"/>
  <c r="F83" i="30" l="1"/>
  <c r="D636" i="55" l="1"/>
  <c r="D19" i="65"/>
  <c r="C385" i="55" s="1"/>
  <c r="M565" i="55" l="1"/>
  <c r="D19" i="64"/>
  <c r="C369" i="55" s="1"/>
  <c r="C7" i="44" l="1"/>
  <c r="D19" i="33"/>
  <c r="I57" i="31" l="1"/>
  <c r="C7" i="52" l="1"/>
  <c r="D24" i="47" l="1"/>
  <c r="C7" i="47"/>
  <c r="G81" i="21"/>
  <c r="J74" i="21"/>
  <c r="C7" i="36" l="1"/>
  <c r="D93" i="31" l="1"/>
  <c r="D94" i="31" l="1"/>
  <c r="F94" i="31" s="1"/>
  <c r="F93" i="31"/>
  <c r="D44" i="31"/>
  <c r="E140" i="31" l="1"/>
  <c r="D140" i="31"/>
  <c r="E55" i="31" l="1"/>
  <c r="E86" i="31" l="1"/>
  <c r="N132" i="31" l="1"/>
  <c r="K132" i="31"/>
  <c r="K106" i="31" s="1"/>
  <c r="N106" i="31" s="1"/>
  <c r="Q151" i="31"/>
  <c r="K113" i="31" l="1"/>
  <c r="N113" i="31"/>
  <c r="K112" i="31" l="1"/>
  <c r="K135" i="31"/>
  <c r="K102" i="31" s="1"/>
  <c r="E42" i="31" l="1"/>
  <c r="F42" i="31" s="1"/>
  <c r="E41" i="31"/>
  <c r="F41" i="31" s="1"/>
  <c r="F10" i="31" l="1"/>
  <c r="D68" i="28" l="1"/>
  <c r="L14" i="30"/>
  <c r="L55" i="30"/>
  <c r="D64" i="27" l="1"/>
  <c r="E64" i="27" s="1"/>
  <c r="J75" i="21" l="1"/>
  <c r="D14" i="12" l="1"/>
  <c r="D49" i="6"/>
  <c r="F49" i="6" s="1"/>
  <c r="D50" i="6"/>
  <c r="F50" i="6" s="1"/>
  <c r="D44" i="6"/>
  <c r="D42" i="6"/>
  <c r="D41" i="6"/>
  <c r="D40" i="6"/>
  <c r="D39" i="6"/>
  <c r="D38" i="6"/>
  <c r="D31" i="6"/>
  <c r="D29" i="6"/>
  <c r="D19" i="6"/>
  <c r="D59" i="6"/>
  <c r="F59" i="6" s="1"/>
  <c r="D55" i="6"/>
  <c r="F55" i="6" s="1"/>
  <c r="E50" i="6" l="1"/>
  <c r="E14" i="12"/>
  <c r="E49" i="6"/>
  <c r="E74" i="9"/>
  <c r="H67" i="19" l="1"/>
  <c r="D83" i="30" l="1"/>
  <c r="D47" i="23" l="1"/>
  <c r="G81" i="23"/>
  <c r="C8" i="46" l="1"/>
  <c r="E74" i="17"/>
  <c r="E74" i="21" l="1"/>
  <c r="C8" i="47" s="1"/>
  <c r="D47" i="6"/>
  <c r="D26" i="48" l="1"/>
  <c r="D25" i="48"/>
  <c r="A23" i="48"/>
  <c r="D17" i="48"/>
  <c r="C23" i="51" l="1"/>
  <c r="D17" i="51"/>
  <c r="C9" i="54" l="1"/>
  <c r="C40" i="51"/>
  <c r="C41" i="51"/>
  <c r="C7" i="43"/>
  <c r="C7" i="41"/>
  <c r="I62" i="31" l="1"/>
  <c r="F68" i="28" l="1"/>
  <c r="F69" i="28" s="1"/>
  <c r="K115" i="31" l="1"/>
  <c r="L114" i="31"/>
  <c r="K114" i="31"/>
  <c r="M126" i="31"/>
  <c r="M128" i="31"/>
  <c r="M130" i="31"/>
  <c r="M131" i="31"/>
  <c r="M132" i="31"/>
  <c r="M133" i="31"/>
  <c r="L53" i="30" l="1"/>
  <c r="D54" i="30"/>
  <c r="E54" i="30" s="1"/>
  <c r="D54" i="57"/>
  <c r="E54" i="57" s="1"/>
  <c r="I54" i="30" l="1"/>
  <c r="M54" i="30" s="1"/>
  <c r="H52" i="28"/>
  <c r="G52" i="28"/>
  <c r="C58" i="28" s="1"/>
  <c r="C25" i="30"/>
  <c r="C17" i="30"/>
  <c r="E15" i="28"/>
  <c r="D11" i="29" l="1"/>
  <c r="D55" i="16" l="1"/>
  <c r="E55" i="16" s="1"/>
  <c r="C59" i="30" l="1"/>
  <c r="G81" i="22" l="1"/>
  <c r="A40" i="51" l="1"/>
  <c r="A687" i="55" l="1"/>
  <c r="D671" i="55"/>
  <c r="D670" i="55"/>
  <c r="D663" i="55"/>
  <c r="C655" i="55"/>
  <c r="D649" i="55"/>
  <c r="L641" i="55"/>
  <c r="C640" i="55"/>
  <c r="D614" i="55"/>
  <c r="D570" i="55"/>
  <c r="D568" i="55"/>
  <c r="Q565" i="55"/>
  <c r="K565" i="55"/>
  <c r="K564" i="55"/>
  <c r="K563" i="55"/>
  <c r="D541" i="55"/>
  <c r="D516" i="55"/>
  <c r="E509" i="55"/>
  <c r="E508" i="55"/>
  <c r="E507" i="55"/>
  <c r="C506" i="55"/>
  <c r="D495" i="55"/>
  <c r="C470" i="55"/>
  <c r="C469" i="55"/>
  <c r="D446" i="55"/>
  <c r="C444" i="55" s="1"/>
  <c r="C438" i="55"/>
  <c r="C427" i="55"/>
  <c r="D430" i="55" s="1"/>
  <c r="A427" i="55"/>
  <c r="A437" i="55" s="1"/>
  <c r="A444" i="55" s="1"/>
  <c r="A450" i="55" s="1"/>
  <c r="A460" i="55" s="1"/>
  <c r="A469" i="55" s="1"/>
  <c r="A478" i="55" s="1"/>
  <c r="A485" i="55" s="1"/>
  <c r="A492" i="55" s="1"/>
  <c r="A499" i="55" s="1"/>
  <c r="A506" i="55" s="1"/>
  <c r="A515" i="55" s="1"/>
  <c r="A523" i="55" s="1"/>
  <c r="A531" i="55" s="1"/>
  <c r="A538" i="55" s="1"/>
  <c r="A546" i="55" s="1"/>
  <c r="A555" i="55" s="1"/>
  <c r="A561" i="55" s="1"/>
  <c r="A567" i="55" s="1"/>
  <c r="A574" i="55" s="1"/>
  <c r="A583" i="55" s="1"/>
  <c r="A589" i="55" s="1"/>
  <c r="A597" i="55" s="1"/>
  <c r="D363" i="55"/>
  <c r="A3" i="55"/>
  <c r="D46" i="54"/>
  <c r="C39" i="54"/>
  <c r="A39" i="54"/>
  <c r="A45" i="54" s="1"/>
  <c r="B37" i="54"/>
  <c r="B36" i="54"/>
  <c r="D35" i="54"/>
  <c r="C402" i="55" s="1"/>
  <c r="D33" i="54"/>
  <c r="C400" i="55" s="1"/>
  <c r="C401" i="55" s="1"/>
  <c r="C24" i="54"/>
  <c r="I17" i="54"/>
  <c r="D17" i="54"/>
  <c r="B12" i="54"/>
  <c r="B11" i="54"/>
  <c r="C7" i="54"/>
  <c r="A3" i="54"/>
  <c r="B21" i="65"/>
  <c r="B20" i="65"/>
  <c r="D17" i="65"/>
  <c r="B12" i="65"/>
  <c r="B11" i="65"/>
  <c r="C9" i="65"/>
  <c r="D379" i="55" s="1"/>
  <c r="C7" i="65"/>
  <c r="D377" i="55" s="1"/>
  <c r="A3" i="65"/>
  <c r="B21" i="64"/>
  <c r="B20" i="64"/>
  <c r="D17" i="64"/>
  <c r="B12" i="64"/>
  <c r="B11" i="64"/>
  <c r="C9" i="64"/>
  <c r="C7" i="64"/>
  <c r="D361" i="55" s="1"/>
  <c r="A3" i="64"/>
  <c r="B21" i="53"/>
  <c r="B20" i="53"/>
  <c r="D19" i="53"/>
  <c r="C65" i="55" s="1"/>
  <c r="B12" i="53"/>
  <c r="B11" i="53"/>
  <c r="C9" i="53"/>
  <c r="D59" i="55" s="1"/>
  <c r="C7" i="53"/>
  <c r="A3" i="53"/>
  <c r="D32" i="52"/>
  <c r="C23" i="52"/>
  <c r="B21" i="52"/>
  <c r="B20" i="52"/>
  <c r="D19" i="52"/>
  <c r="C177" i="55" s="1"/>
  <c r="D17" i="52"/>
  <c r="B12" i="52"/>
  <c r="B11" i="52"/>
  <c r="C9" i="52"/>
  <c r="D171" i="55" s="1"/>
  <c r="A3" i="52"/>
  <c r="D36" i="51"/>
  <c r="C34" i="51" s="1"/>
  <c r="B21" i="51"/>
  <c r="B20" i="51"/>
  <c r="D19" i="51"/>
  <c r="C207" i="55"/>
  <c r="B12" i="51"/>
  <c r="B11" i="51"/>
  <c r="C9" i="51"/>
  <c r="D203" i="55" s="1"/>
  <c r="A3" i="51"/>
  <c r="B28" i="50"/>
  <c r="B27" i="50"/>
  <c r="D26" i="50"/>
  <c r="C33" i="55" s="1"/>
  <c r="D24" i="50"/>
  <c r="D18" i="50"/>
  <c r="B12" i="50"/>
  <c r="B11" i="50"/>
  <c r="C9" i="50"/>
  <c r="D27" i="55" s="1"/>
  <c r="C7" i="50"/>
  <c r="D25" i="55" s="1"/>
  <c r="A3" i="50"/>
  <c r="D46" i="49"/>
  <c r="C36" i="49"/>
  <c r="D31" i="49"/>
  <c r="B27" i="49"/>
  <c r="B26" i="49"/>
  <c r="D25" i="49"/>
  <c r="C257" i="55" s="1"/>
  <c r="D23" i="49"/>
  <c r="C255" i="55" s="1"/>
  <c r="C256" i="55" s="1"/>
  <c r="D17" i="49"/>
  <c r="L15" i="49"/>
  <c r="B12" i="49"/>
  <c r="B11" i="49"/>
  <c r="C9" i="49"/>
  <c r="D251" i="55" s="1"/>
  <c r="C7" i="49"/>
  <c r="A3" i="49"/>
  <c r="B21" i="48"/>
  <c r="B20" i="48"/>
  <c r="D19" i="48"/>
  <c r="B12" i="48"/>
  <c r="B11" i="48"/>
  <c r="C9" i="48"/>
  <c r="D219" i="55" s="1"/>
  <c r="C7" i="48"/>
  <c r="D217" i="55" s="1"/>
  <c r="A3" i="48"/>
  <c r="B28" i="47"/>
  <c r="B27" i="47"/>
  <c r="D26" i="47"/>
  <c r="C17" i="55" s="1"/>
  <c r="D16" i="47"/>
  <c r="D17" i="47" s="1"/>
  <c r="B12" i="47"/>
  <c r="B11" i="47"/>
  <c r="C9" i="47"/>
  <c r="D11" i="55" s="1"/>
  <c r="D9" i="55"/>
  <c r="A3" i="47"/>
  <c r="B21" i="46"/>
  <c r="B20" i="46"/>
  <c r="D19" i="46"/>
  <c r="C81" i="55" s="1"/>
  <c r="B12" i="46"/>
  <c r="B11" i="46"/>
  <c r="D73" i="55"/>
  <c r="A3" i="46"/>
  <c r="D31" i="45"/>
  <c r="C24" i="45"/>
  <c r="B22" i="45"/>
  <c r="B21" i="45"/>
  <c r="D20" i="45"/>
  <c r="C305" i="55" s="1"/>
  <c r="D18" i="45"/>
  <c r="B12" i="45"/>
  <c r="B11" i="45"/>
  <c r="C9" i="45"/>
  <c r="D299" i="55" s="1"/>
  <c r="C7" i="45"/>
  <c r="D297" i="55" s="1"/>
  <c r="A3" i="45"/>
  <c r="D26" i="44"/>
  <c r="B21" i="44"/>
  <c r="B20" i="44"/>
  <c r="D19" i="44"/>
  <c r="C145" i="55" s="1"/>
  <c r="D17" i="44"/>
  <c r="A15" i="44"/>
  <c r="B12" i="44"/>
  <c r="B11" i="44"/>
  <c r="C9" i="44"/>
  <c r="D139" i="55" s="1"/>
  <c r="A3" i="44"/>
  <c r="B21" i="43"/>
  <c r="B20" i="43"/>
  <c r="D19" i="43"/>
  <c r="C49" i="55" s="1"/>
  <c r="D17" i="43"/>
  <c r="C47" i="55" s="1"/>
  <c r="C48" i="55" s="1"/>
  <c r="B12" i="43"/>
  <c r="B11" i="43"/>
  <c r="C9" i="43"/>
  <c r="D43" i="55" s="1"/>
  <c r="D41" i="55"/>
  <c r="A3" i="43"/>
  <c r="B21" i="42"/>
  <c r="B20" i="42"/>
  <c r="D19" i="42"/>
  <c r="C289" i="55" s="1"/>
  <c r="D17" i="42"/>
  <c r="B12" i="42"/>
  <c r="B11" i="42"/>
  <c r="C9" i="42"/>
  <c r="D283" i="55" s="1"/>
  <c r="A3" i="42"/>
  <c r="D38" i="41"/>
  <c r="D32" i="41"/>
  <c r="C30" i="41" s="1"/>
  <c r="B28" i="41"/>
  <c r="B27" i="41"/>
  <c r="D26" i="41"/>
  <c r="C273" i="55" s="1"/>
  <c r="D24" i="41"/>
  <c r="A22" i="41"/>
  <c r="B12" i="41"/>
  <c r="B11" i="41"/>
  <c r="C9" i="41"/>
  <c r="D267" i="55" s="1"/>
  <c r="A3" i="41"/>
  <c r="B21" i="40"/>
  <c r="B20" i="40"/>
  <c r="D19" i="40"/>
  <c r="C193" i="55" s="1"/>
  <c r="D17" i="40"/>
  <c r="C191" i="55" s="1"/>
  <c r="C192" i="55" s="1"/>
  <c r="B12" i="40"/>
  <c r="B11" i="40"/>
  <c r="C9" i="40"/>
  <c r="D187" i="55" s="1"/>
  <c r="C7" i="40"/>
  <c r="A3" i="40"/>
  <c r="C40" i="39"/>
  <c r="B38" i="39"/>
  <c r="B37" i="39"/>
  <c r="D36" i="39"/>
  <c r="C161" i="55" s="1"/>
  <c r="D34" i="39"/>
  <c r="B29" i="39"/>
  <c r="B28" i="39"/>
  <c r="C26" i="39"/>
  <c r="D155" i="55" s="1"/>
  <c r="D18" i="39"/>
  <c r="A15" i="39"/>
  <c r="A24" i="39" s="1"/>
  <c r="A32" i="39" s="1"/>
  <c r="A3" i="39"/>
  <c r="D26" i="38"/>
  <c r="D25" i="38"/>
  <c r="B21" i="38"/>
  <c r="B20" i="38"/>
  <c r="D19" i="38"/>
  <c r="C129" i="55" s="1"/>
  <c r="D17" i="38"/>
  <c r="C127" i="55" s="1"/>
  <c r="C128" i="55" s="1"/>
  <c r="B12" i="38"/>
  <c r="B11" i="38"/>
  <c r="C9" i="38"/>
  <c r="D123" i="55" s="1"/>
  <c r="C7" i="38"/>
  <c r="D121" i="55" s="1"/>
  <c r="A3" i="38"/>
  <c r="C24" i="37"/>
  <c r="D25" i="37" s="1"/>
  <c r="B21" i="37"/>
  <c r="B20" i="37"/>
  <c r="D19" i="37"/>
  <c r="C353" i="55" s="1"/>
  <c r="B12" i="37"/>
  <c r="B11" i="37"/>
  <c r="C9" i="37"/>
  <c r="D347" i="55" s="1"/>
  <c r="C7" i="37"/>
  <c r="D345" i="55" s="1"/>
  <c r="A3" i="37"/>
  <c r="B21" i="36"/>
  <c r="B20" i="36"/>
  <c r="D19" i="36"/>
  <c r="C337" i="55" s="1"/>
  <c r="D17" i="36"/>
  <c r="C335" i="55" s="1"/>
  <c r="C336" i="55" s="1"/>
  <c r="B12" i="36"/>
  <c r="B11" i="36"/>
  <c r="C9" i="36"/>
  <c r="D331" i="55" s="1"/>
  <c r="A3" i="36"/>
  <c r="B28" i="35"/>
  <c r="B27" i="35"/>
  <c r="D26" i="35"/>
  <c r="C113" i="55" s="1"/>
  <c r="D24" i="35"/>
  <c r="B12" i="35"/>
  <c r="B11" i="35"/>
  <c r="C9" i="35"/>
  <c r="D107" i="55" s="1"/>
  <c r="C7" i="35"/>
  <c r="D105" i="55" s="1"/>
  <c r="A3" i="35"/>
  <c r="B21" i="34"/>
  <c r="B20" i="34"/>
  <c r="D19" i="34"/>
  <c r="C241" i="55" s="1"/>
  <c r="D17" i="34"/>
  <c r="C239" i="55" s="1"/>
  <c r="C240" i="55" s="1"/>
  <c r="B12" i="34"/>
  <c r="B11" i="34"/>
  <c r="C9" i="34"/>
  <c r="D235" i="55" s="1"/>
  <c r="C7" i="34"/>
  <c r="D233" i="55" s="1"/>
  <c r="A3" i="34"/>
  <c r="B21" i="33"/>
  <c r="B20" i="33"/>
  <c r="C321" i="55"/>
  <c r="D17" i="33"/>
  <c r="B12" i="33"/>
  <c r="B11" i="33"/>
  <c r="C9" i="33"/>
  <c r="D315" i="55" s="1"/>
  <c r="C7" i="33"/>
  <c r="D313" i="55" s="1"/>
  <c r="A3" i="33"/>
  <c r="D19" i="32"/>
  <c r="C97" i="55" s="1"/>
  <c r="D17" i="32"/>
  <c r="C95" i="55" s="1"/>
  <c r="C9" i="32"/>
  <c r="D91" i="55" s="1"/>
  <c r="C7" i="32"/>
  <c r="D89" i="55" s="1"/>
  <c r="E58" i="31"/>
  <c r="P155" i="31"/>
  <c r="O155" i="31"/>
  <c r="N155" i="31"/>
  <c r="M155" i="31"/>
  <c r="Q152" i="31"/>
  <c r="Q155" i="31" s="1"/>
  <c r="Q148" i="31"/>
  <c r="Q144" i="31"/>
  <c r="O133" i="31"/>
  <c r="O129" i="31"/>
  <c r="O128" i="31"/>
  <c r="O127" i="31"/>
  <c r="O126" i="31"/>
  <c r="O125" i="31"/>
  <c r="O124" i="31"/>
  <c r="L120" i="31"/>
  <c r="L119" i="31"/>
  <c r="M119" i="31" s="1"/>
  <c r="L118" i="31"/>
  <c r="M118" i="31" s="1"/>
  <c r="O117" i="31"/>
  <c r="N115" i="31"/>
  <c r="N114" i="31"/>
  <c r="M113" i="31"/>
  <c r="L113" i="31"/>
  <c r="G113" i="31"/>
  <c r="N112" i="31"/>
  <c r="L108" i="31"/>
  <c r="M108" i="31" s="1"/>
  <c r="L107" i="31"/>
  <c r="M107" i="31" s="1"/>
  <c r="H104" i="31"/>
  <c r="I103" i="31"/>
  <c r="F100" i="31"/>
  <c r="F84" i="31"/>
  <c r="F83" i="31"/>
  <c r="E79" i="31"/>
  <c r="D77" i="31"/>
  <c r="C584" i="55" s="1"/>
  <c r="L63" i="31"/>
  <c r="K63" i="31"/>
  <c r="J63" i="31"/>
  <c r="I63" i="31"/>
  <c r="C86" i="31"/>
  <c r="L59" i="31"/>
  <c r="L58" i="31"/>
  <c r="I58" i="31"/>
  <c r="L57" i="31"/>
  <c r="D456" i="55"/>
  <c r="C452" i="55" s="1"/>
  <c r="C49" i="31"/>
  <c r="E43" i="31" s="1"/>
  <c r="G42" i="31"/>
  <c r="C44" i="31"/>
  <c r="H28" i="31"/>
  <c r="E28" i="31"/>
  <c r="G28" i="31" s="1"/>
  <c r="F20" i="31"/>
  <c r="F17" i="31"/>
  <c r="F16" i="31"/>
  <c r="F15" i="31"/>
  <c r="F14" i="31"/>
  <c r="F13" i="31"/>
  <c r="F12" i="31"/>
  <c r="F11" i="31"/>
  <c r="F9" i="31"/>
  <c r="F8" i="31"/>
  <c r="F7" i="31"/>
  <c r="E59" i="29"/>
  <c r="D54" i="29"/>
  <c r="G54" i="29" s="1"/>
  <c r="D58" i="29"/>
  <c r="E53" i="29" s="1"/>
  <c r="H53" i="29" s="1"/>
  <c r="F54" i="29"/>
  <c r="I54" i="29" s="1"/>
  <c r="I53" i="29"/>
  <c r="I52" i="29"/>
  <c r="G52" i="29"/>
  <c r="E52" i="29"/>
  <c r="E44" i="29"/>
  <c r="C8" i="54" s="1"/>
  <c r="D394" i="55" s="1"/>
  <c r="D34" i="29"/>
  <c r="E34" i="29" s="1"/>
  <c r="F33" i="29"/>
  <c r="I32" i="29"/>
  <c r="H32" i="29"/>
  <c r="G32" i="29"/>
  <c r="C42" i="29" s="1"/>
  <c r="F32" i="29"/>
  <c r="F41" i="29" s="1"/>
  <c r="F43" i="29" s="1"/>
  <c r="F45" i="29" s="1"/>
  <c r="F101" i="29" s="1"/>
  <c r="G34" i="29"/>
  <c r="D31" i="29"/>
  <c r="E31" i="29" s="1"/>
  <c r="D30" i="29"/>
  <c r="E30" i="29" s="1"/>
  <c r="D29" i="29"/>
  <c r="E29" i="29" s="1"/>
  <c r="D28" i="29"/>
  <c r="E28" i="29" s="1"/>
  <c r="D27" i="29"/>
  <c r="E27" i="29" s="1"/>
  <c r="D26" i="29"/>
  <c r="E26" i="29" s="1"/>
  <c r="D25" i="29"/>
  <c r="E25" i="29" s="1"/>
  <c r="D24" i="29"/>
  <c r="E24" i="29" s="1"/>
  <c r="D23" i="29"/>
  <c r="E23" i="29" s="1"/>
  <c r="D22" i="29"/>
  <c r="E22" i="29" s="1"/>
  <c r="E21" i="29"/>
  <c r="E20" i="29"/>
  <c r="D19" i="29"/>
  <c r="D17" i="29"/>
  <c r="E17" i="29" s="1"/>
  <c r="D16" i="29"/>
  <c r="E16" i="29" s="1"/>
  <c r="D15" i="29"/>
  <c r="E15" i="29" s="1"/>
  <c r="D14" i="29"/>
  <c r="E14" i="29" s="1"/>
  <c r="D13" i="29"/>
  <c r="E13" i="29" s="1"/>
  <c r="D12" i="29"/>
  <c r="E12" i="29" s="1"/>
  <c r="E11" i="29"/>
  <c r="D10" i="29"/>
  <c r="E10" i="29" s="1"/>
  <c r="D9" i="29"/>
  <c r="E9" i="29" s="1"/>
  <c r="E8" i="29"/>
  <c r="E98" i="28"/>
  <c r="F70" i="28" s="1"/>
  <c r="C98" i="28"/>
  <c r="D70" i="28" s="1"/>
  <c r="D71" i="28" s="1"/>
  <c r="G71" i="28" s="1"/>
  <c r="D97" i="28"/>
  <c r="D96" i="28"/>
  <c r="D95" i="28"/>
  <c r="D94" i="28"/>
  <c r="D93" i="28"/>
  <c r="D92" i="28"/>
  <c r="D91" i="28"/>
  <c r="D90" i="28"/>
  <c r="D89" i="28"/>
  <c r="D88" i="28"/>
  <c r="D87" i="28"/>
  <c r="D86" i="28"/>
  <c r="D85" i="28"/>
  <c r="D84" i="28"/>
  <c r="D83" i="28"/>
  <c r="D82" i="28"/>
  <c r="D80" i="28"/>
  <c r="D79" i="28"/>
  <c r="D78" i="28"/>
  <c r="D69" i="28"/>
  <c r="D454" i="55" s="1"/>
  <c r="I61" i="28"/>
  <c r="E60" i="28"/>
  <c r="C428" i="55" s="1"/>
  <c r="F58" i="28"/>
  <c r="F29" i="31" s="1"/>
  <c r="F52" i="28"/>
  <c r="C52" i="28"/>
  <c r="G54" i="28" s="1"/>
  <c r="D51" i="28"/>
  <c r="E51" i="28" s="1"/>
  <c r="D50" i="28"/>
  <c r="E50" i="28" s="1"/>
  <c r="D47" i="28"/>
  <c r="E47" i="28" s="1"/>
  <c r="D46" i="28"/>
  <c r="E46" i="28" s="1"/>
  <c r="D44" i="28"/>
  <c r="E44" i="28" s="1"/>
  <c r="D43" i="28"/>
  <c r="E43" i="28" s="1"/>
  <c r="D42" i="28"/>
  <c r="E42" i="28" s="1"/>
  <c r="D41" i="28"/>
  <c r="E41" i="28" s="1"/>
  <c r="D40" i="28"/>
  <c r="E40" i="28" s="1"/>
  <c r="D39" i="28"/>
  <c r="E39" i="28" s="1"/>
  <c r="D38" i="28"/>
  <c r="E38" i="28" s="1"/>
  <c r="D37" i="28"/>
  <c r="E37" i="28" s="1"/>
  <c r="D36" i="28"/>
  <c r="E36" i="28" s="1"/>
  <c r="D35" i="28"/>
  <c r="E35" i="28" s="1"/>
  <c r="D34" i="28"/>
  <c r="E34" i="28" s="1"/>
  <c r="D33" i="28"/>
  <c r="E33" i="28" s="1"/>
  <c r="D32" i="28"/>
  <c r="E32" i="28" s="1"/>
  <c r="D31" i="28"/>
  <c r="E31" i="28" s="1"/>
  <c r="E30" i="28"/>
  <c r="D29" i="28"/>
  <c r="E29" i="28" s="1"/>
  <c r="E28" i="28"/>
  <c r="D27" i="28"/>
  <c r="E27" i="28" s="1"/>
  <c r="D26" i="28"/>
  <c r="E26" i="28" s="1"/>
  <c r="D25" i="28"/>
  <c r="E25" i="28" s="1"/>
  <c r="D24" i="28"/>
  <c r="E24" i="28" s="1"/>
  <c r="D23" i="28"/>
  <c r="E23" i="28" s="1"/>
  <c r="D21" i="28"/>
  <c r="E21" i="28" s="1"/>
  <c r="D20" i="28"/>
  <c r="E20" i="28" s="1"/>
  <c r="D19" i="28"/>
  <c r="E19" i="28" s="1"/>
  <c r="D18" i="28"/>
  <c r="E18" i="28" s="1"/>
  <c r="D17" i="28"/>
  <c r="E17" i="28" s="1"/>
  <c r="D16" i="28"/>
  <c r="E16" i="28" s="1"/>
  <c r="D13" i="28"/>
  <c r="E13" i="28" s="1"/>
  <c r="D12" i="28"/>
  <c r="E12" i="28" s="1"/>
  <c r="D11" i="28"/>
  <c r="E11" i="28" s="1"/>
  <c r="D10" i="28"/>
  <c r="E10" i="28" s="1"/>
  <c r="D9" i="28"/>
  <c r="E9" i="28" s="1"/>
  <c r="D8" i="28"/>
  <c r="K117" i="30"/>
  <c r="F54" i="31"/>
  <c r="F50" i="31" s="1"/>
  <c r="G77" i="30"/>
  <c r="C67" i="30"/>
  <c r="D67" i="30" s="1"/>
  <c r="C66" i="30"/>
  <c r="D66" i="30" s="1"/>
  <c r="E66" i="30" s="1"/>
  <c r="U65" i="30"/>
  <c r="T65" i="30"/>
  <c r="T62" i="30"/>
  <c r="D62" i="30"/>
  <c r="U61" i="30"/>
  <c r="T61" i="30"/>
  <c r="H61" i="30"/>
  <c r="G61" i="30"/>
  <c r="H60" i="30"/>
  <c r="G60" i="30"/>
  <c r="H59" i="30"/>
  <c r="G59" i="30"/>
  <c r="U58" i="30"/>
  <c r="T58" i="30"/>
  <c r="H58" i="30"/>
  <c r="G58" i="30"/>
  <c r="L57" i="30"/>
  <c r="H53" i="30"/>
  <c r="G53" i="30"/>
  <c r="L52" i="30"/>
  <c r="H52" i="30"/>
  <c r="G52" i="30"/>
  <c r="L51" i="30"/>
  <c r="G51" i="30"/>
  <c r="L50" i="30"/>
  <c r="H50" i="30"/>
  <c r="G50" i="30"/>
  <c r="L49" i="30"/>
  <c r="H49" i="30"/>
  <c r="G49" i="30"/>
  <c r="L48" i="30"/>
  <c r="H48" i="30"/>
  <c r="G48" i="30"/>
  <c r="L47" i="30"/>
  <c r="H47" i="30"/>
  <c r="G47" i="30"/>
  <c r="L46" i="30"/>
  <c r="L45" i="30"/>
  <c r="H45" i="30"/>
  <c r="G45" i="30"/>
  <c r="L44" i="30"/>
  <c r="H44" i="30"/>
  <c r="G44" i="30"/>
  <c r="C44" i="30"/>
  <c r="L43" i="30"/>
  <c r="H43" i="30"/>
  <c r="G43" i="30"/>
  <c r="L42" i="30"/>
  <c r="H42" i="30"/>
  <c r="G42" i="30"/>
  <c r="L41" i="30"/>
  <c r="H41" i="30"/>
  <c r="G41" i="30"/>
  <c r="C41" i="30"/>
  <c r="L40" i="30"/>
  <c r="H40" i="30"/>
  <c r="G40" i="30"/>
  <c r="C40" i="30"/>
  <c r="I40" i="30" s="1"/>
  <c r="L39" i="30"/>
  <c r="H39" i="30"/>
  <c r="G39" i="30"/>
  <c r="L38" i="30"/>
  <c r="H38" i="30"/>
  <c r="G38" i="30"/>
  <c r="L37" i="30"/>
  <c r="H37" i="30"/>
  <c r="G37" i="30"/>
  <c r="L36" i="30"/>
  <c r="H36" i="30"/>
  <c r="G36" i="30"/>
  <c r="L35" i="30"/>
  <c r="H35" i="30"/>
  <c r="G35" i="30"/>
  <c r="L34" i="30"/>
  <c r="H34" i="30"/>
  <c r="G34" i="30"/>
  <c r="L33" i="30"/>
  <c r="H33" i="30"/>
  <c r="G33" i="30"/>
  <c r="L32" i="30"/>
  <c r="H32" i="30"/>
  <c r="G32" i="30"/>
  <c r="L31" i="30"/>
  <c r="H31" i="30"/>
  <c r="G31" i="30"/>
  <c r="C31" i="30"/>
  <c r="I31" i="30" s="1"/>
  <c r="L30" i="30"/>
  <c r="H30" i="30"/>
  <c r="G30" i="30"/>
  <c r="L29" i="30"/>
  <c r="H29" i="30"/>
  <c r="C29" i="30"/>
  <c r="I29" i="30" s="1"/>
  <c r="L28" i="30"/>
  <c r="H28" i="30"/>
  <c r="L27" i="30"/>
  <c r="H27" i="30"/>
  <c r="G27" i="30"/>
  <c r="L26" i="30"/>
  <c r="H26" i="30"/>
  <c r="G26" i="30"/>
  <c r="L25" i="30"/>
  <c r="H25" i="30"/>
  <c r="G25" i="30"/>
  <c r="L24" i="30"/>
  <c r="H24" i="30"/>
  <c r="G24" i="30"/>
  <c r="L23" i="30"/>
  <c r="H23" i="30"/>
  <c r="G23" i="30"/>
  <c r="L22" i="30"/>
  <c r="H22" i="30"/>
  <c r="G22" i="30"/>
  <c r="L21" i="30"/>
  <c r="H21" i="30"/>
  <c r="G21" i="30"/>
  <c r="L20" i="30"/>
  <c r="H20" i="30"/>
  <c r="G20" i="30"/>
  <c r="I20" i="30"/>
  <c r="L19" i="30"/>
  <c r="H19" i="30"/>
  <c r="G19" i="30"/>
  <c r="C19" i="30"/>
  <c r="I19" i="30" s="1"/>
  <c r="L18" i="30"/>
  <c r="H18" i="30"/>
  <c r="G18" i="30"/>
  <c r="L17" i="30"/>
  <c r="H17" i="30"/>
  <c r="G17" i="30"/>
  <c r="L16" i="30"/>
  <c r="H16" i="30"/>
  <c r="G16" i="30"/>
  <c r="L15" i="30"/>
  <c r="H15" i="30"/>
  <c r="G15" i="30"/>
  <c r="R14" i="30"/>
  <c r="H14" i="30"/>
  <c r="G14" i="30"/>
  <c r="R13" i="30"/>
  <c r="L13" i="30"/>
  <c r="H13" i="30"/>
  <c r="G13" i="30"/>
  <c r="R12" i="30"/>
  <c r="L12" i="30"/>
  <c r="H12" i="30"/>
  <c r="G12" i="30"/>
  <c r="R11" i="30"/>
  <c r="L11" i="30"/>
  <c r="H11" i="30"/>
  <c r="G11" i="30"/>
  <c r="R10" i="30"/>
  <c r="S10" i="30" s="1"/>
  <c r="L10" i="30"/>
  <c r="H10" i="30"/>
  <c r="R9" i="30"/>
  <c r="S9" i="30" s="1"/>
  <c r="H9" i="30"/>
  <c r="G9" i="30"/>
  <c r="B9" i="30"/>
  <c r="A9" i="30"/>
  <c r="E93" i="63"/>
  <c r="C93" i="63"/>
  <c r="G95" i="63" s="1"/>
  <c r="D91" i="63"/>
  <c r="D93" i="63" s="1"/>
  <c r="F83" i="63"/>
  <c r="I83" i="63" s="1"/>
  <c r="I82" i="63"/>
  <c r="I81" i="63"/>
  <c r="G81" i="63"/>
  <c r="E81" i="63"/>
  <c r="D18" i="65" s="1"/>
  <c r="E74" i="63"/>
  <c r="C8" i="65" s="1"/>
  <c r="D378" i="55" s="1"/>
  <c r="D65" i="63"/>
  <c r="E65" i="63" s="1"/>
  <c r="D64" i="63"/>
  <c r="I62" i="63"/>
  <c r="H62" i="63"/>
  <c r="G62" i="63"/>
  <c r="C72" i="63" s="1"/>
  <c r="D72" i="63" s="1"/>
  <c r="E72" i="63" s="1"/>
  <c r="C62" i="63"/>
  <c r="G64" i="63" s="1"/>
  <c r="D61" i="63"/>
  <c r="E61" i="63" s="1"/>
  <c r="L59" i="63"/>
  <c r="D59" i="63"/>
  <c r="E59" i="63" s="1"/>
  <c r="D58" i="63"/>
  <c r="F58" i="63" s="1"/>
  <c r="D56" i="63"/>
  <c r="F56" i="63" s="1"/>
  <c r="D54" i="63"/>
  <c r="E54" i="63" s="1"/>
  <c r="D53" i="63"/>
  <c r="E53" i="63" s="1"/>
  <c r="D52" i="63"/>
  <c r="E52" i="63" s="1"/>
  <c r="D51" i="63"/>
  <c r="E51" i="63" s="1"/>
  <c r="D50" i="63"/>
  <c r="E50" i="63" s="1"/>
  <c r="D49" i="63"/>
  <c r="E49" i="63" s="1"/>
  <c r="D48" i="63"/>
  <c r="D47" i="63"/>
  <c r="E47" i="63" s="1"/>
  <c r="D46" i="63"/>
  <c r="F46" i="63" s="1"/>
  <c r="D45" i="63"/>
  <c r="F45" i="63" s="1"/>
  <c r="D44" i="63"/>
  <c r="E44" i="63" s="1"/>
  <c r="D43" i="63"/>
  <c r="F43" i="63" s="1"/>
  <c r="D42" i="63"/>
  <c r="F42" i="63" s="1"/>
  <c r="D41" i="63"/>
  <c r="D40" i="63"/>
  <c r="F40" i="63" s="1"/>
  <c r="D39" i="63"/>
  <c r="F39" i="63" s="1"/>
  <c r="D38" i="63"/>
  <c r="F38" i="63" s="1"/>
  <c r="D37" i="63"/>
  <c r="F37" i="63" s="1"/>
  <c r="D36" i="63"/>
  <c r="F36" i="63" s="1"/>
  <c r="D35" i="63"/>
  <c r="F35" i="63" s="1"/>
  <c r="D34" i="63"/>
  <c r="E34" i="63" s="1"/>
  <c r="D33" i="63"/>
  <c r="E33" i="63" s="1"/>
  <c r="D32" i="63"/>
  <c r="F32" i="63" s="1"/>
  <c r="D31" i="63"/>
  <c r="E31" i="63" s="1"/>
  <c r="D30" i="63"/>
  <c r="E30" i="63" s="1"/>
  <c r="D29" i="63"/>
  <c r="F29" i="63" s="1"/>
  <c r="D28" i="63"/>
  <c r="E28" i="63" s="1"/>
  <c r="D27" i="63"/>
  <c r="F27" i="63" s="1"/>
  <c r="D26" i="63"/>
  <c r="F26" i="63" s="1"/>
  <c r="D25" i="63"/>
  <c r="E25" i="63" s="1"/>
  <c r="D24" i="63"/>
  <c r="E24" i="63" s="1"/>
  <c r="D23" i="63"/>
  <c r="E23" i="63" s="1"/>
  <c r="D22" i="63"/>
  <c r="E22" i="63" s="1"/>
  <c r="D20" i="63"/>
  <c r="E20" i="63" s="1"/>
  <c r="D19" i="63"/>
  <c r="E19" i="63" s="1"/>
  <c r="D18" i="63"/>
  <c r="F18" i="63" s="1"/>
  <c r="D17" i="63"/>
  <c r="D16" i="63"/>
  <c r="F16" i="63" s="1"/>
  <c r="D15" i="63"/>
  <c r="E15" i="63" s="1"/>
  <c r="D14" i="63"/>
  <c r="F14" i="63" s="1"/>
  <c r="D13" i="63"/>
  <c r="F13" i="63" s="1"/>
  <c r="D12" i="63"/>
  <c r="F12" i="63" s="1"/>
  <c r="D11" i="63"/>
  <c r="E11" i="63" s="1"/>
  <c r="D10" i="63"/>
  <c r="F10" i="63" s="1"/>
  <c r="D9" i="63"/>
  <c r="F9" i="63" s="1"/>
  <c r="E93" i="62"/>
  <c r="C93" i="62"/>
  <c r="D91" i="62"/>
  <c r="D93" i="62" s="1"/>
  <c r="F83" i="62"/>
  <c r="I83" i="62" s="1"/>
  <c r="I82" i="62"/>
  <c r="I81" i="62"/>
  <c r="G81" i="62"/>
  <c r="E81" i="62"/>
  <c r="H81" i="62" s="1"/>
  <c r="E74" i="62"/>
  <c r="C8" i="64" s="1"/>
  <c r="D362" i="55" s="1"/>
  <c r="D65" i="62"/>
  <c r="F65" i="62" s="1"/>
  <c r="D64" i="62"/>
  <c r="F64" i="62" s="1"/>
  <c r="I62" i="62"/>
  <c r="H62" i="62"/>
  <c r="G62" i="62"/>
  <c r="C72" i="62" s="1"/>
  <c r="D72" i="62" s="1"/>
  <c r="E72" i="62" s="1"/>
  <c r="C62" i="62"/>
  <c r="G64" i="62" s="1"/>
  <c r="D61" i="62"/>
  <c r="E61" i="62" s="1"/>
  <c r="L59" i="62"/>
  <c r="D59" i="62"/>
  <c r="E59" i="62" s="1"/>
  <c r="D58" i="62"/>
  <c r="D56" i="62"/>
  <c r="F56" i="62" s="1"/>
  <c r="D54" i="62"/>
  <c r="E54" i="62" s="1"/>
  <c r="D53" i="62"/>
  <c r="E53" i="62" s="1"/>
  <c r="D52" i="62"/>
  <c r="E52" i="62" s="1"/>
  <c r="D51" i="62"/>
  <c r="E51" i="62" s="1"/>
  <c r="D50" i="62"/>
  <c r="E50" i="62" s="1"/>
  <c r="D49" i="62"/>
  <c r="E49" i="62" s="1"/>
  <c r="D48" i="62"/>
  <c r="E48" i="62" s="1"/>
  <c r="D47" i="62"/>
  <c r="F47" i="62" s="1"/>
  <c r="D46" i="62"/>
  <c r="E46" i="62" s="1"/>
  <c r="D45" i="62"/>
  <c r="E45" i="62" s="1"/>
  <c r="D44" i="62"/>
  <c r="E44" i="62" s="1"/>
  <c r="D43" i="62"/>
  <c r="E43" i="62" s="1"/>
  <c r="D42" i="62"/>
  <c r="E42" i="62" s="1"/>
  <c r="D41" i="62"/>
  <c r="F41" i="62" s="1"/>
  <c r="D40" i="62"/>
  <c r="F40" i="62" s="1"/>
  <c r="D39" i="62"/>
  <c r="F39" i="62" s="1"/>
  <c r="D38" i="62"/>
  <c r="F38" i="62" s="1"/>
  <c r="D37" i="62"/>
  <c r="E37" i="62" s="1"/>
  <c r="D36" i="62"/>
  <c r="D35" i="62"/>
  <c r="E35" i="62" s="1"/>
  <c r="D34" i="62"/>
  <c r="E34" i="62" s="1"/>
  <c r="D33" i="62"/>
  <c r="E33" i="62" s="1"/>
  <c r="D32" i="62"/>
  <c r="D31" i="62"/>
  <c r="F31" i="62" s="1"/>
  <c r="D30" i="62"/>
  <c r="F30" i="62" s="1"/>
  <c r="D29" i="62"/>
  <c r="D28" i="62"/>
  <c r="E28" i="62" s="1"/>
  <c r="D27" i="62"/>
  <c r="F27" i="62" s="1"/>
  <c r="D26" i="62"/>
  <c r="F26" i="62" s="1"/>
  <c r="D25" i="62"/>
  <c r="E25" i="62" s="1"/>
  <c r="D24" i="62"/>
  <c r="E24" i="62" s="1"/>
  <c r="D23" i="62"/>
  <c r="D22" i="62"/>
  <c r="E22" i="62" s="1"/>
  <c r="D20" i="62"/>
  <c r="E20" i="62" s="1"/>
  <c r="D19" i="62"/>
  <c r="E19" i="62" s="1"/>
  <c r="D18" i="62"/>
  <c r="D17" i="62"/>
  <c r="E17" i="62" s="1"/>
  <c r="D16" i="62"/>
  <c r="E16" i="62" s="1"/>
  <c r="D15" i="62"/>
  <c r="F15" i="62" s="1"/>
  <c r="D14" i="62"/>
  <c r="F14" i="62" s="1"/>
  <c r="D13" i="62"/>
  <c r="E13" i="62" s="1"/>
  <c r="D12" i="62"/>
  <c r="E12" i="62" s="1"/>
  <c r="D11" i="62"/>
  <c r="E11" i="62" s="1"/>
  <c r="D10" i="62"/>
  <c r="E10" i="62" s="1"/>
  <c r="D9" i="62"/>
  <c r="F9" i="62" s="1"/>
  <c r="E94" i="27"/>
  <c r="C94" i="27"/>
  <c r="G96" i="27" s="1"/>
  <c r="D92" i="27"/>
  <c r="D94" i="27" s="1"/>
  <c r="F84" i="27"/>
  <c r="I84" i="27" s="1"/>
  <c r="I83" i="27"/>
  <c r="I82" i="27"/>
  <c r="C8" i="53"/>
  <c r="D58" i="55" s="1"/>
  <c r="D66" i="27"/>
  <c r="E66" i="27" s="1"/>
  <c r="D65" i="27"/>
  <c r="E65" i="27" s="1"/>
  <c r="I62" i="27"/>
  <c r="H62" i="27"/>
  <c r="H63" i="30" s="1"/>
  <c r="G62" i="27"/>
  <c r="D61" i="27"/>
  <c r="E61" i="27" s="1"/>
  <c r="D59" i="27"/>
  <c r="E59" i="27" s="1"/>
  <c r="D58" i="27"/>
  <c r="E58" i="27" s="1"/>
  <c r="D56" i="27"/>
  <c r="E56" i="27" s="1"/>
  <c r="D54" i="27"/>
  <c r="E54" i="27" s="1"/>
  <c r="D53" i="27"/>
  <c r="E53" i="27" s="1"/>
  <c r="D52" i="27"/>
  <c r="E52" i="27" s="1"/>
  <c r="D51" i="27"/>
  <c r="E51" i="27" s="1"/>
  <c r="D50" i="27"/>
  <c r="E50" i="27" s="1"/>
  <c r="D49" i="27"/>
  <c r="E49" i="27" s="1"/>
  <c r="D48" i="27"/>
  <c r="F48" i="27" s="1"/>
  <c r="C62" i="27"/>
  <c r="D46" i="27"/>
  <c r="E46" i="27" s="1"/>
  <c r="D45" i="27"/>
  <c r="D44" i="27"/>
  <c r="E44" i="27" s="1"/>
  <c r="D43" i="27"/>
  <c r="D42" i="27"/>
  <c r="E42" i="27" s="1"/>
  <c r="D41" i="27"/>
  <c r="E41" i="27" s="1"/>
  <c r="D40" i="27"/>
  <c r="F40" i="27" s="1"/>
  <c r="D39" i="27"/>
  <c r="E39" i="27" s="1"/>
  <c r="D38" i="27"/>
  <c r="F38" i="27" s="1"/>
  <c r="D37" i="27"/>
  <c r="F37" i="27" s="1"/>
  <c r="D36" i="27"/>
  <c r="D35" i="27"/>
  <c r="D34" i="27"/>
  <c r="F34" i="27" s="1"/>
  <c r="D33" i="27"/>
  <c r="E33" i="27" s="1"/>
  <c r="D32" i="27"/>
  <c r="E32" i="27" s="1"/>
  <c r="D31" i="27"/>
  <c r="D30" i="27"/>
  <c r="E30" i="27" s="1"/>
  <c r="D29" i="27"/>
  <c r="F29" i="27" s="1"/>
  <c r="D28" i="27"/>
  <c r="D27" i="27"/>
  <c r="F27" i="27" s="1"/>
  <c r="D26" i="27"/>
  <c r="E26" i="27" s="1"/>
  <c r="D25" i="27"/>
  <c r="D24" i="27"/>
  <c r="E24" i="27" s="1"/>
  <c r="D23" i="27"/>
  <c r="E23" i="27" s="1"/>
  <c r="D22" i="27"/>
  <c r="F22" i="27" s="1"/>
  <c r="D20" i="27"/>
  <c r="E20" i="27" s="1"/>
  <c r="D19" i="27"/>
  <c r="E19" i="27" s="1"/>
  <c r="D18" i="27"/>
  <c r="F18" i="27" s="1"/>
  <c r="D17" i="27"/>
  <c r="E17" i="27" s="1"/>
  <c r="D16" i="27"/>
  <c r="D15" i="27"/>
  <c r="F15" i="27" s="1"/>
  <c r="D14" i="27"/>
  <c r="F14" i="27" s="1"/>
  <c r="D13" i="27"/>
  <c r="D12" i="27"/>
  <c r="E12" i="27" s="1"/>
  <c r="D11" i="27"/>
  <c r="E11" i="27" s="1"/>
  <c r="D10" i="27"/>
  <c r="D9" i="27"/>
  <c r="F9" i="27" s="1"/>
  <c r="E93" i="57"/>
  <c r="H93" i="57" s="1"/>
  <c r="C93" i="57"/>
  <c r="G93" i="57" s="1"/>
  <c r="D92" i="57"/>
  <c r="D91" i="57"/>
  <c r="D90" i="57"/>
  <c r="I82" i="57"/>
  <c r="E82" i="57"/>
  <c r="F76" i="57"/>
  <c r="E75" i="57"/>
  <c r="C8" i="52" s="1"/>
  <c r="G68" i="57"/>
  <c r="D66" i="57"/>
  <c r="E66" i="57" s="1"/>
  <c r="D65" i="57"/>
  <c r="F65" i="57" s="1"/>
  <c r="I63" i="57"/>
  <c r="H63" i="57"/>
  <c r="G63" i="57"/>
  <c r="C73" i="57" s="1"/>
  <c r="D73" i="57" s="1"/>
  <c r="E73" i="57" s="1"/>
  <c r="C63" i="57"/>
  <c r="D62" i="57"/>
  <c r="E62" i="57" s="1"/>
  <c r="D61" i="57"/>
  <c r="E61" i="57" s="1"/>
  <c r="D60" i="57"/>
  <c r="E60" i="57" s="1"/>
  <c r="D59" i="57"/>
  <c r="E59" i="57" s="1"/>
  <c r="D58" i="57"/>
  <c r="E58" i="57" s="1"/>
  <c r="D57" i="57"/>
  <c r="F57" i="57" s="1"/>
  <c r="D56" i="57"/>
  <c r="E56" i="57" s="1"/>
  <c r="D55" i="57"/>
  <c r="E55" i="57" s="1"/>
  <c r="D53" i="57"/>
  <c r="F53" i="57" s="1"/>
  <c r="D52" i="57"/>
  <c r="E52" i="57" s="1"/>
  <c r="D51" i="57"/>
  <c r="E51" i="57" s="1"/>
  <c r="D50" i="57"/>
  <c r="E50" i="57" s="1"/>
  <c r="D49" i="57"/>
  <c r="E49" i="57" s="1"/>
  <c r="D48" i="57"/>
  <c r="E48" i="57" s="1"/>
  <c r="D47" i="57"/>
  <c r="F47" i="57" s="1"/>
  <c r="D46" i="57"/>
  <c r="D45" i="57"/>
  <c r="F45" i="57" s="1"/>
  <c r="D44" i="57"/>
  <c r="E44" i="57" s="1"/>
  <c r="D43" i="57"/>
  <c r="D42" i="57"/>
  <c r="F42" i="57" s="1"/>
  <c r="D41" i="57"/>
  <c r="F41" i="57" s="1"/>
  <c r="D40" i="57"/>
  <c r="D39" i="57"/>
  <c r="F39" i="57" s="1"/>
  <c r="D38" i="57"/>
  <c r="E38" i="57" s="1"/>
  <c r="D37" i="57"/>
  <c r="D36" i="57"/>
  <c r="F36" i="57" s="1"/>
  <c r="D35" i="57"/>
  <c r="F35" i="57" s="1"/>
  <c r="D34" i="57"/>
  <c r="E34" i="57" s="1"/>
  <c r="D33" i="57"/>
  <c r="E33" i="57" s="1"/>
  <c r="D32" i="57"/>
  <c r="F32" i="57" s="1"/>
  <c r="D31" i="57"/>
  <c r="E31" i="57" s="1"/>
  <c r="D30" i="57"/>
  <c r="F30" i="57" s="1"/>
  <c r="D29" i="57"/>
  <c r="F29" i="57" s="1"/>
  <c r="D28" i="57"/>
  <c r="E28" i="57" s="1"/>
  <c r="D27" i="57"/>
  <c r="F27" i="57" s="1"/>
  <c r="D26" i="57"/>
  <c r="E26" i="57" s="1"/>
  <c r="D25" i="57"/>
  <c r="E25" i="57" s="1"/>
  <c r="D24" i="57"/>
  <c r="F24" i="57" s="1"/>
  <c r="D23" i="57"/>
  <c r="E23" i="57" s="1"/>
  <c r="D22" i="57"/>
  <c r="F22" i="57" s="1"/>
  <c r="D20" i="57"/>
  <c r="E20" i="57" s="1"/>
  <c r="D19" i="57"/>
  <c r="E19" i="57" s="1"/>
  <c r="D18" i="57"/>
  <c r="E18" i="57" s="1"/>
  <c r="D17" i="57"/>
  <c r="E17" i="57" s="1"/>
  <c r="D16" i="57"/>
  <c r="F16" i="57" s="1"/>
  <c r="D15" i="57"/>
  <c r="D14" i="57"/>
  <c r="E14" i="57" s="1"/>
  <c r="D13" i="57"/>
  <c r="E13" i="57" s="1"/>
  <c r="D12" i="57"/>
  <c r="F12" i="57" s="1"/>
  <c r="D11" i="57"/>
  <c r="F11" i="57" s="1"/>
  <c r="D10" i="57"/>
  <c r="E10" i="57" s="1"/>
  <c r="D9" i="57"/>
  <c r="E9" i="57" s="1"/>
  <c r="A5" i="57"/>
  <c r="E91" i="25"/>
  <c r="C91" i="25"/>
  <c r="D82" i="25" s="1"/>
  <c r="D90" i="25"/>
  <c r="D89" i="25"/>
  <c r="D88" i="25"/>
  <c r="F83" i="25"/>
  <c r="I83" i="25" s="1"/>
  <c r="I82" i="25"/>
  <c r="I81" i="25"/>
  <c r="G81" i="25"/>
  <c r="E81" i="25"/>
  <c r="D18" i="51" s="1"/>
  <c r="D201" i="55"/>
  <c r="D65" i="25"/>
  <c r="F65" i="25" s="1"/>
  <c r="D64" i="25"/>
  <c r="F64" i="25" s="1"/>
  <c r="H62" i="25"/>
  <c r="G62" i="25"/>
  <c r="C72" i="25" s="1"/>
  <c r="D72" i="25" s="1"/>
  <c r="E72" i="25" s="1"/>
  <c r="C62" i="25"/>
  <c r="G65" i="25" s="1"/>
  <c r="D61" i="25"/>
  <c r="E61" i="25" s="1"/>
  <c r="D59" i="25"/>
  <c r="F59" i="25" s="1"/>
  <c r="D58" i="25"/>
  <c r="F58" i="25" s="1"/>
  <c r="D56" i="25"/>
  <c r="E56" i="25" s="1"/>
  <c r="D54" i="25"/>
  <c r="E54" i="25" s="1"/>
  <c r="D53" i="25"/>
  <c r="E53" i="25" s="1"/>
  <c r="D52" i="25"/>
  <c r="D51" i="25"/>
  <c r="D50" i="25"/>
  <c r="E50" i="25" s="1"/>
  <c r="D49" i="25"/>
  <c r="F49" i="25" s="1"/>
  <c r="D48" i="25"/>
  <c r="F48" i="25" s="1"/>
  <c r="D47" i="25"/>
  <c r="E47" i="25" s="1"/>
  <c r="D46" i="25"/>
  <c r="E46" i="25" s="1"/>
  <c r="D45" i="25"/>
  <c r="D44" i="25"/>
  <c r="F44" i="25" s="1"/>
  <c r="D43" i="25"/>
  <c r="F43" i="25" s="1"/>
  <c r="D42" i="25"/>
  <c r="F42" i="25" s="1"/>
  <c r="D41" i="25"/>
  <c r="F41" i="25" s="1"/>
  <c r="D40" i="25"/>
  <c r="F40" i="25" s="1"/>
  <c r="D39" i="25"/>
  <c r="D38" i="25"/>
  <c r="E38" i="25" s="1"/>
  <c r="D37" i="25"/>
  <c r="F37" i="25" s="1"/>
  <c r="D36" i="25"/>
  <c r="D35" i="25"/>
  <c r="F35" i="25" s="1"/>
  <c r="D34" i="25"/>
  <c r="E34" i="25" s="1"/>
  <c r="D33" i="25"/>
  <c r="E33" i="25" s="1"/>
  <c r="D32" i="25"/>
  <c r="F32" i="25" s="1"/>
  <c r="D31" i="25"/>
  <c r="F31" i="25" s="1"/>
  <c r="D30" i="25"/>
  <c r="E30" i="25" s="1"/>
  <c r="D29" i="25"/>
  <c r="F29" i="25" s="1"/>
  <c r="D28" i="25"/>
  <c r="E28" i="25" s="1"/>
  <c r="D27" i="25"/>
  <c r="E27" i="25" s="1"/>
  <c r="D26" i="25"/>
  <c r="F26" i="25" s="1"/>
  <c r="D25" i="25"/>
  <c r="E25" i="25" s="1"/>
  <c r="D24" i="25"/>
  <c r="F24" i="25" s="1"/>
  <c r="D23" i="25"/>
  <c r="F23" i="25" s="1"/>
  <c r="D22" i="25"/>
  <c r="E22" i="25" s="1"/>
  <c r="D20" i="25"/>
  <c r="F20" i="25" s="1"/>
  <c r="D19" i="25"/>
  <c r="E19" i="25" s="1"/>
  <c r="D18" i="25"/>
  <c r="E18" i="25" s="1"/>
  <c r="D17" i="25"/>
  <c r="E17" i="25" s="1"/>
  <c r="D16" i="25"/>
  <c r="D15" i="25"/>
  <c r="F15" i="25" s="1"/>
  <c r="D14" i="25"/>
  <c r="E14" i="25" s="1"/>
  <c r="D13" i="25"/>
  <c r="E13" i="25" s="1"/>
  <c r="D12" i="25"/>
  <c r="E12" i="25" s="1"/>
  <c r="D11" i="25"/>
  <c r="E11" i="25" s="1"/>
  <c r="D10" i="25"/>
  <c r="D9" i="25"/>
  <c r="A5" i="25"/>
  <c r="E95" i="24"/>
  <c r="C95" i="24"/>
  <c r="D82" i="24" s="1"/>
  <c r="D94" i="24"/>
  <c r="D93" i="24"/>
  <c r="D92" i="24"/>
  <c r="D91" i="24"/>
  <c r="D90" i="24"/>
  <c r="D89" i="24"/>
  <c r="D88" i="24"/>
  <c r="I83" i="24"/>
  <c r="I82" i="24"/>
  <c r="I81" i="24"/>
  <c r="G81" i="24"/>
  <c r="E81" i="24"/>
  <c r="C8" i="50"/>
  <c r="D65" i="24"/>
  <c r="E65" i="24" s="1"/>
  <c r="D64" i="24"/>
  <c r="F64" i="24" s="1"/>
  <c r="I62" i="24"/>
  <c r="H62" i="24"/>
  <c r="G62" i="24"/>
  <c r="C72" i="24" s="1"/>
  <c r="C62" i="24"/>
  <c r="G65" i="24" s="1"/>
  <c r="D61" i="24"/>
  <c r="E61" i="24" s="1"/>
  <c r="D59" i="24"/>
  <c r="E59" i="24" s="1"/>
  <c r="D58" i="24"/>
  <c r="E58" i="24" s="1"/>
  <c r="D56" i="24"/>
  <c r="F56" i="24" s="1"/>
  <c r="D55" i="24"/>
  <c r="E55" i="24" s="1"/>
  <c r="D54" i="24"/>
  <c r="E54" i="24" s="1"/>
  <c r="D53" i="24"/>
  <c r="E53" i="24" s="1"/>
  <c r="D52" i="24"/>
  <c r="E52" i="24" s="1"/>
  <c r="D51" i="24"/>
  <c r="F51" i="24" s="1"/>
  <c r="D50" i="24"/>
  <c r="E50" i="24" s="1"/>
  <c r="D49" i="24"/>
  <c r="E49" i="24" s="1"/>
  <c r="D48" i="24"/>
  <c r="F48" i="24" s="1"/>
  <c r="D47" i="24"/>
  <c r="E47" i="24" s="1"/>
  <c r="D46" i="24"/>
  <c r="F46" i="24" s="1"/>
  <c r="D45" i="24"/>
  <c r="E45" i="24" s="1"/>
  <c r="D44" i="24"/>
  <c r="E44" i="24" s="1"/>
  <c r="D43" i="24"/>
  <c r="E43" i="24" s="1"/>
  <c r="D42" i="24"/>
  <c r="F42" i="24" s="1"/>
  <c r="D41" i="24"/>
  <c r="D40" i="24"/>
  <c r="E40" i="24" s="1"/>
  <c r="D39" i="24"/>
  <c r="D38" i="24"/>
  <c r="D37" i="24"/>
  <c r="E37" i="24" s="1"/>
  <c r="D36" i="24"/>
  <c r="F36" i="24" s="1"/>
  <c r="D35" i="24"/>
  <c r="D34" i="24"/>
  <c r="F34" i="24" s="1"/>
  <c r="D33" i="24"/>
  <c r="E33" i="24" s="1"/>
  <c r="D32" i="24"/>
  <c r="F32" i="24" s="1"/>
  <c r="D31" i="24"/>
  <c r="D30" i="24"/>
  <c r="D29" i="24"/>
  <c r="F29" i="24" s="1"/>
  <c r="D28" i="24"/>
  <c r="F28" i="24" s="1"/>
  <c r="D27" i="24"/>
  <c r="D26" i="24"/>
  <c r="E26" i="24" s="1"/>
  <c r="D25" i="24"/>
  <c r="E25" i="24" s="1"/>
  <c r="D24" i="24"/>
  <c r="E24" i="24" s="1"/>
  <c r="D23" i="24"/>
  <c r="F23" i="24" s="1"/>
  <c r="D22" i="24"/>
  <c r="E22" i="24" s="1"/>
  <c r="D21" i="24"/>
  <c r="E21" i="24" s="1"/>
  <c r="D20" i="24"/>
  <c r="E20" i="24" s="1"/>
  <c r="D19" i="24"/>
  <c r="E19" i="24" s="1"/>
  <c r="D18" i="24"/>
  <c r="E18" i="24" s="1"/>
  <c r="D17" i="24"/>
  <c r="F17" i="24" s="1"/>
  <c r="D16" i="24"/>
  <c r="E16" i="24" s="1"/>
  <c r="D15" i="24"/>
  <c r="E15" i="24" s="1"/>
  <c r="D14" i="24"/>
  <c r="E14" i="24" s="1"/>
  <c r="D13" i="24"/>
  <c r="E13" i="24" s="1"/>
  <c r="D12" i="24"/>
  <c r="F12" i="24" s="1"/>
  <c r="D11" i="24"/>
  <c r="E11" i="24" s="1"/>
  <c r="D10" i="24"/>
  <c r="F10" i="24" s="1"/>
  <c r="D9" i="24"/>
  <c r="F9" i="24" s="1"/>
  <c r="A5" i="24"/>
  <c r="E96" i="23"/>
  <c r="C96" i="23"/>
  <c r="G96" i="23" s="1"/>
  <c r="D95" i="23"/>
  <c r="D94" i="23"/>
  <c r="D93" i="23"/>
  <c r="D92" i="23"/>
  <c r="D91" i="23"/>
  <c r="D90" i="23"/>
  <c r="D89" i="23"/>
  <c r="D88" i="23"/>
  <c r="D87" i="23"/>
  <c r="F83" i="23"/>
  <c r="I83" i="23" s="1"/>
  <c r="I82" i="23"/>
  <c r="I81" i="23"/>
  <c r="E81" i="23"/>
  <c r="E74" i="23"/>
  <c r="C8" i="49" s="1"/>
  <c r="D250" i="55" s="1"/>
  <c r="D65" i="23"/>
  <c r="F65" i="23" s="1"/>
  <c r="D64" i="23"/>
  <c r="F64" i="23" s="1"/>
  <c r="H62" i="23"/>
  <c r="G62" i="23"/>
  <c r="C72" i="23" s="1"/>
  <c r="D61" i="23"/>
  <c r="E61" i="23" s="1"/>
  <c r="D59" i="23"/>
  <c r="E59" i="23" s="1"/>
  <c r="D58" i="23"/>
  <c r="E58" i="23" s="1"/>
  <c r="D56" i="23"/>
  <c r="D55" i="23"/>
  <c r="E55" i="23" s="1"/>
  <c r="D54" i="23"/>
  <c r="E54" i="23" s="1"/>
  <c r="D53" i="23"/>
  <c r="E53" i="23" s="1"/>
  <c r="D52" i="23"/>
  <c r="E52" i="23" s="1"/>
  <c r="D51" i="23"/>
  <c r="F51" i="23" s="1"/>
  <c r="D50" i="23"/>
  <c r="E50" i="23" s="1"/>
  <c r="D49" i="23"/>
  <c r="E49" i="23" s="1"/>
  <c r="D48" i="23"/>
  <c r="E48" i="23" s="1"/>
  <c r="E47" i="23"/>
  <c r="D46" i="23"/>
  <c r="F46" i="23" s="1"/>
  <c r="D45" i="23"/>
  <c r="E45" i="23" s="1"/>
  <c r="D44" i="23"/>
  <c r="E44" i="23" s="1"/>
  <c r="D43" i="23"/>
  <c r="E43" i="23" s="1"/>
  <c r="D42" i="23"/>
  <c r="E42" i="23" s="1"/>
  <c r="D41" i="23"/>
  <c r="E41" i="23" s="1"/>
  <c r="D40" i="23"/>
  <c r="E40" i="23" s="1"/>
  <c r="D39" i="23"/>
  <c r="E39" i="23" s="1"/>
  <c r="D38" i="23"/>
  <c r="E38" i="23" s="1"/>
  <c r="D37" i="23"/>
  <c r="E37" i="23" s="1"/>
  <c r="D36" i="23"/>
  <c r="F36" i="23" s="1"/>
  <c r="D35" i="23"/>
  <c r="F35" i="23" s="1"/>
  <c r="D34" i="23"/>
  <c r="F34" i="23" s="1"/>
  <c r="D33" i="23"/>
  <c r="E33" i="23" s="1"/>
  <c r="D32" i="23"/>
  <c r="F32" i="23" s="1"/>
  <c r="D31" i="23"/>
  <c r="F31" i="23" s="1"/>
  <c r="D30" i="23"/>
  <c r="E30" i="23" s="1"/>
  <c r="D29" i="23"/>
  <c r="F29" i="23" s="1"/>
  <c r="D28" i="23"/>
  <c r="F28" i="23" s="1"/>
  <c r="D27" i="23"/>
  <c r="E27" i="23" s="1"/>
  <c r="D26" i="23"/>
  <c r="D25" i="23"/>
  <c r="F25" i="23" s="1"/>
  <c r="D24" i="23"/>
  <c r="E24" i="23" s="1"/>
  <c r="D23" i="23"/>
  <c r="E23" i="23" s="1"/>
  <c r="D22" i="23"/>
  <c r="F22" i="23" s="1"/>
  <c r="D21" i="23"/>
  <c r="E21" i="23" s="1"/>
  <c r="D20" i="23"/>
  <c r="E20" i="23" s="1"/>
  <c r="D19" i="23"/>
  <c r="E19" i="23" s="1"/>
  <c r="D18" i="23"/>
  <c r="F18" i="23" s="1"/>
  <c r="D17" i="23"/>
  <c r="E17" i="23" s="1"/>
  <c r="D16" i="23"/>
  <c r="D15" i="23"/>
  <c r="F15" i="23" s="1"/>
  <c r="D13" i="23"/>
  <c r="F13" i="23" s="1"/>
  <c r="D12" i="23"/>
  <c r="D11" i="23"/>
  <c r="D10" i="23"/>
  <c r="F10" i="23" s="1"/>
  <c r="D9" i="23"/>
  <c r="F9" i="23" s="1"/>
  <c r="A5" i="23"/>
  <c r="E92" i="22"/>
  <c r="C92" i="22"/>
  <c r="D82" i="22" s="1"/>
  <c r="D91" i="22"/>
  <c r="D90" i="22"/>
  <c r="D89" i="22"/>
  <c r="D88" i="22"/>
  <c r="F83" i="22"/>
  <c r="I83" i="22" s="1"/>
  <c r="I82" i="22"/>
  <c r="I81" i="22"/>
  <c r="E81" i="22"/>
  <c r="E74" i="22"/>
  <c r="C8" i="48" s="1"/>
  <c r="D65" i="22"/>
  <c r="F65" i="22" s="1"/>
  <c r="D64" i="22"/>
  <c r="F64" i="22" s="1"/>
  <c r="H62" i="22"/>
  <c r="G62" i="22"/>
  <c r="C72" i="22" s="1"/>
  <c r="D61" i="22"/>
  <c r="E61" i="22" s="1"/>
  <c r="D59" i="22"/>
  <c r="E59" i="22" s="1"/>
  <c r="D58" i="22"/>
  <c r="E58" i="22" s="1"/>
  <c r="D56" i="22"/>
  <c r="E56" i="22" s="1"/>
  <c r="D55" i="22"/>
  <c r="E55" i="22" s="1"/>
  <c r="D54" i="22"/>
  <c r="F54" i="22" s="1"/>
  <c r="D53" i="22"/>
  <c r="F53" i="22" s="1"/>
  <c r="D52" i="22"/>
  <c r="F52" i="22" s="1"/>
  <c r="D51" i="22"/>
  <c r="F51" i="22" s="1"/>
  <c r="D50" i="22"/>
  <c r="E50" i="22" s="1"/>
  <c r="D49" i="22"/>
  <c r="E49" i="22" s="1"/>
  <c r="D48" i="22"/>
  <c r="E48" i="22" s="1"/>
  <c r="D47" i="22"/>
  <c r="F47" i="22" s="1"/>
  <c r="D46" i="22"/>
  <c r="F46" i="22" s="1"/>
  <c r="D45" i="22"/>
  <c r="E45" i="22" s="1"/>
  <c r="D44" i="22"/>
  <c r="E44" i="22" s="1"/>
  <c r="D43" i="22"/>
  <c r="E43" i="22" s="1"/>
  <c r="D42" i="22"/>
  <c r="E42" i="22" s="1"/>
  <c r="D41" i="22"/>
  <c r="D40" i="22"/>
  <c r="F40" i="22" s="1"/>
  <c r="D39" i="22"/>
  <c r="E39" i="22" s="1"/>
  <c r="D38" i="22"/>
  <c r="E38" i="22" s="1"/>
  <c r="D37" i="22"/>
  <c r="E37" i="22" s="1"/>
  <c r="D36" i="22"/>
  <c r="E36" i="22" s="1"/>
  <c r="D35" i="22"/>
  <c r="D34" i="22"/>
  <c r="F34" i="22" s="1"/>
  <c r="D33" i="22"/>
  <c r="E33" i="22" s="1"/>
  <c r="D32" i="22"/>
  <c r="E32" i="22" s="1"/>
  <c r="D31" i="22"/>
  <c r="F31" i="22" s="1"/>
  <c r="D30" i="22"/>
  <c r="F30" i="22" s="1"/>
  <c r="D29" i="22"/>
  <c r="F29" i="22" s="1"/>
  <c r="D28" i="22"/>
  <c r="E28" i="22" s="1"/>
  <c r="D27" i="22"/>
  <c r="E27" i="22" s="1"/>
  <c r="D26" i="22"/>
  <c r="E26" i="22" s="1"/>
  <c r="D25" i="22"/>
  <c r="D24" i="22"/>
  <c r="F24" i="22" s="1"/>
  <c r="D23" i="22"/>
  <c r="F23" i="22" s="1"/>
  <c r="D22" i="22"/>
  <c r="F22" i="22" s="1"/>
  <c r="D20" i="22"/>
  <c r="F20" i="22" s="1"/>
  <c r="D19" i="22"/>
  <c r="F19" i="22" s="1"/>
  <c r="D18" i="22"/>
  <c r="D17" i="22"/>
  <c r="E17" i="22" s="1"/>
  <c r="D16" i="22"/>
  <c r="E16" i="22" s="1"/>
  <c r="D15" i="22"/>
  <c r="E15" i="22" s="1"/>
  <c r="D14" i="22"/>
  <c r="D13" i="22"/>
  <c r="F13" i="22" s="1"/>
  <c r="D12" i="22"/>
  <c r="F12" i="22" s="1"/>
  <c r="D11" i="22"/>
  <c r="F11" i="22" s="1"/>
  <c r="D10" i="22"/>
  <c r="E10" i="22" s="1"/>
  <c r="D9" i="22"/>
  <c r="E9" i="22" s="1"/>
  <c r="A5" i="22"/>
  <c r="E95" i="21"/>
  <c r="F82" i="21" s="1"/>
  <c r="C95" i="21"/>
  <c r="D82" i="21" s="1"/>
  <c r="G82" i="21" s="1"/>
  <c r="D94" i="21"/>
  <c r="D93" i="21"/>
  <c r="D92" i="21"/>
  <c r="D91" i="21"/>
  <c r="D90" i="21"/>
  <c r="D89" i="21"/>
  <c r="D88" i="21"/>
  <c r="D87" i="21"/>
  <c r="I81" i="21"/>
  <c r="E81" i="21"/>
  <c r="D25" i="47" s="1"/>
  <c r="D65" i="21"/>
  <c r="E65" i="21" s="1"/>
  <c r="D64" i="21"/>
  <c r="F64" i="21" s="1"/>
  <c r="H62" i="21"/>
  <c r="G62" i="21"/>
  <c r="C72" i="21" s="1"/>
  <c r="D61" i="21"/>
  <c r="E61" i="21" s="1"/>
  <c r="D60" i="21"/>
  <c r="E60" i="21" s="1"/>
  <c r="D59" i="21"/>
  <c r="E59" i="21" s="1"/>
  <c r="D58" i="21"/>
  <c r="E58" i="21" s="1"/>
  <c r="D57" i="21"/>
  <c r="E57" i="21" s="1"/>
  <c r="D56" i="21"/>
  <c r="F56" i="21" s="1"/>
  <c r="D55" i="21"/>
  <c r="E55" i="21" s="1"/>
  <c r="D54" i="21"/>
  <c r="E54" i="21" s="1"/>
  <c r="D53" i="21"/>
  <c r="E53" i="21" s="1"/>
  <c r="D52" i="21"/>
  <c r="E52" i="21" s="1"/>
  <c r="D51" i="21"/>
  <c r="E51" i="21" s="1"/>
  <c r="D50" i="21"/>
  <c r="E50" i="21" s="1"/>
  <c r="D49" i="21"/>
  <c r="E49" i="21" s="1"/>
  <c r="D48" i="21"/>
  <c r="F48" i="21" s="1"/>
  <c r="D46" i="21"/>
  <c r="F46" i="21" s="1"/>
  <c r="D45" i="21"/>
  <c r="F45" i="21" s="1"/>
  <c r="D44" i="21"/>
  <c r="E44" i="21" s="1"/>
  <c r="D43" i="21"/>
  <c r="E43" i="21" s="1"/>
  <c r="D42" i="21"/>
  <c r="D41" i="21"/>
  <c r="E41" i="21" s="1"/>
  <c r="D40" i="21"/>
  <c r="E40" i="21" s="1"/>
  <c r="D39" i="21"/>
  <c r="F39" i="21" s="1"/>
  <c r="D38" i="21"/>
  <c r="F38" i="21" s="1"/>
  <c r="D37" i="21"/>
  <c r="D36" i="21"/>
  <c r="F36" i="21" s="1"/>
  <c r="D35" i="21"/>
  <c r="F35" i="21" s="1"/>
  <c r="D34" i="21"/>
  <c r="F34" i="21" s="1"/>
  <c r="D33" i="21"/>
  <c r="E33" i="21" s="1"/>
  <c r="D32" i="21"/>
  <c r="F32" i="21" s="1"/>
  <c r="D31" i="21"/>
  <c r="D30" i="21"/>
  <c r="E30" i="21" s="1"/>
  <c r="D29" i="21"/>
  <c r="E29" i="21" s="1"/>
  <c r="D28" i="21"/>
  <c r="D27" i="21"/>
  <c r="F27" i="21" s="1"/>
  <c r="D26" i="21"/>
  <c r="F26" i="21" s="1"/>
  <c r="D25" i="21"/>
  <c r="E25" i="21" s="1"/>
  <c r="D24" i="21"/>
  <c r="E24" i="21" s="1"/>
  <c r="D23" i="21"/>
  <c r="D22" i="21"/>
  <c r="F22" i="21" s="1"/>
  <c r="D21" i="21"/>
  <c r="E21" i="21" s="1"/>
  <c r="D20" i="21"/>
  <c r="F20" i="21" s="1"/>
  <c r="D19" i="21"/>
  <c r="F19" i="21" s="1"/>
  <c r="D18" i="21"/>
  <c r="F18" i="21" s="1"/>
  <c r="D17" i="21"/>
  <c r="E17" i="21" s="1"/>
  <c r="D16" i="21"/>
  <c r="F16" i="21" s="1"/>
  <c r="D15" i="21"/>
  <c r="E15" i="21" s="1"/>
  <c r="D14" i="21"/>
  <c r="F14" i="21" s="1"/>
  <c r="D13" i="21"/>
  <c r="E13" i="21" s="1"/>
  <c r="D12" i="21"/>
  <c r="E12" i="21" s="1"/>
  <c r="D11" i="21"/>
  <c r="F11" i="21" s="1"/>
  <c r="D10" i="21"/>
  <c r="F10" i="21" s="1"/>
  <c r="D9" i="21"/>
  <c r="E9" i="21" s="1"/>
  <c r="A5" i="21"/>
  <c r="E93" i="20"/>
  <c r="F82" i="20" s="1"/>
  <c r="C93" i="20"/>
  <c r="D82" i="20" s="1"/>
  <c r="G82" i="20" s="1"/>
  <c r="D92" i="20"/>
  <c r="D91" i="20"/>
  <c r="D90" i="20"/>
  <c r="D89" i="20"/>
  <c r="I81" i="20"/>
  <c r="G81" i="20"/>
  <c r="E81" i="20"/>
  <c r="D18" i="46" s="1"/>
  <c r="D74" i="55"/>
  <c r="D66" i="20"/>
  <c r="F66" i="20" s="1"/>
  <c r="D65" i="20"/>
  <c r="E65" i="20" s="1"/>
  <c r="H63" i="20"/>
  <c r="G63" i="20"/>
  <c r="C72" i="20" s="1"/>
  <c r="D62" i="20"/>
  <c r="F62" i="20" s="1"/>
  <c r="D61" i="20"/>
  <c r="F61" i="20" s="1"/>
  <c r="D60" i="20"/>
  <c r="D59" i="20"/>
  <c r="E59" i="20" s="1"/>
  <c r="D58" i="20"/>
  <c r="F58" i="20" s="1"/>
  <c r="D57" i="20"/>
  <c r="F57" i="20" s="1"/>
  <c r="D56" i="20"/>
  <c r="E56" i="20" s="1"/>
  <c r="D55" i="20"/>
  <c r="E55" i="20" s="1"/>
  <c r="D54" i="20"/>
  <c r="E54" i="20" s="1"/>
  <c r="D53" i="20"/>
  <c r="D52" i="20"/>
  <c r="E52" i="20" s="1"/>
  <c r="D51" i="20"/>
  <c r="D50" i="20"/>
  <c r="E50" i="20" s="1"/>
  <c r="D49" i="20"/>
  <c r="F49" i="20" s="1"/>
  <c r="D48" i="20"/>
  <c r="D47" i="20"/>
  <c r="E47" i="20" s="1"/>
  <c r="D46" i="20"/>
  <c r="E46" i="20" s="1"/>
  <c r="D45" i="20"/>
  <c r="D44" i="20"/>
  <c r="D43" i="20"/>
  <c r="F43" i="20" s="1"/>
  <c r="D42" i="20"/>
  <c r="F42" i="20" s="1"/>
  <c r="D41" i="20"/>
  <c r="E41" i="20" s="1"/>
  <c r="D40" i="20"/>
  <c r="F40" i="20" s="1"/>
  <c r="D39" i="20"/>
  <c r="F39" i="20" s="1"/>
  <c r="D38" i="20"/>
  <c r="E38" i="20" s="1"/>
  <c r="D37" i="20"/>
  <c r="F37" i="20" s="1"/>
  <c r="D36" i="20"/>
  <c r="E36" i="20" s="1"/>
  <c r="D35" i="20"/>
  <c r="F35" i="20" s="1"/>
  <c r="D34" i="20"/>
  <c r="F34" i="20" s="1"/>
  <c r="D33" i="20"/>
  <c r="E33" i="20" s="1"/>
  <c r="D32" i="20"/>
  <c r="F32" i="20" s="1"/>
  <c r="D31" i="20"/>
  <c r="F31" i="20" s="1"/>
  <c r="D30" i="20"/>
  <c r="D29" i="20"/>
  <c r="E29" i="20" s="1"/>
  <c r="D28" i="20"/>
  <c r="F28" i="20" s="1"/>
  <c r="D27" i="20"/>
  <c r="D26" i="20"/>
  <c r="E26" i="20" s="1"/>
  <c r="D25" i="20"/>
  <c r="F25" i="20" s="1"/>
  <c r="D24" i="20"/>
  <c r="F24" i="20" s="1"/>
  <c r="D23" i="20"/>
  <c r="E23" i="20" s="1"/>
  <c r="D22" i="20"/>
  <c r="E22" i="20" s="1"/>
  <c r="D21" i="20"/>
  <c r="D20" i="20"/>
  <c r="F20" i="20" s="1"/>
  <c r="D19" i="20"/>
  <c r="F19" i="20" s="1"/>
  <c r="D18" i="20"/>
  <c r="F18" i="20" s="1"/>
  <c r="D17" i="20"/>
  <c r="F17" i="20" s="1"/>
  <c r="D16" i="20"/>
  <c r="E16" i="20" s="1"/>
  <c r="D15" i="20"/>
  <c r="D14" i="20"/>
  <c r="E14" i="20" s="1"/>
  <c r="D13" i="20"/>
  <c r="F13" i="20" s="1"/>
  <c r="D12" i="20"/>
  <c r="D11" i="20"/>
  <c r="F11" i="20" s="1"/>
  <c r="D10" i="20"/>
  <c r="F10" i="20" s="1"/>
  <c r="D9" i="20"/>
  <c r="F9" i="20" s="1"/>
  <c r="A5" i="20"/>
  <c r="E92" i="19"/>
  <c r="C92" i="19"/>
  <c r="G92" i="19" s="1"/>
  <c r="D91" i="19"/>
  <c r="D90" i="19"/>
  <c r="D89" i="19"/>
  <c r="F84" i="19"/>
  <c r="I84" i="19" s="1"/>
  <c r="I83" i="19"/>
  <c r="I82" i="19"/>
  <c r="G82" i="19"/>
  <c r="E74" i="19"/>
  <c r="C8" i="45" s="1"/>
  <c r="D65" i="19"/>
  <c r="E65" i="19" s="1"/>
  <c r="D64" i="19"/>
  <c r="E64" i="19" s="1"/>
  <c r="I62" i="19"/>
  <c r="H62" i="19"/>
  <c r="G62" i="19"/>
  <c r="C72" i="19" s="1"/>
  <c r="D60" i="19"/>
  <c r="E60" i="19" s="1"/>
  <c r="D59" i="19"/>
  <c r="E59" i="19" s="1"/>
  <c r="D58" i="19"/>
  <c r="E58" i="19" s="1"/>
  <c r="D57" i="19"/>
  <c r="E57" i="19" s="1"/>
  <c r="D56" i="19"/>
  <c r="F56" i="19" s="1"/>
  <c r="D53" i="19"/>
  <c r="D52" i="19"/>
  <c r="E52" i="19" s="1"/>
  <c r="D51" i="19"/>
  <c r="F51" i="19" s="1"/>
  <c r="D50" i="19"/>
  <c r="D49" i="19"/>
  <c r="D48" i="19"/>
  <c r="F48" i="19" s="1"/>
  <c r="D46" i="19"/>
  <c r="E46" i="19" s="1"/>
  <c r="D45" i="19"/>
  <c r="D44" i="19"/>
  <c r="D43" i="19"/>
  <c r="D42" i="19"/>
  <c r="D41" i="19"/>
  <c r="F41" i="19" s="1"/>
  <c r="D40" i="19"/>
  <c r="F40" i="19" s="1"/>
  <c r="D39" i="19"/>
  <c r="E39" i="19" s="1"/>
  <c r="D38" i="19"/>
  <c r="E38" i="19" s="1"/>
  <c r="D37" i="19"/>
  <c r="F37" i="19" s="1"/>
  <c r="D36" i="19"/>
  <c r="F36" i="19" s="1"/>
  <c r="D35" i="19"/>
  <c r="E35" i="19" s="1"/>
  <c r="D34" i="19"/>
  <c r="F34" i="19" s="1"/>
  <c r="D33" i="19"/>
  <c r="D32" i="19"/>
  <c r="F32" i="19" s="1"/>
  <c r="D31" i="19"/>
  <c r="F31" i="19" s="1"/>
  <c r="D30" i="19"/>
  <c r="F30" i="19" s="1"/>
  <c r="D29" i="19"/>
  <c r="D28" i="19"/>
  <c r="F28" i="19" s="1"/>
  <c r="D27" i="19"/>
  <c r="F27" i="19" s="1"/>
  <c r="D26" i="19"/>
  <c r="F26" i="19" s="1"/>
  <c r="D25" i="19"/>
  <c r="F25" i="19" s="1"/>
  <c r="D24" i="19"/>
  <c r="D23" i="19"/>
  <c r="F23" i="19" s="1"/>
  <c r="D22" i="19"/>
  <c r="F22" i="19" s="1"/>
  <c r="D21" i="19"/>
  <c r="D20" i="19"/>
  <c r="D19" i="19"/>
  <c r="D18" i="19"/>
  <c r="E18" i="19" s="1"/>
  <c r="D17" i="19"/>
  <c r="F17" i="19" s="1"/>
  <c r="D16" i="19"/>
  <c r="F16" i="19" s="1"/>
  <c r="D15" i="19"/>
  <c r="F15" i="19" s="1"/>
  <c r="D14" i="19"/>
  <c r="D13" i="19"/>
  <c r="D12" i="19"/>
  <c r="E12" i="19" s="1"/>
  <c r="D11" i="19"/>
  <c r="D10" i="19"/>
  <c r="D9" i="19"/>
  <c r="A5" i="19"/>
  <c r="E93" i="18"/>
  <c r="C93" i="18"/>
  <c r="D92" i="18"/>
  <c r="D91" i="18"/>
  <c r="D90" i="18"/>
  <c r="D89" i="18"/>
  <c r="D88" i="18"/>
  <c r="F84" i="18"/>
  <c r="I84" i="18" s="1"/>
  <c r="I83" i="18"/>
  <c r="I82" i="18"/>
  <c r="G82" i="18"/>
  <c r="E82" i="18"/>
  <c r="F75" i="18"/>
  <c r="E74" i="18"/>
  <c r="C8" i="44" s="1"/>
  <c r="F73" i="18"/>
  <c r="D65" i="18"/>
  <c r="D64" i="18"/>
  <c r="E64" i="18" s="1"/>
  <c r="I62" i="18"/>
  <c r="H62" i="18"/>
  <c r="G62" i="18"/>
  <c r="C72" i="18" s="1"/>
  <c r="D72" i="18" s="1"/>
  <c r="D61" i="18"/>
  <c r="E61" i="18" s="1"/>
  <c r="D59" i="18"/>
  <c r="D56" i="18"/>
  <c r="F56" i="18" s="1"/>
  <c r="D54" i="18"/>
  <c r="D53" i="18"/>
  <c r="D52" i="18"/>
  <c r="F52" i="18" s="1"/>
  <c r="D51" i="18"/>
  <c r="F51" i="18" s="1"/>
  <c r="D50" i="18"/>
  <c r="F50" i="18" s="1"/>
  <c r="D49" i="18"/>
  <c r="F49" i="18" s="1"/>
  <c r="D48" i="18"/>
  <c r="F48" i="18" s="1"/>
  <c r="D47" i="18"/>
  <c r="F47" i="18" s="1"/>
  <c r="D46" i="18"/>
  <c r="F46" i="18" s="1"/>
  <c r="D45" i="18"/>
  <c r="F45" i="18" s="1"/>
  <c r="D44" i="18"/>
  <c r="F44" i="18" s="1"/>
  <c r="D43" i="18"/>
  <c r="D42" i="18"/>
  <c r="D41" i="18"/>
  <c r="D40" i="18"/>
  <c r="D39" i="18"/>
  <c r="D38" i="18"/>
  <c r="D37" i="18"/>
  <c r="F37" i="18" s="1"/>
  <c r="D36" i="18"/>
  <c r="F36" i="18" s="1"/>
  <c r="D35" i="18"/>
  <c r="F35" i="18" s="1"/>
  <c r="D34" i="18"/>
  <c r="D33" i="18"/>
  <c r="D32" i="18"/>
  <c r="D31" i="18"/>
  <c r="D30" i="18"/>
  <c r="D29" i="18"/>
  <c r="D28" i="18"/>
  <c r="D27" i="18"/>
  <c r="F27" i="18" s="1"/>
  <c r="D26" i="18"/>
  <c r="F26" i="18" s="1"/>
  <c r="D25" i="18"/>
  <c r="F25" i="18" s="1"/>
  <c r="D24" i="18"/>
  <c r="F24" i="18" s="1"/>
  <c r="D23" i="18"/>
  <c r="F23" i="18" s="1"/>
  <c r="D22" i="18"/>
  <c r="F22" i="18" s="1"/>
  <c r="D20" i="18"/>
  <c r="F20" i="18" s="1"/>
  <c r="D19" i="18"/>
  <c r="F19" i="18" s="1"/>
  <c r="D18" i="18"/>
  <c r="F18" i="18" s="1"/>
  <c r="D17" i="18"/>
  <c r="D16" i="18"/>
  <c r="F16" i="18" s="1"/>
  <c r="D15" i="18"/>
  <c r="F15" i="18" s="1"/>
  <c r="D14" i="18"/>
  <c r="D13" i="18"/>
  <c r="F13" i="18" s="1"/>
  <c r="D12" i="18"/>
  <c r="F12" i="18" s="1"/>
  <c r="D11" i="18"/>
  <c r="E11" i="18" s="1"/>
  <c r="D10" i="18"/>
  <c r="F10" i="18" s="1"/>
  <c r="D9" i="18"/>
  <c r="A5" i="18"/>
  <c r="E90" i="17"/>
  <c r="F82" i="17" s="1"/>
  <c r="F83" i="17" s="1"/>
  <c r="I83" i="17" s="1"/>
  <c r="C90" i="17"/>
  <c r="D82" i="17" s="1"/>
  <c r="D90" i="17"/>
  <c r="I81" i="17"/>
  <c r="G81" i="17"/>
  <c r="E81" i="17"/>
  <c r="D18" i="43" s="1"/>
  <c r="J76" i="17"/>
  <c r="D65" i="17"/>
  <c r="F65" i="17" s="1"/>
  <c r="D64" i="17"/>
  <c r="F64" i="17" s="1"/>
  <c r="I62" i="17"/>
  <c r="H62" i="17"/>
  <c r="G62" i="17"/>
  <c r="C72" i="17" s="1"/>
  <c r="E72" i="17" s="1"/>
  <c r="C62" i="17"/>
  <c r="D61" i="17"/>
  <c r="E61" i="17" s="1"/>
  <c r="D59" i="17"/>
  <c r="E59" i="17" s="1"/>
  <c r="D58" i="17"/>
  <c r="E58" i="17" s="1"/>
  <c r="D57" i="17"/>
  <c r="E57" i="17" s="1"/>
  <c r="D56" i="17"/>
  <c r="E56" i="17" s="1"/>
  <c r="D54" i="17"/>
  <c r="E54" i="17" s="1"/>
  <c r="D53" i="17"/>
  <c r="D52" i="17"/>
  <c r="D51" i="17"/>
  <c r="F51" i="17" s="1"/>
  <c r="D50" i="17"/>
  <c r="E50" i="17" s="1"/>
  <c r="D49" i="17"/>
  <c r="E49" i="17" s="1"/>
  <c r="D48" i="17"/>
  <c r="E48" i="17" s="1"/>
  <c r="D47" i="17"/>
  <c r="D46" i="17"/>
  <c r="F46" i="17" s="1"/>
  <c r="D45" i="17"/>
  <c r="E45" i="17" s="1"/>
  <c r="D44" i="17"/>
  <c r="E44" i="17" s="1"/>
  <c r="D43" i="17"/>
  <c r="F43" i="17" s="1"/>
  <c r="D42" i="17"/>
  <c r="F42" i="17" s="1"/>
  <c r="D41" i="17"/>
  <c r="F41" i="17" s="1"/>
  <c r="D40" i="17"/>
  <c r="F40" i="17" s="1"/>
  <c r="M39" i="17"/>
  <c r="D39" i="17"/>
  <c r="E39" i="17" s="1"/>
  <c r="D38" i="17"/>
  <c r="E38" i="17" s="1"/>
  <c r="D37" i="17"/>
  <c r="F37" i="17" s="1"/>
  <c r="D36" i="17"/>
  <c r="F36" i="17" s="1"/>
  <c r="D35" i="17"/>
  <c r="E35" i="17" s="1"/>
  <c r="D34" i="17"/>
  <c r="E34" i="17" s="1"/>
  <c r="D33" i="17"/>
  <c r="E33" i="17" s="1"/>
  <c r="D32" i="17"/>
  <c r="D31" i="17"/>
  <c r="D30" i="17"/>
  <c r="F30" i="17" s="1"/>
  <c r="D29" i="17"/>
  <c r="F29" i="17" s="1"/>
  <c r="D28" i="17"/>
  <c r="F28" i="17" s="1"/>
  <c r="D27" i="17"/>
  <c r="E27" i="17" s="1"/>
  <c r="D26" i="17"/>
  <c r="E26" i="17" s="1"/>
  <c r="D25" i="17"/>
  <c r="E25" i="17" s="1"/>
  <c r="D24" i="17"/>
  <c r="E24" i="17" s="1"/>
  <c r="D23" i="17"/>
  <c r="E23" i="17" s="1"/>
  <c r="D22" i="17"/>
  <c r="D20" i="17"/>
  <c r="E20" i="17" s="1"/>
  <c r="D19" i="17"/>
  <c r="E19" i="17" s="1"/>
  <c r="D18" i="17"/>
  <c r="E18" i="17" s="1"/>
  <c r="D17" i="17"/>
  <c r="D16" i="17"/>
  <c r="D15" i="17"/>
  <c r="F15" i="17" s="1"/>
  <c r="D14" i="17"/>
  <c r="E14" i="17" s="1"/>
  <c r="D13" i="17"/>
  <c r="F13" i="17" s="1"/>
  <c r="D12" i="17"/>
  <c r="E12" i="17" s="1"/>
  <c r="D11" i="17"/>
  <c r="E11" i="17" s="1"/>
  <c r="D10" i="17"/>
  <c r="E10" i="17" s="1"/>
  <c r="D9" i="17"/>
  <c r="F9" i="17" s="1"/>
  <c r="E91" i="16"/>
  <c r="I90" i="16" s="1"/>
  <c r="C91" i="16"/>
  <c r="D82" i="16" s="1"/>
  <c r="D89" i="16"/>
  <c r="D88" i="16"/>
  <c r="D87" i="16"/>
  <c r="F83" i="16"/>
  <c r="I83" i="16" s="1"/>
  <c r="I82" i="16"/>
  <c r="I81" i="16"/>
  <c r="G81" i="16"/>
  <c r="E81" i="16"/>
  <c r="D65" i="16"/>
  <c r="F65" i="16" s="1"/>
  <c r="D64" i="16"/>
  <c r="E64" i="16" s="1"/>
  <c r="I62" i="16"/>
  <c r="H62" i="16"/>
  <c r="G62" i="16"/>
  <c r="C72" i="16" s="1"/>
  <c r="D61" i="16"/>
  <c r="E61" i="16" s="1"/>
  <c r="D59" i="16"/>
  <c r="E59" i="16" s="1"/>
  <c r="D58" i="16"/>
  <c r="E58" i="16" s="1"/>
  <c r="D57" i="16"/>
  <c r="E57" i="16" s="1"/>
  <c r="D56" i="16"/>
  <c r="F56" i="16" s="1"/>
  <c r="D54" i="16"/>
  <c r="F54" i="16" s="1"/>
  <c r="D53" i="16"/>
  <c r="E53" i="16" s="1"/>
  <c r="D52" i="16"/>
  <c r="E52" i="16" s="1"/>
  <c r="D51" i="16"/>
  <c r="D50" i="16"/>
  <c r="E50" i="16" s="1"/>
  <c r="D49" i="16"/>
  <c r="E49" i="16" s="1"/>
  <c r="D48" i="16"/>
  <c r="F48" i="16" s="1"/>
  <c r="D46" i="16"/>
  <c r="E46" i="16" s="1"/>
  <c r="D45" i="16"/>
  <c r="D44" i="16"/>
  <c r="F44" i="16" s="1"/>
  <c r="D43" i="16"/>
  <c r="E43" i="16" s="1"/>
  <c r="D42" i="16"/>
  <c r="F42" i="16" s="1"/>
  <c r="D41" i="16"/>
  <c r="F41" i="16" s="1"/>
  <c r="D40" i="16"/>
  <c r="F40" i="16" s="1"/>
  <c r="D39" i="16"/>
  <c r="E39" i="16" s="1"/>
  <c r="C38" i="30"/>
  <c r="D37" i="16"/>
  <c r="D36" i="16"/>
  <c r="F36" i="16" s="1"/>
  <c r="D35" i="16"/>
  <c r="E35" i="16" s="1"/>
  <c r="D34" i="16"/>
  <c r="F34" i="16" s="1"/>
  <c r="D33" i="16"/>
  <c r="E33" i="16" s="1"/>
  <c r="D32" i="16"/>
  <c r="E32" i="16" s="1"/>
  <c r="D31" i="16"/>
  <c r="F31" i="16" s="1"/>
  <c r="D30" i="16"/>
  <c r="E30" i="16" s="1"/>
  <c r="D29" i="16"/>
  <c r="F29" i="16" s="1"/>
  <c r="D28" i="16"/>
  <c r="E28" i="16" s="1"/>
  <c r="D27" i="16"/>
  <c r="E27" i="16" s="1"/>
  <c r="D26" i="16"/>
  <c r="D25" i="16"/>
  <c r="F25" i="16" s="1"/>
  <c r="D24" i="16"/>
  <c r="E24" i="16" s="1"/>
  <c r="D23" i="16"/>
  <c r="D22" i="16"/>
  <c r="E22" i="16" s="1"/>
  <c r="D20" i="16"/>
  <c r="E20" i="16" s="1"/>
  <c r="D19" i="16"/>
  <c r="D18" i="16"/>
  <c r="F18" i="16" s="1"/>
  <c r="D17" i="16"/>
  <c r="E17" i="16" s="1"/>
  <c r="D16" i="16"/>
  <c r="F16" i="16" s="1"/>
  <c r="D15" i="16"/>
  <c r="D14" i="16"/>
  <c r="E14" i="16" s="1"/>
  <c r="D13" i="16"/>
  <c r="F13" i="16" s="1"/>
  <c r="D12" i="16"/>
  <c r="F12" i="16" s="1"/>
  <c r="D11" i="16"/>
  <c r="F11" i="16" s="1"/>
  <c r="D10" i="16"/>
  <c r="E10" i="16" s="1"/>
  <c r="D9" i="16"/>
  <c r="E9" i="16" s="1"/>
  <c r="E92" i="56"/>
  <c r="C92" i="56"/>
  <c r="D82" i="56" s="1"/>
  <c r="D83" i="56" s="1"/>
  <c r="D91" i="56"/>
  <c r="D90" i="56"/>
  <c r="D89" i="56"/>
  <c r="F83" i="56"/>
  <c r="I83" i="56" s="1"/>
  <c r="I82" i="56"/>
  <c r="I81" i="56"/>
  <c r="E81" i="56"/>
  <c r="E74" i="56"/>
  <c r="O72" i="56"/>
  <c r="D65" i="56"/>
  <c r="E65" i="56" s="1"/>
  <c r="D64" i="56"/>
  <c r="F64" i="56" s="1"/>
  <c r="H62" i="56"/>
  <c r="G62" i="56"/>
  <c r="C72" i="56" s="1"/>
  <c r="E72" i="56" s="1"/>
  <c r="C61" i="56"/>
  <c r="D61" i="56" s="1"/>
  <c r="E61" i="56" s="1"/>
  <c r="C60" i="56"/>
  <c r="D60" i="56" s="1"/>
  <c r="E60" i="56" s="1"/>
  <c r="D59" i="56"/>
  <c r="D58" i="56"/>
  <c r="D56" i="56"/>
  <c r="F56" i="56" s="1"/>
  <c r="D54" i="56"/>
  <c r="E54" i="56" s="1"/>
  <c r="D53" i="56"/>
  <c r="E53" i="56" s="1"/>
  <c r="D52" i="56"/>
  <c r="E52" i="56" s="1"/>
  <c r="D51" i="56"/>
  <c r="D50" i="56"/>
  <c r="E50" i="56" s="1"/>
  <c r="D49" i="56"/>
  <c r="E49" i="56" s="1"/>
  <c r="D48" i="56"/>
  <c r="D47" i="56"/>
  <c r="E47" i="56" s="1"/>
  <c r="D46" i="56"/>
  <c r="D45" i="56"/>
  <c r="E45" i="56" s="1"/>
  <c r="D44" i="56"/>
  <c r="D43" i="56"/>
  <c r="F43" i="56" s="1"/>
  <c r="D42" i="56"/>
  <c r="E42" i="56" s="1"/>
  <c r="D41" i="56"/>
  <c r="F41" i="56" s="1"/>
  <c r="D40" i="56"/>
  <c r="F40" i="56" s="1"/>
  <c r="D38" i="56"/>
  <c r="D37" i="56"/>
  <c r="E37" i="56" s="1"/>
  <c r="D36" i="56"/>
  <c r="D35" i="56"/>
  <c r="E35" i="56" s="1"/>
  <c r="D34" i="56"/>
  <c r="E34" i="56" s="1"/>
  <c r="D33" i="56"/>
  <c r="E33" i="56" s="1"/>
  <c r="D32" i="56"/>
  <c r="D31" i="56"/>
  <c r="F31" i="56" s="1"/>
  <c r="D30" i="56"/>
  <c r="D29" i="56"/>
  <c r="F29" i="56" s="1"/>
  <c r="C28" i="30"/>
  <c r="D27" i="56"/>
  <c r="E27" i="56" s="1"/>
  <c r="D26" i="56"/>
  <c r="D25" i="56"/>
  <c r="D24" i="56"/>
  <c r="E24" i="56" s="1"/>
  <c r="D23" i="56"/>
  <c r="D22" i="56"/>
  <c r="E22" i="56" s="1"/>
  <c r="D20" i="56"/>
  <c r="F20" i="56" s="1"/>
  <c r="D19" i="56"/>
  <c r="E19" i="56" s="1"/>
  <c r="D18" i="56"/>
  <c r="F18" i="56" s="1"/>
  <c r="D17" i="56"/>
  <c r="F17" i="56" s="1"/>
  <c r="D16" i="56"/>
  <c r="D15" i="56"/>
  <c r="F15" i="56" s="1"/>
  <c r="D14" i="56"/>
  <c r="D13" i="56"/>
  <c r="F13" i="56" s="1"/>
  <c r="D12" i="56"/>
  <c r="D11" i="56"/>
  <c r="C10" i="56"/>
  <c r="D10" i="56" s="1"/>
  <c r="C9" i="56"/>
  <c r="D9" i="56" s="1"/>
  <c r="E92" i="14"/>
  <c r="C92" i="14"/>
  <c r="D82" i="14" s="1"/>
  <c r="D91" i="14"/>
  <c r="D90" i="14"/>
  <c r="D89" i="14"/>
  <c r="D88" i="14"/>
  <c r="F83" i="14"/>
  <c r="I83" i="14" s="1"/>
  <c r="I82" i="14"/>
  <c r="I81" i="14"/>
  <c r="G81" i="14"/>
  <c r="E81" i="14"/>
  <c r="E74" i="14"/>
  <c r="C8" i="40" s="1"/>
  <c r="D186" i="55" s="1"/>
  <c r="D65" i="14"/>
  <c r="F65" i="14" s="1"/>
  <c r="D64" i="14"/>
  <c r="E64" i="14" s="1"/>
  <c r="H62" i="14"/>
  <c r="G62" i="14"/>
  <c r="C72" i="14" s="1"/>
  <c r="C61" i="14"/>
  <c r="D61" i="14" s="1"/>
  <c r="E61" i="14" s="1"/>
  <c r="C60" i="14"/>
  <c r="D59" i="14"/>
  <c r="D58" i="14"/>
  <c r="E58" i="14" s="1"/>
  <c r="D56" i="14"/>
  <c r="F56" i="14" s="1"/>
  <c r="D54" i="14"/>
  <c r="E54" i="14" s="1"/>
  <c r="D53" i="14"/>
  <c r="E53" i="14" s="1"/>
  <c r="D52" i="14"/>
  <c r="E52" i="14" s="1"/>
  <c r="D51" i="14"/>
  <c r="F51" i="14" s="1"/>
  <c r="D50" i="14"/>
  <c r="E50" i="14" s="1"/>
  <c r="D49" i="14"/>
  <c r="E49" i="14" s="1"/>
  <c r="D48" i="14"/>
  <c r="F48" i="14" s="1"/>
  <c r="D47" i="14"/>
  <c r="E47" i="14" s="1"/>
  <c r="D46" i="14"/>
  <c r="E46" i="14" s="1"/>
  <c r="D45" i="14"/>
  <c r="E45" i="14" s="1"/>
  <c r="D44" i="14"/>
  <c r="D43" i="14"/>
  <c r="F43" i="14" s="1"/>
  <c r="D42" i="14"/>
  <c r="F42" i="14" s="1"/>
  <c r="D41" i="14"/>
  <c r="D40" i="14"/>
  <c r="F40" i="14" s="1"/>
  <c r="D39" i="14"/>
  <c r="D38" i="14"/>
  <c r="D37" i="14"/>
  <c r="E37" i="14" s="1"/>
  <c r="D36" i="14"/>
  <c r="D35" i="14"/>
  <c r="E35" i="14" s="1"/>
  <c r="D34" i="14"/>
  <c r="D33" i="14"/>
  <c r="C33" i="30"/>
  <c r="D32" i="14"/>
  <c r="F32" i="14" s="1"/>
  <c r="D31" i="14"/>
  <c r="E31" i="14" s="1"/>
  <c r="D30" i="14"/>
  <c r="F30" i="14" s="1"/>
  <c r="D29" i="14"/>
  <c r="F29" i="14" s="1"/>
  <c r="D28" i="14"/>
  <c r="E28" i="14" s="1"/>
  <c r="D27" i="14"/>
  <c r="F27" i="14" s="1"/>
  <c r="D26" i="14"/>
  <c r="E26" i="14" s="1"/>
  <c r="D25" i="14"/>
  <c r="F25" i="14" s="1"/>
  <c r="D24" i="14"/>
  <c r="E24" i="14" s="1"/>
  <c r="D23" i="14"/>
  <c r="F23" i="14" s="1"/>
  <c r="D22" i="14"/>
  <c r="E22" i="14" s="1"/>
  <c r="D20" i="14"/>
  <c r="E20" i="14" s="1"/>
  <c r="D19" i="14"/>
  <c r="E19" i="14" s="1"/>
  <c r="D18" i="14"/>
  <c r="E18" i="14" s="1"/>
  <c r="D17" i="14"/>
  <c r="F17" i="14" s="1"/>
  <c r="D16" i="14"/>
  <c r="E16" i="14" s="1"/>
  <c r="D15" i="14"/>
  <c r="F15" i="14" s="1"/>
  <c r="C15" i="30"/>
  <c r="D14" i="14"/>
  <c r="D13" i="14"/>
  <c r="F13" i="14" s="1"/>
  <c r="D12" i="14"/>
  <c r="D11" i="14"/>
  <c r="F11" i="14" s="1"/>
  <c r="C10" i="14"/>
  <c r="C9" i="14"/>
  <c r="C99" i="13"/>
  <c r="D82" i="13" s="1"/>
  <c r="D97" i="13"/>
  <c r="D96" i="13"/>
  <c r="D95" i="13"/>
  <c r="D94" i="13"/>
  <c r="D93" i="13"/>
  <c r="D92" i="13"/>
  <c r="D91" i="13"/>
  <c r="D90" i="13"/>
  <c r="D89" i="13"/>
  <c r="D88" i="13"/>
  <c r="D87" i="13"/>
  <c r="F82" i="13"/>
  <c r="F83" i="13" s="1"/>
  <c r="I81" i="13"/>
  <c r="G81" i="13"/>
  <c r="E81" i="13"/>
  <c r="D35" i="39" s="1"/>
  <c r="D154" i="55"/>
  <c r="D65" i="13"/>
  <c r="F65" i="13" s="1"/>
  <c r="D64" i="13"/>
  <c r="H62" i="13"/>
  <c r="G62" i="13"/>
  <c r="C72" i="13" s="1"/>
  <c r="C62" i="13"/>
  <c r="D61" i="13"/>
  <c r="E61" i="13" s="1"/>
  <c r="D59" i="13"/>
  <c r="F59" i="13" s="1"/>
  <c r="D58" i="13"/>
  <c r="E58" i="13" s="1"/>
  <c r="D56" i="13"/>
  <c r="F56" i="13" s="1"/>
  <c r="D54" i="13"/>
  <c r="E54" i="13" s="1"/>
  <c r="D53" i="13"/>
  <c r="E53" i="13" s="1"/>
  <c r="D52" i="13"/>
  <c r="D51" i="13"/>
  <c r="F51" i="13" s="1"/>
  <c r="D50" i="13"/>
  <c r="E50" i="13" s="1"/>
  <c r="D49" i="13"/>
  <c r="E49" i="13" s="1"/>
  <c r="D48" i="13"/>
  <c r="E48" i="13" s="1"/>
  <c r="D47" i="13"/>
  <c r="F47" i="13" s="1"/>
  <c r="D46" i="13"/>
  <c r="D45" i="13"/>
  <c r="F45" i="13" s="1"/>
  <c r="D44" i="13"/>
  <c r="F44" i="13" s="1"/>
  <c r="D43" i="13"/>
  <c r="F43" i="13" s="1"/>
  <c r="D42" i="13"/>
  <c r="F42" i="13" s="1"/>
  <c r="D41" i="13"/>
  <c r="D40" i="13"/>
  <c r="E40" i="13" s="1"/>
  <c r="D39" i="13"/>
  <c r="F39" i="13" s="1"/>
  <c r="D38" i="13"/>
  <c r="D37" i="13"/>
  <c r="F37" i="13" s="1"/>
  <c r="D36" i="13"/>
  <c r="F36" i="13" s="1"/>
  <c r="D35" i="13"/>
  <c r="F35" i="13" s="1"/>
  <c r="D34" i="13"/>
  <c r="F34" i="13" s="1"/>
  <c r="D33" i="13"/>
  <c r="E33" i="13" s="1"/>
  <c r="D32" i="13"/>
  <c r="F32" i="13" s="1"/>
  <c r="D31" i="13"/>
  <c r="F31" i="13" s="1"/>
  <c r="D30" i="13"/>
  <c r="F30" i="13" s="1"/>
  <c r="D29" i="13"/>
  <c r="E29" i="13" s="1"/>
  <c r="D28" i="13"/>
  <c r="E28" i="13" s="1"/>
  <c r="D27" i="13"/>
  <c r="D26" i="13"/>
  <c r="F26" i="13" s="1"/>
  <c r="D25" i="13"/>
  <c r="E25" i="13" s="1"/>
  <c r="D24" i="13"/>
  <c r="D23" i="13"/>
  <c r="F23" i="13" s="1"/>
  <c r="D22" i="13"/>
  <c r="F22" i="13" s="1"/>
  <c r="D20" i="13"/>
  <c r="D19" i="13"/>
  <c r="D18" i="13"/>
  <c r="F18" i="13" s="1"/>
  <c r="D17" i="13"/>
  <c r="E17" i="13" s="1"/>
  <c r="D16" i="13"/>
  <c r="F16" i="13" s="1"/>
  <c r="D15" i="13"/>
  <c r="D14" i="13"/>
  <c r="E14" i="13" s="1"/>
  <c r="D13" i="13"/>
  <c r="E13" i="13" s="1"/>
  <c r="D12" i="13"/>
  <c r="D11" i="13"/>
  <c r="F11" i="13" s="1"/>
  <c r="D10" i="13"/>
  <c r="F10" i="13" s="1"/>
  <c r="D9" i="13"/>
  <c r="F9" i="13" s="1"/>
  <c r="E91" i="12"/>
  <c r="C91" i="12"/>
  <c r="D82" i="12" s="1"/>
  <c r="D90" i="12"/>
  <c r="D89" i="12"/>
  <c r="D88" i="12"/>
  <c r="D87" i="12"/>
  <c r="F83" i="12"/>
  <c r="I83" i="12" s="1"/>
  <c r="I82" i="12"/>
  <c r="I81" i="12"/>
  <c r="G81" i="12"/>
  <c r="E81" i="12"/>
  <c r="E74" i="12"/>
  <c r="C8" i="38" s="1"/>
  <c r="D65" i="12"/>
  <c r="F65" i="12" s="1"/>
  <c r="D64" i="12"/>
  <c r="E64" i="12" s="1"/>
  <c r="I62" i="12"/>
  <c r="H62" i="12"/>
  <c r="G62" i="12"/>
  <c r="C72" i="12" s="1"/>
  <c r="E72" i="12" s="1"/>
  <c r="C61" i="12"/>
  <c r="C60" i="12"/>
  <c r="C59" i="12"/>
  <c r="D58" i="12"/>
  <c r="E58" i="12" s="1"/>
  <c r="C56" i="30"/>
  <c r="C51" i="30"/>
  <c r="D50" i="12"/>
  <c r="E50" i="12" s="1"/>
  <c r="D49" i="12"/>
  <c r="E49" i="12" s="1"/>
  <c r="C49" i="30"/>
  <c r="D47" i="12"/>
  <c r="F47" i="12" s="1"/>
  <c r="D45" i="12"/>
  <c r="F45" i="12" s="1"/>
  <c r="C45" i="30"/>
  <c r="D44" i="12"/>
  <c r="F44" i="12" s="1"/>
  <c r="C43" i="30"/>
  <c r="D42" i="12"/>
  <c r="D41" i="12"/>
  <c r="F41" i="12" s="1"/>
  <c r="D40" i="12"/>
  <c r="F40" i="12" s="1"/>
  <c r="D39" i="12"/>
  <c r="F39" i="12" s="1"/>
  <c r="D38" i="12"/>
  <c r="E38" i="12" s="1"/>
  <c r="D33" i="12"/>
  <c r="E33" i="12" s="1"/>
  <c r="D31" i="12"/>
  <c r="F31" i="12" s="1"/>
  <c r="D30" i="12"/>
  <c r="C30" i="30"/>
  <c r="D29" i="12"/>
  <c r="F29" i="12" s="1"/>
  <c r="C27" i="30"/>
  <c r="D26" i="12"/>
  <c r="C26" i="30"/>
  <c r="D21" i="12"/>
  <c r="E21" i="12" s="1"/>
  <c r="D20" i="12"/>
  <c r="D19" i="12"/>
  <c r="F19" i="12" s="1"/>
  <c r="D18" i="12"/>
  <c r="F18" i="12" s="1"/>
  <c r="D17" i="12"/>
  <c r="E17" i="12" s="1"/>
  <c r="D16" i="12"/>
  <c r="E16" i="12" s="1"/>
  <c r="D15" i="12"/>
  <c r="F15" i="12" s="1"/>
  <c r="C13" i="30"/>
  <c r="D12" i="12"/>
  <c r="F12" i="12" s="1"/>
  <c r="D10" i="12"/>
  <c r="D9" i="12"/>
  <c r="F9" i="12" s="1"/>
  <c r="E91" i="11"/>
  <c r="F82" i="11" s="1"/>
  <c r="I82" i="11" s="1"/>
  <c r="C91" i="11"/>
  <c r="D82" i="11" s="1"/>
  <c r="D89" i="11"/>
  <c r="D88" i="11"/>
  <c r="I81" i="11"/>
  <c r="G81" i="11"/>
  <c r="E81" i="11"/>
  <c r="E74" i="11"/>
  <c r="C8" i="37" s="1"/>
  <c r="D65" i="11"/>
  <c r="F65" i="11" s="1"/>
  <c r="D64" i="11"/>
  <c r="E64" i="11" s="1"/>
  <c r="H62" i="11"/>
  <c r="G62" i="11"/>
  <c r="C72" i="11" s="1"/>
  <c r="E72" i="11" s="1"/>
  <c r="D59" i="11"/>
  <c r="F59" i="11" s="1"/>
  <c r="D58" i="11"/>
  <c r="F58" i="11" s="1"/>
  <c r="D56" i="11"/>
  <c r="F56" i="11" s="1"/>
  <c r="D54" i="11"/>
  <c r="E54" i="11" s="1"/>
  <c r="D53" i="11"/>
  <c r="E53" i="11" s="1"/>
  <c r="D52" i="11"/>
  <c r="E52" i="11" s="1"/>
  <c r="D51" i="11"/>
  <c r="F51" i="11" s="1"/>
  <c r="D50" i="11"/>
  <c r="E50" i="11" s="1"/>
  <c r="D49" i="11"/>
  <c r="E49" i="11" s="1"/>
  <c r="D48" i="11"/>
  <c r="F48" i="11" s="1"/>
  <c r="C62" i="11"/>
  <c r="G65" i="11" s="1"/>
  <c r="D46" i="11"/>
  <c r="E46" i="11" s="1"/>
  <c r="D45" i="11"/>
  <c r="E45" i="11" s="1"/>
  <c r="D44" i="11"/>
  <c r="F44" i="11" s="1"/>
  <c r="D43" i="11"/>
  <c r="F43" i="11" s="1"/>
  <c r="D42" i="11"/>
  <c r="E42" i="11" s="1"/>
  <c r="D41" i="11"/>
  <c r="F41" i="11" s="1"/>
  <c r="D40" i="11"/>
  <c r="F40" i="11" s="1"/>
  <c r="D39" i="11"/>
  <c r="F39" i="11" s="1"/>
  <c r="D38" i="11"/>
  <c r="E38" i="11" s="1"/>
  <c r="D37" i="11"/>
  <c r="F37" i="11" s="1"/>
  <c r="D36" i="11"/>
  <c r="F36" i="11" s="1"/>
  <c r="D35" i="11"/>
  <c r="F35" i="11" s="1"/>
  <c r="D34" i="11"/>
  <c r="E34" i="11" s="1"/>
  <c r="D33" i="11"/>
  <c r="E33" i="11" s="1"/>
  <c r="D32" i="11"/>
  <c r="F32" i="11" s="1"/>
  <c r="D31" i="11"/>
  <c r="F31" i="11" s="1"/>
  <c r="D30" i="11"/>
  <c r="E30" i="11" s="1"/>
  <c r="D29" i="11"/>
  <c r="F29" i="11" s="1"/>
  <c r="D28" i="11"/>
  <c r="F28" i="11" s="1"/>
  <c r="D27" i="11"/>
  <c r="E27" i="11" s="1"/>
  <c r="D26" i="11"/>
  <c r="E26" i="11" s="1"/>
  <c r="D25" i="11"/>
  <c r="F25" i="11" s="1"/>
  <c r="D24" i="11"/>
  <c r="E24" i="11" s="1"/>
  <c r="D23" i="11"/>
  <c r="F23" i="11" s="1"/>
  <c r="D22" i="11"/>
  <c r="F22" i="11" s="1"/>
  <c r="D21" i="11"/>
  <c r="E21" i="11" s="1"/>
  <c r="D20" i="11"/>
  <c r="F20" i="11" s="1"/>
  <c r="D19" i="11"/>
  <c r="F19" i="11" s="1"/>
  <c r="D18" i="11"/>
  <c r="E18" i="11" s="1"/>
  <c r="D17" i="11"/>
  <c r="F17" i="11" s="1"/>
  <c r="D16" i="11"/>
  <c r="E16" i="11" s="1"/>
  <c r="D15" i="11"/>
  <c r="F15" i="11" s="1"/>
  <c r="D14" i="11"/>
  <c r="F14" i="11" s="1"/>
  <c r="D13" i="11"/>
  <c r="E13" i="11" s="1"/>
  <c r="D12" i="11"/>
  <c r="F12" i="11" s="1"/>
  <c r="D11" i="11"/>
  <c r="F11" i="11" s="1"/>
  <c r="D10" i="11"/>
  <c r="E10" i="11" s="1"/>
  <c r="D9" i="11"/>
  <c r="F9" i="11" s="1"/>
  <c r="C92" i="10"/>
  <c r="D82" i="10" s="1"/>
  <c r="D91" i="10"/>
  <c r="D90" i="10"/>
  <c r="D89" i="10"/>
  <c r="D88" i="10"/>
  <c r="F83" i="10"/>
  <c r="I83" i="10" s="1"/>
  <c r="I82" i="10"/>
  <c r="I81" i="10"/>
  <c r="G81" i="10"/>
  <c r="E81" i="10"/>
  <c r="D18" i="36" s="1"/>
  <c r="C8" i="36"/>
  <c r="D65" i="10"/>
  <c r="F65" i="10" s="1"/>
  <c r="D64" i="10"/>
  <c r="E64" i="10" s="1"/>
  <c r="H62" i="10"/>
  <c r="G62" i="10"/>
  <c r="D61" i="10"/>
  <c r="E61" i="10" s="1"/>
  <c r="D60" i="10"/>
  <c r="E60" i="10" s="1"/>
  <c r="D59" i="10"/>
  <c r="E59" i="10" s="1"/>
  <c r="D58" i="10"/>
  <c r="E58" i="10" s="1"/>
  <c r="D56" i="10"/>
  <c r="F56" i="10" s="1"/>
  <c r="D54" i="10"/>
  <c r="F54" i="10" s="1"/>
  <c r="D53" i="10"/>
  <c r="E53" i="10" s="1"/>
  <c r="D52" i="10"/>
  <c r="F52" i="10" s="1"/>
  <c r="D51" i="10"/>
  <c r="F51" i="10" s="1"/>
  <c r="D50" i="10"/>
  <c r="E50" i="10" s="1"/>
  <c r="D49" i="10"/>
  <c r="E49" i="10" s="1"/>
  <c r="D48" i="10"/>
  <c r="E48" i="10" s="1"/>
  <c r="D47" i="10"/>
  <c r="E47" i="10" s="1"/>
  <c r="D46" i="10"/>
  <c r="F46" i="10" s="1"/>
  <c r="D45" i="10"/>
  <c r="F45" i="10" s="1"/>
  <c r="D44" i="10"/>
  <c r="F44" i="10" s="1"/>
  <c r="D43" i="10"/>
  <c r="E43" i="10" s="1"/>
  <c r="D42" i="10"/>
  <c r="E42" i="10" s="1"/>
  <c r="C62" i="10"/>
  <c r="D41" i="10"/>
  <c r="F41" i="10" s="1"/>
  <c r="D40" i="10"/>
  <c r="E40" i="10" s="1"/>
  <c r="D39" i="10"/>
  <c r="F39" i="10" s="1"/>
  <c r="D38" i="10"/>
  <c r="E38" i="10" s="1"/>
  <c r="D37" i="10"/>
  <c r="F37" i="10" s="1"/>
  <c r="D36" i="10"/>
  <c r="F36" i="10" s="1"/>
  <c r="D35" i="10"/>
  <c r="F35" i="10" s="1"/>
  <c r="D34" i="10"/>
  <c r="E34" i="10" s="1"/>
  <c r="D33" i="10"/>
  <c r="E33" i="10" s="1"/>
  <c r="D32" i="10"/>
  <c r="F32" i="10" s="1"/>
  <c r="D31" i="10"/>
  <c r="F31" i="10" s="1"/>
  <c r="D30" i="10"/>
  <c r="F30" i="10" s="1"/>
  <c r="D29" i="10"/>
  <c r="E29" i="10" s="1"/>
  <c r="D28" i="10"/>
  <c r="F28" i="10" s="1"/>
  <c r="Q27" i="10"/>
  <c r="P27" i="10"/>
  <c r="D27" i="10"/>
  <c r="F27" i="10" s="1"/>
  <c r="R26" i="10"/>
  <c r="D26" i="10"/>
  <c r="F26" i="10" s="1"/>
  <c r="R25" i="10"/>
  <c r="D25" i="10"/>
  <c r="F25" i="10" s="1"/>
  <c r="R24" i="10"/>
  <c r="D24" i="10"/>
  <c r="E24" i="10" s="1"/>
  <c r="R23" i="10"/>
  <c r="D23" i="10"/>
  <c r="F23" i="10" s="1"/>
  <c r="R22" i="10"/>
  <c r="D22" i="10"/>
  <c r="F22" i="10" s="1"/>
  <c r="R21" i="10"/>
  <c r="R20" i="10"/>
  <c r="D20" i="10"/>
  <c r="E20" i="10" s="1"/>
  <c r="R19" i="10"/>
  <c r="D19" i="10"/>
  <c r="E19" i="10" s="1"/>
  <c r="R18" i="10"/>
  <c r="D18" i="10"/>
  <c r="E18" i="10" s="1"/>
  <c r="R17" i="10"/>
  <c r="D17" i="10"/>
  <c r="F17" i="10" s="1"/>
  <c r="R16" i="10"/>
  <c r="D16" i="10"/>
  <c r="E16" i="10" s="1"/>
  <c r="R15" i="10"/>
  <c r="D15" i="10"/>
  <c r="F15" i="10" s="1"/>
  <c r="R14" i="10"/>
  <c r="D14" i="10"/>
  <c r="E14" i="10" s="1"/>
  <c r="R13" i="10"/>
  <c r="D13" i="10"/>
  <c r="F13" i="10" s="1"/>
  <c r="R12" i="10"/>
  <c r="D12" i="10"/>
  <c r="F12" i="10" s="1"/>
  <c r="R11" i="10"/>
  <c r="D11" i="10"/>
  <c r="F11" i="10" s="1"/>
  <c r="R10" i="10"/>
  <c r="D10" i="10"/>
  <c r="F10" i="10" s="1"/>
  <c r="D9" i="10"/>
  <c r="F9" i="10" s="1"/>
  <c r="C91" i="8"/>
  <c r="D82" i="8" s="1"/>
  <c r="D90" i="8"/>
  <c r="D89" i="8"/>
  <c r="F83" i="8"/>
  <c r="I83" i="8" s="1"/>
  <c r="I82" i="8"/>
  <c r="I81" i="8"/>
  <c r="G81" i="8"/>
  <c r="E81" i="8"/>
  <c r="D18" i="34" s="1"/>
  <c r="C8" i="34"/>
  <c r="D66" i="8"/>
  <c r="F66" i="8" s="1"/>
  <c r="D65" i="8"/>
  <c r="F65" i="8" s="1"/>
  <c r="H63" i="8"/>
  <c r="G63" i="8"/>
  <c r="C72" i="8" s="1"/>
  <c r="C63" i="8"/>
  <c r="G66" i="8" s="1"/>
  <c r="D62" i="8"/>
  <c r="E62" i="8" s="1"/>
  <c r="D60" i="8"/>
  <c r="F60" i="8" s="1"/>
  <c r="D59" i="8"/>
  <c r="E59" i="8" s="1"/>
  <c r="D57" i="8"/>
  <c r="E57" i="8" s="1"/>
  <c r="D54" i="8"/>
  <c r="F54" i="8" s="1"/>
  <c r="D53" i="8"/>
  <c r="E53" i="8" s="1"/>
  <c r="D52" i="8"/>
  <c r="E52" i="8" s="1"/>
  <c r="D51" i="8"/>
  <c r="F51" i="8" s="1"/>
  <c r="D50" i="8"/>
  <c r="F50" i="8" s="1"/>
  <c r="D49" i="8"/>
  <c r="E49" i="8" s="1"/>
  <c r="D48" i="8"/>
  <c r="F48" i="8" s="1"/>
  <c r="D47" i="8"/>
  <c r="F47" i="8" s="1"/>
  <c r="D46" i="8"/>
  <c r="F46" i="8" s="1"/>
  <c r="D45" i="8"/>
  <c r="E45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F37" i="8" s="1"/>
  <c r="D36" i="8"/>
  <c r="E36" i="8" s="1"/>
  <c r="D35" i="8"/>
  <c r="F35" i="8" s="1"/>
  <c r="D34" i="8"/>
  <c r="F34" i="8" s="1"/>
  <c r="D33" i="8"/>
  <c r="E33" i="8" s="1"/>
  <c r="D32" i="8"/>
  <c r="F32" i="8" s="1"/>
  <c r="D31" i="8"/>
  <c r="F31" i="8" s="1"/>
  <c r="D30" i="8"/>
  <c r="E30" i="8" s="1"/>
  <c r="D29" i="8"/>
  <c r="F29" i="8" s="1"/>
  <c r="D28" i="8"/>
  <c r="E28" i="8" s="1"/>
  <c r="D27" i="8"/>
  <c r="F27" i="8" s="1"/>
  <c r="D26" i="8"/>
  <c r="F26" i="8" s="1"/>
  <c r="D25" i="8"/>
  <c r="E25" i="8" s="1"/>
  <c r="D24" i="8"/>
  <c r="E24" i="8" s="1"/>
  <c r="D23" i="8"/>
  <c r="F23" i="8" s="1"/>
  <c r="D22" i="8"/>
  <c r="F22" i="8" s="1"/>
  <c r="D20" i="8"/>
  <c r="E20" i="8" s="1"/>
  <c r="D19" i="8"/>
  <c r="E19" i="8" s="1"/>
  <c r="D18" i="8"/>
  <c r="F18" i="8" s="1"/>
  <c r="D17" i="8"/>
  <c r="E17" i="8" s="1"/>
  <c r="D16" i="8"/>
  <c r="F16" i="8" s="1"/>
  <c r="D15" i="8"/>
  <c r="E15" i="8" s="1"/>
  <c r="D14" i="8"/>
  <c r="F14" i="8" s="1"/>
  <c r="D13" i="8"/>
  <c r="E13" i="8" s="1"/>
  <c r="D12" i="8"/>
  <c r="F12" i="8" s="1"/>
  <c r="D11" i="8"/>
  <c r="D10" i="8"/>
  <c r="E10" i="8" s="1"/>
  <c r="D9" i="8"/>
  <c r="F9" i="8" s="1"/>
  <c r="C93" i="9"/>
  <c r="D82" i="9" s="1"/>
  <c r="D83" i="9" s="1"/>
  <c r="G83" i="9" s="1"/>
  <c r="D92" i="9"/>
  <c r="D91" i="9"/>
  <c r="D90" i="9"/>
  <c r="D89" i="9"/>
  <c r="D88" i="9"/>
  <c r="F83" i="9"/>
  <c r="I83" i="9" s="1"/>
  <c r="I82" i="9"/>
  <c r="I81" i="9"/>
  <c r="G81" i="9"/>
  <c r="E81" i="9"/>
  <c r="D25" i="35" s="1"/>
  <c r="C8" i="35"/>
  <c r="D65" i="9"/>
  <c r="F65" i="9" s="1"/>
  <c r="D64" i="9"/>
  <c r="E64" i="9" s="1"/>
  <c r="I62" i="9"/>
  <c r="H62" i="9"/>
  <c r="G62" i="9"/>
  <c r="D61" i="9"/>
  <c r="E61" i="9" s="1"/>
  <c r="D59" i="9"/>
  <c r="F59" i="9" s="1"/>
  <c r="D58" i="9"/>
  <c r="F58" i="9" s="1"/>
  <c r="D56" i="9"/>
  <c r="E56" i="9" s="1"/>
  <c r="D54" i="9"/>
  <c r="E54" i="9" s="1"/>
  <c r="D53" i="9"/>
  <c r="E53" i="9" s="1"/>
  <c r="D52" i="9"/>
  <c r="F52" i="9" s="1"/>
  <c r="D51" i="9"/>
  <c r="F51" i="9" s="1"/>
  <c r="D50" i="9"/>
  <c r="E50" i="9" s="1"/>
  <c r="D49" i="9"/>
  <c r="E49" i="9" s="1"/>
  <c r="D48" i="9"/>
  <c r="F48" i="9" s="1"/>
  <c r="D47" i="9"/>
  <c r="E47" i="9" s="1"/>
  <c r="D46" i="9"/>
  <c r="F46" i="9" s="1"/>
  <c r="D45" i="9"/>
  <c r="E45" i="9" s="1"/>
  <c r="D44" i="9"/>
  <c r="F44" i="9" s="1"/>
  <c r="D43" i="9"/>
  <c r="F43" i="9" s="1"/>
  <c r="D41" i="9"/>
  <c r="F41" i="9" s="1"/>
  <c r="D40" i="9"/>
  <c r="E40" i="9" s="1"/>
  <c r="D39" i="9"/>
  <c r="E39" i="9" s="1"/>
  <c r="D38" i="9"/>
  <c r="E38" i="9" s="1"/>
  <c r="D37" i="9"/>
  <c r="F37" i="9" s="1"/>
  <c r="D36" i="9"/>
  <c r="E36" i="9" s="1"/>
  <c r="D35" i="9"/>
  <c r="F35" i="9" s="1"/>
  <c r="D34" i="9"/>
  <c r="F34" i="9" s="1"/>
  <c r="D33" i="9"/>
  <c r="E33" i="9" s="1"/>
  <c r="D32" i="9"/>
  <c r="F32" i="9" s="1"/>
  <c r="D31" i="9"/>
  <c r="F31" i="9" s="1"/>
  <c r="D30" i="9"/>
  <c r="E30" i="9" s="1"/>
  <c r="D29" i="9"/>
  <c r="F29" i="9" s="1"/>
  <c r="D28" i="9"/>
  <c r="E28" i="9" s="1"/>
  <c r="D27" i="9"/>
  <c r="F27" i="9" s="1"/>
  <c r="D26" i="9"/>
  <c r="F26" i="9" s="1"/>
  <c r="D25" i="9"/>
  <c r="F25" i="9" s="1"/>
  <c r="D24" i="9"/>
  <c r="E24" i="9" s="1"/>
  <c r="D23" i="9"/>
  <c r="E23" i="9" s="1"/>
  <c r="D22" i="9"/>
  <c r="E22" i="9" s="1"/>
  <c r="D20" i="9"/>
  <c r="F20" i="9" s="1"/>
  <c r="D19" i="9"/>
  <c r="F19" i="9" s="1"/>
  <c r="D18" i="9"/>
  <c r="E18" i="9" s="1"/>
  <c r="D17" i="9"/>
  <c r="F17" i="9" s="1"/>
  <c r="D16" i="9"/>
  <c r="E16" i="9" s="1"/>
  <c r="D15" i="9"/>
  <c r="F15" i="9" s="1"/>
  <c r="D14" i="9"/>
  <c r="F14" i="9" s="1"/>
  <c r="D13" i="9"/>
  <c r="F13" i="9" s="1"/>
  <c r="D12" i="9"/>
  <c r="F12" i="9" s="1"/>
  <c r="D11" i="9"/>
  <c r="F11" i="9" s="1"/>
  <c r="D10" i="9"/>
  <c r="F10" i="9" s="1"/>
  <c r="D9" i="9"/>
  <c r="F9" i="9" s="1"/>
  <c r="E92" i="7"/>
  <c r="F82" i="7" s="1"/>
  <c r="C92" i="7"/>
  <c r="D82" i="7" s="1"/>
  <c r="D83" i="7" s="1"/>
  <c r="G83" i="7" s="1"/>
  <c r="D90" i="7"/>
  <c r="D89" i="7"/>
  <c r="D88" i="7"/>
  <c r="I81" i="7"/>
  <c r="G81" i="7"/>
  <c r="E81" i="7"/>
  <c r="D18" i="33" s="1"/>
  <c r="C8" i="33"/>
  <c r="D65" i="7"/>
  <c r="F65" i="7" s="1"/>
  <c r="D64" i="7"/>
  <c r="F64" i="7" s="1"/>
  <c r="H62" i="7"/>
  <c r="G62" i="7"/>
  <c r="C72" i="7" s="1"/>
  <c r="E72" i="7" s="1"/>
  <c r="C62" i="7"/>
  <c r="G65" i="7" s="1"/>
  <c r="D61" i="7"/>
  <c r="E61" i="7" s="1"/>
  <c r="D59" i="7"/>
  <c r="F59" i="7" s="1"/>
  <c r="D57" i="7"/>
  <c r="E57" i="7" s="1"/>
  <c r="D56" i="7"/>
  <c r="E56" i="7" s="1"/>
  <c r="D55" i="7"/>
  <c r="E55" i="7" s="1"/>
  <c r="D54" i="7"/>
  <c r="E54" i="7" s="1"/>
  <c r="D53" i="7"/>
  <c r="E53" i="7" s="1"/>
  <c r="D52" i="7"/>
  <c r="F52" i="7" s="1"/>
  <c r="D51" i="7"/>
  <c r="F51" i="7" s="1"/>
  <c r="D50" i="7"/>
  <c r="E50" i="7" s="1"/>
  <c r="D49" i="7"/>
  <c r="F49" i="7" s="1"/>
  <c r="D48" i="7"/>
  <c r="E48" i="7" s="1"/>
  <c r="D47" i="7"/>
  <c r="E47" i="7" s="1"/>
  <c r="D46" i="7"/>
  <c r="F46" i="7" s="1"/>
  <c r="D45" i="7"/>
  <c r="E45" i="7" s="1"/>
  <c r="D44" i="7"/>
  <c r="F44" i="7" s="1"/>
  <c r="D43" i="7"/>
  <c r="E43" i="7" s="1"/>
  <c r="D42" i="7"/>
  <c r="F42" i="7" s="1"/>
  <c r="D41" i="7"/>
  <c r="F41" i="7" s="1"/>
  <c r="D40" i="7"/>
  <c r="F40" i="7" s="1"/>
  <c r="D39" i="7"/>
  <c r="E39" i="7" s="1"/>
  <c r="D38" i="7"/>
  <c r="F38" i="7" s="1"/>
  <c r="D37" i="7"/>
  <c r="E37" i="7" s="1"/>
  <c r="D36" i="7"/>
  <c r="F36" i="7" s="1"/>
  <c r="D35" i="7"/>
  <c r="F35" i="7" s="1"/>
  <c r="D34" i="7"/>
  <c r="F34" i="7" s="1"/>
  <c r="D33" i="7"/>
  <c r="E33" i="7" s="1"/>
  <c r="D32" i="7"/>
  <c r="E32" i="7" s="1"/>
  <c r="D31" i="7"/>
  <c r="F31" i="7" s="1"/>
  <c r="D30" i="7"/>
  <c r="E30" i="7" s="1"/>
  <c r="D29" i="7"/>
  <c r="F29" i="7" s="1"/>
  <c r="D28" i="7"/>
  <c r="E28" i="7" s="1"/>
  <c r="D27" i="7"/>
  <c r="F27" i="7" s="1"/>
  <c r="D26" i="7"/>
  <c r="E26" i="7" s="1"/>
  <c r="D25" i="7"/>
  <c r="F25" i="7" s="1"/>
  <c r="D24" i="7"/>
  <c r="F24" i="7" s="1"/>
  <c r="D23" i="7"/>
  <c r="E23" i="7" s="1"/>
  <c r="D22" i="7"/>
  <c r="F22" i="7" s="1"/>
  <c r="D21" i="7"/>
  <c r="F21" i="7" s="1"/>
  <c r="D20" i="7"/>
  <c r="E20" i="7" s="1"/>
  <c r="D19" i="7"/>
  <c r="F19" i="7" s="1"/>
  <c r="D18" i="7"/>
  <c r="F18" i="7" s="1"/>
  <c r="D17" i="7"/>
  <c r="E17" i="7" s="1"/>
  <c r="D16" i="7"/>
  <c r="F16" i="7" s="1"/>
  <c r="D15" i="7"/>
  <c r="E15" i="7" s="1"/>
  <c r="D14" i="7"/>
  <c r="E14" i="7" s="1"/>
  <c r="D13" i="7"/>
  <c r="F13" i="7" s="1"/>
  <c r="D12" i="7"/>
  <c r="F12" i="7" s="1"/>
  <c r="D11" i="7"/>
  <c r="F11" i="7" s="1"/>
  <c r="D10" i="7"/>
  <c r="F10" i="7" s="1"/>
  <c r="D9" i="7"/>
  <c r="E9" i="7" s="1"/>
  <c r="A5" i="7"/>
  <c r="A5" i="8" s="1"/>
  <c r="A5" i="9" s="1"/>
  <c r="A5" i="10" s="1"/>
  <c r="A5" i="11" s="1"/>
  <c r="A5" i="12" s="1"/>
  <c r="A5" i="13" s="1"/>
  <c r="A5" i="14" s="1"/>
  <c r="A5" i="56" s="1"/>
  <c r="A5" i="16" s="1"/>
  <c r="A5" i="17" s="1"/>
  <c r="E96" i="6"/>
  <c r="F82" i="6" s="1"/>
  <c r="C96" i="6"/>
  <c r="D82" i="6" s="1"/>
  <c r="D95" i="6"/>
  <c r="D94" i="6"/>
  <c r="D93" i="6"/>
  <c r="D92" i="6"/>
  <c r="D91" i="6"/>
  <c r="D90" i="6"/>
  <c r="D89" i="6"/>
  <c r="D88" i="6"/>
  <c r="D87" i="6"/>
  <c r="I81" i="6"/>
  <c r="G81" i="6"/>
  <c r="E81" i="6"/>
  <c r="E74" i="6"/>
  <c r="D65" i="6"/>
  <c r="E65" i="6" s="1"/>
  <c r="D64" i="6"/>
  <c r="E64" i="6" s="1"/>
  <c r="H62" i="6"/>
  <c r="G62" i="6"/>
  <c r="D61" i="6"/>
  <c r="E61" i="6" s="1"/>
  <c r="D60" i="6"/>
  <c r="I59" i="6"/>
  <c r="D58" i="6"/>
  <c r="D57" i="6"/>
  <c r="D56" i="6"/>
  <c r="D54" i="6"/>
  <c r="F54" i="6" s="1"/>
  <c r="D53" i="6"/>
  <c r="E53" i="6" s="1"/>
  <c r="D52" i="6"/>
  <c r="F52" i="6" s="1"/>
  <c r="D51" i="6"/>
  <c r="F51" i="6" s="1"/>
  <c r="D48" i="6"/>
  <c r="F48" i="6" s="1"/>
  <c r="J47" i="6"/>
  <c r="D46" i="6"/>
  <c r="E46" i="6" s="1"/>
  <c r="D45" i="6"/>
  <c r="F45" i="6" s="1"/>
  <c r="E44" i="6"/>
  <c r="D43" i="6"/>
  <c r="E43" i="6" s="1"/>
  <c r="K42" i="6"/>
  <c r="E42" i="6"/>
  <c r="J41" i="6"/>
  <c r="F41" i="6"/>
  <c r="F40" i="6"/>
  <c r="F39" i="6"/>
  <c r="E38" i="6"/>
  <c r="D37" i="6"/>
  <c r="F37" i="6" s="1"/>
  <c r="D36" i="6"/>
  <c r="E36" i="6" s="1"/>
  <c r="D35" i="6"/>
  <c r="F35" i="6" s="1"/>
  <c r="F35" i="30" s="1"/>
  <c r="D34" i="6"/>
  <c r="E34" i="6" s="1"/>
  <c r="D33" i="6"/>
  <c r="F33" i="6" s="1"/>
  <c r="D32" i="6"/>
  <c r="F32" i="6" s="1"/>
  <c r="F31" i="6"/>
  <c r="D30" i="6"/>
  <c r="E30" i="6" s="1"/>
  <c r="F29" i="6"/>
  <c r="D28" i="6"/>
  <c r="E28" i="6" s="1"/>
  <c r="D27" i="6"/>
  <c r="F27" i="6" s="1"/>
  <c r="D26" i="6"/>
  <c r="F26" i="6" s="1"/>
  <c r="D25" i="6"/>
  <c r="E25" i="6" s="1"/>
  <c r="D24" i="6"/>
  <c r="E24" i="6" s="1"/>
  <c r="D23" i="6"/>
  <c r="F23" i="6" s="1"/>
  <c r="D22" i="6"/>
  <c r="E22" i="6" s="1"/>
  <c r="D20" i="6"/>
  <c r="F20" i="6" s="1"/>
  <c r="J19" i="6"/>
  <c r="E19" i="6"/>
  <c r="D18" i="6"/>
  <c r="E18" i="6" s="1"/>
  <c r="D17" i="6"/>
  <c r="E17" i="6" s="1"/>
  <c r="D16" i="6"/>
  <c r="E16" i="6" s="1"/>
  <c r="D15" i="6"/>
  <c r="F15" i="6" s="1"/>
  <c r="D14" i="6"/>
  <c r="E14" i="6" s="1"/>
  <c r="D13" i="6"/>
  <c r="E13" i="6" s="1"/>
  <c r="D12" i="6"/>
  <c r="F12" i="6" s="1"/>
  <c r="D11" i="6"/>
  <c r="F11" i="6" s="1"/>
  <c r="D10" i="6"/>
  <c r="F10" i="6" s="1"/>
  <c r="D9" i="6"/>
  <c r="G67" i="27" l="1"/>
  <c r="G64" i="30"/>
  <c r="C73" i="27"/>
  <c r="D73" i="27" s="1"/>
  <c r="E73" i="27" s="1"/>
  <c r="G63" i="30"/>
  <c r="G62" i="30"/>
  <c r="E44" i="31"/>
  <c r="F43" i="31"/>
  <c r="F44" i="31" s="1"/>
  <c r="C85" i="31" s="1"/>
  <c r="E19" i="29"/>
  <c r="D32" i="29"/>
  <c r="C159" i="55"/>
  <c r="C160" i="55" s="1"/>
  <c r="C96" i="55"/>
  <c r="A605" i="55"/>
  <c r="A611" i="55" s="1"/>
  <c r="A617" i="55" s="1"/>
  <c r="F71" i="28"/>
  <c r="I71" i="28" s="1"/>
  <c r="L112" i="31"/>
  <c r="C450" i="55"/>
  <c r="E49" i="19"/>
  <c r="F49" i="19"/>
  <c r="E32" i="18"/>
  <c r="F32" i="18"/>
  <c r="E40" i="18"/>
  <c r="F40" i="18"/>
  <c r="E58" i="18"/>
  <c r="E50" i="19"/>
  <c r="F50" i="19"/>
  <c r="E14" i="18"/>
  <c r="F14" i="18"/>
  <c r="E31" i="18"/>
  <c r="F31" i="18"/>
  <c r="E33" i="18"/>
  <c r="F33" i="18"/>
  <c r="E41" i="18"/>
  <c r="F41" i="18"/>
  <c r="E59" i="18"/>
  <c r="F59" i="18"/>
  <c r="E38" i="18"/>
  <c r="F38" i="18"/>
  <c r="E17" i="18"/>
  <c r="F17" i="18"/>
  <c r="E34" i="18"/>
  <c r="F34" i="18"/>
  <c r="E30" i="18"/>
  <c r="F30" i="18"/>
  <c r="E54" i="18"/>
  <c r="F54" i="18"/>
  <c r="D72" i="8"/>
  <c r="E72" i="8"/>
  <c r="E39" i="18"/>
  <c r="F39" i="18"/>
  <c r="E43" i="18"/>
  <c r="F43" i="18"/>
  <c r="E53" i="19"/>
  <c r="F53" i="19"/>
  <c r="E29" i="18"/>
  <c r="F29" i="18"/>
  <c r="E28" i="18"/>
  <c r="F28" i="18"/>
  <c r="F21" i="31"/>
  <c r="K96" i="31" s="1"/>
  <c r="E42" i="18"/>
  <c r="F42" i="18"/>
  <c r="E53" i="18"/>
  <c r="F53" i="18"/>
  <c r="C367" i="55"/>
  <c r="C368" i="55" s="1"/>
  <c r="D58" i="31"/>
  <c r="G58" i="31" s="1"/>
  <c r="E141" i="31"/>
  <c r="F56" i="31"/>
  <c r="E9" i="18"/>
  <c r="D62" i="18"/>
  <c r="D71" i="18" s="1"/>
  <c r="D73" i="18" s="1"/>
  <c r="M120" i="31"/>
  <c r="M112" i="31" s="1"/>
  <c r="C72" i="55"/>
  <c r="E49" i="18"/>
  <c r="E58" i="6"/>
  <c r="E33" i="19"/>
  <c r="F33" i="19"/>
  <c r="E38" i="14"/>
  <c r="F38" i="14"/>
  <c r="E50" i="18"/>
  <c r="E51" i="18"/>
  <c r="E57" i="6"/>
  <c r="F57" i="6"/>
  <c r="E24" i="19"/>
  <c r="F24" i="19"/>
  <c r="E60" i="6"/>
  <c r="F60" i="6"/>
  <c r="E39" i="14"/>
  <c r="F39" i="14"/>
  <c r="C41" i="29"/>
  <c r="C43" i="29" s="1"/>
  <c r="F80" i="29" s="1"/>
  <c r="E41" i="14"/>
  <c r="F41" i="14"/>
  <c r="F21" i="19"/>
  <c r="E21" i="19"/>
  <c r="E29" i="19"/>
  <c r="F29" i="19"/>
  <c r="E19" i="19"/>
  <c r="F19" i="19"/>
  <c r="E20" i="19"/>
  <c r="F20" i="19"/>
  <c r="E56" i="6"/>
  <c r="F56" i="6"/>
  <c r="E16" i="23"/>
  <c r="F16" i="23"/>
  <c r="D72" i="14"/>
  <c r="E72" i="19"/>
  <c r="E72" i="23"/>
  <c r="D72" i="23"/>
  <c r="H81" i="22"/>
  <c r="D18" i="48"/>
  <c r="C15" i="48" s="1"/>
  <c r="C72" i="9"/>
  <c r="D72" i="9" s="1"/>
  <c r="C225" i="55"/>
  <c r="E32" i="20"/>
  <c r="D330" i="55"/>
  <c r="C8" i="43"/>
  <c r="D42" i="55" s="1"/>
  <c r="C40" i="55" s="1"/>
  <c r="C223" i="55"/>
  <c r="C224" i="55" s="1"/>
  <c r="E35" i="13"/>
  <c r="D138" i="55"/>
  <c r="E34" i="20"/>
  <c r="C8" i="41"/>
  <c r="D266" i="55" s="1"/>
  <c r="F56" i="27"/>
  <c r="D91" i="11"/>
  <c r="E82" i="11" s="1"/>
  <c r="H82" i="11" s="1"/>
  <c r="D170" i="55"/>
  <c r="C209" i="55"/>
  <c r="C15" i="51"/>
  <c r="C16" i="51"/>
  <c r="E9" i="27"/>
  <c r="G92" i="10"/>
  <c r="E82" i="10"/>
  <c r="H82" i="10" s="1"/>
  <c r="H83" i="30"/>
  <c r="F30" i="21"/>
  <c r="E68" i="28"/>
  <c r="D464" i="55" s="1"/>
  <c r="D59" i="12"/>
  <c r="F59" i="12" s="1"/>
  <c r="C60" i="30"/>
  <c r="J58" i="30" s="1"/>
  <c r="E14" i="21"/>
  <c r="E65" i="8"/>
  <c r="D56" i="12"/>
  <c r="E56" i="12" s="1"/>
  <c r="C57" i="30"/>
  <c r="I57" i="30" s="1"/>
  <c r="M57" i="30" s="1"/>
  <c r="D93" i="57"/>
  <c r="E46" i="7"/>
  <c r="F10" i="17"/>
  <c r="E29" i="23"/>
  <c r="F65" i="6"/>
  <c r="F52" i="56"/>
  <c r="E65" i="57"/>
  <c r="F34" i="62"/>
  <c r="P113" i="31"/>
  <c r="G43" i="31"/>
  <c r="I41" i="30"/>
  <c r="M41" i="30" s="1"/>
  <c r="V58" i="30"/>
  <c r="F13" i="8"/>
  <c r="E29" i="14"/>
  <c r="E16" i="19"/>
  <c r="F16" i="20"/>
  <c r="E22" i="21"/>
  <c r="F58" i="21"/>
  <c r="F34" i="57"/>
  <c r="S11" i="30"/>
  <c r="F43" i="7"/>
  <c r="E64" i="7"/>
  <c r="E35" i="11"/>
  <c r="F42" i="11"/>
  <c r="E32" i="19"/>
  <c r="E34" i="27"/>
  <c r="E65" i="62"/>
  <c r="E27" i="63"/>
  <c r="F57" i="28"/>
  <c r="F59" i="28" s="1"/>
  <c r="F61" i="28" s="1"/>
  <c r="F13" i="62"/>
  <c r="F32" i="7"/>
  <c r="E34" i="8"/>
  <c r="E51" i="11"/>
  <c r="E48" i="21"/>
  <c r="F30" i="27"/>
  <c r="D395" i="55"/>
  <c r="F22" i="6"/>
  <c r="D10" i="35"/>
  <c r="F45" i="11"/>
  <c r="E15" i="62"/>
  <c r="F24" i="63"/>
  <c r="F59" i="22"/>
  <c r="F18" i="9"/>
  <c r="N135" i="31"/>
  <c r="N102" i="31" s="1"/>
  <c r="O113" i="31"/>
  <c r="F83" i="11"/>
  <c r="I83" i="11" s="1"/>
  <c r="E23" i="6"/>
  <c r="E13" i="7"/>
  <c r="F23" i="7"/>
  <c r="E10" i="9"/>
  <c r="E51" i="9"/>
  <c r="E9" i="10"/>
  <c r="E31" i="10"/>
  <c r="F34" i="10"/>
  <c r="E37" i="10"/>
  <c r="D92" i="10"/>
  <c r="E23" i="11"/>
  <c r="F33" i="11"/>
  <c r="F16" i="12"/>
  <c r="E18" i="12"/>
  <c r="E47" i="12"/>
  <c r="E65" i="12"/>
  <c r="E28" i="17"/>
  <c r="E10" i="18"/>
  <c r="E40" i="19"/>
  <c r="F65" i="19"/>
  <c r="F22" i="63"/>
  <c r="M31" i="30"/>
  <c r="E65" i="7"/>
  <c r="D92" i="7"/>
  <c r="E82" i="7" s="1"/>
  <c r="H82" i="7" s="1"/>
  <c r="F45" i="9"/>
  <c r="E13" i="10"/>
  <c r="F13" i="11"/>
  <c r="E32" i="13"/>
  <c r="E65" i="14"/>
  <c r="F32" i="16"/>
  <c r="E43" i="17"/>
  <c r="F54" i="17"/>
  <c r="E28" i="19"/>
  <c r="E17" i="20"/>
  <c r="F23" i="20"/>
  <c r="D93" i="20"/>
  <c r="F15" i="21"/>
  <c r="F17" i="21"/>
  <c r="F25" i="21"/>
  <c r="F43" i="21"/>
  <c r="E64" i="21"/>
  <c r="F17" i="22"/>
  <c r="F58" i="22"/>
  <c r="E25" i="23"/>
  <c r="E47" i="57"/>
  <c r="E14" i="27"/>
  <c r="E22" i="27"/>
  <c r="F12" i="62"/>
  <c r="E40" i="62"/>
  <c r="S12" i="30"/>
  <c r="M19" i="30"/>
  <c r="M29" i="30"/>
  <c r="C63" i="30"/>
  <c r="T63" i="30" s="1"/>
  <c r="G92" i="14"/>
  <c r="D83" i="57"/>
  <c r="D82" i="63"/>
  <c r="D83" i="63" s="1"/>
  <c r="G83" i="63" s="1"/>
  <c r="C583" i="55"/>
  <c r="D585" i="55" s="1"/>
  <c r="E62" i="20"/>
  <c r="E51" i="24"/>
  <c r="F28" i="57"/>
  <c r="E9" i="62"/>
  <c r="F16" i="62"/>
  <c r="M40" i="30"/>
  <c r="E41" i="12"/>
  <c r="F41" i="13"/>
  <c r="D62" i="13"/>
  <c r="D71" i="13" s="1"/>
  <c r="E13" i="16"/>
  <c r="E18" i="16"/>
  <c r="F30" i="16"/>
  <c r="D83" i="11"/>
  <c r="G83" i="11" s="1"/>
  <c r="G82" i="11"/>
  <c r="K58" i="31"/>
  <c r="H58" i="31"/>
  <c r="F18" i="6"/>
  <c r="D61" i="12"/>
  <c r="E61" i="12" s="1"/>
  <c r="F39" i="16"/>
  <c r="E65" i="17"/>
  <c r="E25" i="18"/>
  <c r="F35" i="19"/>
  <c r="F27" i="23"/>
  <c r="D93" i="9"/>
  <c r="I82" i="17"/>
  <c r="F83" i="57"/>
  <c r="F84" i="30" s="1"/>
  <c r="F85" i="30" s="1"/>
  <c r="E27" i="27"/>
  <c r="E16" i="63"/>
  <c r="F28" i="63"/>
  <c r="D78" i="31"/>
  <c r="F59" i="17"/>
  <c r="E39" i="20"/>
  <c r="F39" i="7"/>
  <c r="F52" i="8"/>
  <c r="F42" i="10"/>
  <c r="F64" i="10"/>
  <c r="E56" i="11"/>
  <c r="F17" i="12"/>
  <c r="F28" i="13"/>
  <c r="F58" i="14"/>
  <c r="F9" i="16"/>
  <c r="E34" i="16"/>
  <c r="F27" i="17"/>
  <c r="E46" i="18"/>
  <c r="E24" i="20"/>
  <c r="E35" i="20"/>
  <c r="E18" i="21"/>
  <c r="F44" i="21"/>
  <c r="E56" i="21"/>
  <c r="F65" i="21"/>
  <c r="E11" i="57"/>
  <c r="F31" i="57"/>
  <c r="E35" i="57"/>
  <c r="E57" i="57"/>
  <c r="F23" i="27"/>
  <c r="F65" i="27"/>
  <c r="D83" i="27"/>
  <c r="G83" i="27" s="1"/>
  <c r="E26" i="62"/>
  <c r="F37" i="62"/>
  <c r="F42" i="62"/>
  <c r="E13" i="63"/>
  <c r="F25" i="63"/>
  <c r="F30" i="63"/>
  <c r="I59" i="31"/>
  <c r="F77" i="31"/>
  <c r="I82" i="13"/>
  <c r="I83" i="13" s="1"/>
  <c r="E54" i="16"/>
  <c r="E41" i="19"/>
  <c r="F64" i="19"/>
  <c r="F25" i="57"/>
  <c r="E41" i="57"/>
  <c r="F50" i="7"/>
  <c r="F9" i="7"/>
  <c r="E34" i="7"/>
  <c r="E37" i="9"/>
  <c r="E58" i="9"/>
  <c r="F64" i="9"/>
  <c r="D91" i="8"/>
  <c r="E25" i="10"/>
  <c r="F38" i="10"/>
  <c r="E54" i="10"/>
  <c r="E56" i="13"/>
  <c r="E40" i="17"/>
  <c r="E51" i="19"/>
  <c r="E10" i="21"/>
  <c r="E35" i="21"/>
  <c r="F40" i="21"/>
  <c r="F51" i="21"/>
  <c r="E35" i="23"/>
  <c r="F22" i="24"/>
  <c r="E36" i="24"/>
  <c r="E64" i="24"/>
  <c r="H81" i="63"/>
  <c r="C78" i="31"/>
  <c r="D110" i="31" s="1"/>
  <c r="E27" i="10"/>
  <c r="E47" i="13"/>
  <c r="D95" i="21"/>
  <c r="E32" i="57"/>
  <c r="F66" i="27"/>
  <c r="E27" i="62"/>
  <c r="F31" i="63"/>
  <c r="E36" i="63"/>
  <c r="E56" i="63"/>
  <c r="I70" i="28"/>
  <c r="F34" i="29"/>
  <c r="F23" i="9"/>
  <c r="F28" i="16"/>
  <c r="F13" i="24"/>
  <c r="F34" i="63"/>
  <c r="F47" i="63"/>
  <c r="E13" i="9"/>
  <c r="E26" i="9"/>
  <c r="F28" i="8"/>
  <c r="E23" i="10"/>
  <c r="E39" i="10"/>
  <c r="E56" i="10"/>
  <c r="E65" i="10"/>
  <c r="F21" i="11"/>
  <c r="E39" i="12"/>
  <c r="E11" i="16"/>
  <c r="F17" i="16"/>
  <c r="E36" i="16"/>
  <c r="E65" i="16"/>
  <c r="F23" i="17"/>
  <c r="F48" i="17"/>
  <c r="E9" i="20"/>
  <c r="F26" i="20"/>
  <c r="F36" i="20"/>
  <c r="F41" i="20"/>
  <c r="F54" i="20"/>
  <c r="E36" i="21"/>
  <c r="F52" i="21"/>
  <c r="F9" i="22"/>
  <c r="E64" i="22"/>
  <c r="F17" i="23"/>
  <c r="F12" i="27"/>
  <c r="S13" i="30"/>
  <c r="M20" i="30"/>
  <c r="V61" i="30"/>
  <c r="F36" i="9"/>
  <c r="E46" i="8"/>
  <c r="E34" i="21"/>
  <c r="F17" i="57"/>
  <c r="F28" i="7"/>
  <c r="R27" i="10"/>
  <c r="R28" i="10" s="1"/>
  <c r="E31" i="7"/>
  <c r="E26" i="10"/>
  <c r="E45" i="10"/>
  <c r="E51" i="10"/>
  <c r="E45" i="12"/>
  <c r="F64" i="12"/>
  <c r="F52" i="16"/>
  <c r="E37" i="17"/>
  <c r="F9" i="18"/>
  <c r="E49" i="20"/>
  <c r="E61" i="20"/>
  <c r="D92" i="22"/>
  <c r="E82" i="22" s="1"/>
  <c r="H82" i="22" s="1"/>
  <c r="E59" i="25"/>
  <c r="F56" i="25"/>
  <c r="D91" i="25"/>
  <c r="F25" i="25"/>
  <c r="F34" i="25"/>
  <c r="E65" i="25"/>
  <c r="E64" i="25"/>
  <c r="D106" i="55"/>
  <c r="C104" i="55" s="1"/>
  <c r="E39" i="57"/>
  <c r="F41" i="27"/>
  <c r="E38" i="27"/>
  <c r="E29" i="27"/>
  <c r="E17" i="24"/>
  <c r="E31" i="23"/>
  <c r="E41" i="16"/>
  <c r="E29" i="16"/>
  <c r="F20" i="16"/>
  <c r="E31" i="56"/>
  <c r="E29" i="56"/>
  <c r="E30" i="13"/>
  <c r="E65" i="13"/>
  <c r="E9" i="13"/>
  <c r="E34" i="13"/>
  <c r="E19" i="13"/>
  <c r="E42" i="13"/>
  <c r="F38" i="11"/>
  <c r="E29" i="11"/>
  <c r="F38" i="25"/>
  <c r="F44" i="6"/>
  <c r="F38" i="6"/>
  <c r="E38" i="21"/>
  <c r="E15" i="12"/>
  <c r="E42" i="7"/>
  <c r="C16" i="33"/>
  <c r="F50" i="20"/>
  <c r="F29" i="20"/>
  <c r="E11" i="20"/>
  <c r="F11" i="17"/>
  <c r="G70" i="28"/>
  <c r="E45" i="63"/>
  <c r="E18" i="63"/>
  <c r="F23" i="63"/>
  <c r="E26" i="63"/>
  <c r="E29" i="63"/>
  <c r="E32" i="63"/>
  <c r="E35" i="63"/>
  <c r="D10" i="65"/>
  <c r="E83" i="63"/>
  <c r="H83" i="63" s="1"/>
  <c r="F25" i="62"/>
  <c r="F28" i="62"/>
  <c r="F45" i="62"/>
  <c r="F22" i="62"/>
  <c r="E30" i="62"/>
  <c r="E38" i="62"/>
  <c r="F24" i="62"/>
  <c r="E31" i="62"/>
  <c r="F35" i="62"/>
  <c r="E39" i="62"/>
  <c r="F43" i="62"/>
  <c r="E83" i="62"/>
  <c r="H83" i="62" s="1"/>
  <c r="F39" i="27"/>
  <c r="F32" i="27"/>
  <c r="E37" i="27"/>
  <c r="E40" i="27"/>
  <c r="F17" i="27"/>
  <c r="F46" i="27"/>
  <c r="E18" i="27"/>
  <c r="F42" i="27"/>
  <c r="F13" i="57"/>
  <c r="F26" i="57"/>
  <c r="E29" i="57"/>
  <c r="F44" i="57"/>
  <c r="E27" i="57"/>
  <c r="F23" i="57"/>
  <c r="E24" i="57"/>
  <c r="E30" i="57"/>
  <c r="F33" i="57"/>
  <c r="E36" i="57"/>
  <c r="F66" i="57"/>
  <c r="F14" i="57"/>
  <c r="E22" i="57"/>
  <c r="F48" i="57"/>
  <c r="F22" i="25"/>
  <c r="F28" i="25"/>
  <c r="F46" i="25"/>
  <c r="F47" i="25"/>
  <c r="F17" i="25"/>
  <c r="F30" i="25"/>
  <c r="E35" i="25"/>
  <c r="E31" i="25"/>
  <c r="F13" i="25"/>
  <c r="F50" i="25"/>
  <c r="E40" i="25"/>
  <c r="E44" i="25"/>
  <c r="F14" i="25"/>
  <c r="F18" i="25"/>
  <c r="E23" i="25"/>
  <c r="E26" i="25"/>
  <c r="E29" i="25"/>
  <c r="E32" i="25"/>
  <c r="E48" i="25"/>
  <c r="F11" i="25"/>
  <c r="E37" i="25"/>
  <c r="E58" i="25"/>
  <c r="E74" i="25"/>
  <c r="C8" i="51" s="1"/>
  <c r="E15" i="25"/>
  <c r="F19" i="25"/>
  <c r="E41" i="25"/>
  <c r="E49" i="25"/>
  <c r="F12" i="25"/>
  <c r="E24" i="25"/>
  <c r="F27" i="25"/>
  <c r="E23" i="24"/>
  <c r="E28" i="24"/>
  <c r="F47" i="24"/>
  <c r="F37" i="24"/>
  <c r="F44" i="24"/>
  <c r="E82" i="24"/>
  <c r="H82" i="24" s="1"/>
  <c r="D83" i="24"/>
  <c r="G83" i="24" s="1"/>
  <c r="G82" i="24"/>
  <c r="F45" i="24"/>
  <c r="E10" i="24"/>
  <c r="F18" i="24"/>
  <c r="E32" i="24"/>
  <c r="E42" i="24"/>
  <c r="F65" i="24"/>
  <c r="E56" i="24"/>
  <c r="E12" i="24"/>
  <c r="F16" i="24"/>
  <c r="E29" i="24"/>
  <c r="E34" i="24"/>
  <c r="E48" i="24"/>
  <c r="D95" i="24"/>
  <c r="E28" i="23"/>
  <c r="E32" i="23"/>
  <c r="E36" i="23"/>
  <c r="F48" i="23"/>
  <c r="E10" i="23"/>
  <c r="E34" i="23"/>
  <c r="E51" i="23"/>
  <c r="F23" i="23"/>
  <c r="E65" i="23"/>
  <c r="E9" i="23"/>
  <c r="D96" i="23"/>
  <c r="H96" i="23" s="1"/>
  <c r="E64" i="23"/>
  <c r="F59" i="23"/>
  <c r="E13" i="23"/>
  <c r="E18" i="23"/>
  <c r="E22" i="23"/>
  <c r="F38" i="22"/>
  <c r="F44" i="22"/>
  <c r="F39" i="22"/>
  <c r="F26" i="22"/>
  <c r="E19" i="22"/>
  <c r="E34" i="22"/>
  <c r="E29" i="22"/>
  <c r="F45" i="22"/>
  <c r="E12" i="22"/>
  <c r="F42" i="22"/>
  <c r="E47" i="22"/>
  <c r="E52" i="22"/>
  <c r="F48" i="22"/>
  <c r="E53" i="22"/>
  <c r="E11" i="22"/>
  <c r="E24" i="22"/>
  <c r="C42" i="30"/>
  <c r="I42" i="30" s="1"/>
  <c r="M42" i="30" s="1"/>
  <c r="F15" i="22"/>
  <c r="F28" i="22"/>
  <c r="E40" i="22"/>
  <c r="E46" i="22"/>
  <c r="E20" i="22"/>
  <c r="F32" i="22"/>
  <c r="E51" i="22"/>
  <c r="E65" i="22"/>
  <c r="F36" i="22"/>
  <c r="C62" i="22"/>
  <c r="G65" i="22" s="1"/>
  <c r="E31" i="22"/>
  <c r="F10" i="22"/>
  <c r="E13" i="22"/>
  <c r="E23" i="22"/>
  <c r="F27" i="22"/>
  <c r="E30" i="22"/>
  <c r="F13" i="21"/>
  <c r="E19" i="21"/>
  <c r="E27" i="21"/>
  <c r="E32" i="21"/>
  <c r="E39" i="21"/>
  <c r="E20" i="21"/>
  <c r="F29" i="21"/>
  <c r="E45" i="21"/>
  <c r="E19" i="20"/>
  <c r="E13" i="20"/>
  <c r="E20" i="20"/>
  <c r="E31" i="20"/>
  <c r="E42" i="20"/>
  <c r="F47" i="20"/>
  <c r="E10" i="20"/>
  <c r="E28" i="20"/>
  <c r="F14" i="20"/>
  <c r="E25" i="20"/>
  <c r="E43" i="20"/>
  <c r="E18" i="20"/>
  <c r="F22" i="20"/>
  <c r="E36" i="19"/>
  <c r="F52" i="19"/>
  <c r="E17" i="19"/>
  <c r="E25" i="19"/>
  <c r="E15" i="19"/>
  <c r="F18" i="19"/>
  <c r="E22" i="19"/>
  <c r="E26" i="19"/>
  <c r="E34" i="19"/>
  <c r="E31" i="19"/>
  <c r="E56" i="19"/>
  <c r="E23" i="19"/>
  <c r="D72" i="19"/>
  <c r="D83" i="19"/>
  <c r="E18" i="18"/>
  <c r="E52" i="18"/>
  <c r="E48" i="18"/>
  <c r="D93" i="18"/>
  <c r="E83" i="18" s="1"/>
  <c r="H83" i="18" s="1"/>
  <c r="E56" i="18"/>
  <c r="E47" i="18"/>
  <c r="E19" i="18"/>
  <c r="E37" i="18"/>
  <c r="E44" i="18"/>
  <c r="C62" i="18"/>
  <c r="G65" i="18" s="1"/>
  <c r="E12" i="18"/>
  <c r="E20" i="18"/>
  <c r="E13" i="18"/>
  <c r="F64" i="18"/>
  <c r="E82" i="17"/>
  <c r="H82" i="17" s="1"/>
  <c r="D83" i="17"/>
  <c r="G83" i="17" s="1"/>
  <c r="D72" i="17"/>
  <c r="F12" i="17"/>
  <c r="F18" i="17"/>
  <c r="E13" i="17"/>
  <c r="E51" i="17"/>
  <c r="E64" i="17"/>
  <c r="E36" i="17"/>
  <c r="F25" i="17"/>
  <c r="E29" i="17"/>
  <c r="F33" i="17"/>
  <c r="F44" i="17"/>
  <c r="E15" i="17"/>
  <c r="F26" i="17"/>
  <c r="E41" i="17"/>
  <c r="E30" i="17"/>
  <c r="F35" i="17"/>
  <c r="H81" i="17"/>
  <c r="E16" i="16"/>
  <c r="F27" i="16"/>
  <c r="E31" i="16"/>
  <c r="F35" i="16"/>
  <c r="E40" i="16"/>
  <c r="F46" i="16"/>
  <c r="F53" i="16"/>
  <c r="E56" i="16"/>
  <c r="E25" i="16"/>
  <c r="F43" i="16"/>
  <c r="E48" i="16"/>
  <c r="D38" i="16"/>
  <c r="E38" i="16" s="1"/>
  <c r="E42" i="16"/>
  <c r="E20" i="56"/>
  <c r="E41" i="56"/>
  <c r="F42" i="56"/>
  <c r="F19" i="56"/>
  <c r="E58" i="56"/>
  <c r="E26" i="56"/>
  <c r="F26" i="56"/>
  <c r="E17" i="56"/>
  <c r="F24" i="56"/>
  <c r="D28" i="56"/>
  <c r="F35" i="56"/>
  <c r="E40" i="56"/>
  <c r="F65" i="56"/>
  <c r="D92" i="56"/>
  <c r="E18" i="56"/>
  <c r="F22" i="56"/>
  <c r="F37" i="56"/>
  <c r="F27" i="56"/>
  <c r="E56" i="56"/>
  <c r="E64" i="56"/>
  <c r="F31" i="14"/>
  <c r="F37" i="14"/>
  <c r="F45" i="14"/>
  <c r="E51" i="14"/>
  <c r="E42" i="14"/>
  <c r="E40" i="14"/>
  <c r="E56" i="14"/>
  <c r="D92" i="14"/>
  <c r="E82" i="14"/>
  <c r="H82" i="14" s="1"/>
  <c r="G82" i="14"/>
  <c r="D83" i="14"/>
  <c r="G83" i="14" s="1"/>
  <c r="E16" i="13"/>
  <c r="E31" i="13"/>
  <c r="E39" i="13"/>
  <c r="E51" i="13"/>
  <c r="E11" i="13"/>
  <c r="E20" i="13"/>
  <c r="E43" i="13"/>
  <c r="F48" i="13"/>
  <c r="F13" i="13"/>
  <c r="E18" i="13"/>
  <c r="E41" i="13"/>
  <c r="D99" i="13"/>
  <c r="H81" i="13"/>
  <c r="E12" i="12"/>
  <c r="E19" i="12"/>
  <c r="E40" i="12"/>
  <c r="E44" i="12"/>
  <c r="G82" i="12"/>
  <c r="E82" i="12"/>
  <c r="H82" i="12" s="1"/>
  <c r="D83" i="12"/>
  <c r="G83" i="12" s="1"/>
  <c r="D91" i="12"/>
  <c r="E22" i="11"/>
  <c r="E32" i="11"/>
  <c r="E48" i="11"/>
  <c r="E14" i="11"/>
  <c r="F18" i="11"/>
  <c r="E36" i="11"/>
  <c r="E39" i="11"/>
  <c r="E58" i="11"/>
  <c r="F10" i="11"/>
  <c r="F52" i="11"/>
  <c r="E15" i="11"/>
  <c r="E37" i="11"/>
  <c r="E41" i="11"/>
  <c r="E46" i="10"/>
  <c r="E52" i="10"/>
  <c r="H81" i="8"/>
  <c r="D63" i="8"/>
  <c r="D71" i="8" s="1"/>
  <c r="E16" i="8"/>
  <c r="E22" i="8"/>
  <c r="E27" i="8"/>
  <c r="E31" i="8"/>
  <c r="E82" i="9"/>
  <c r="H82" i="9" s="1"/>
  <c r="G82" i="9"/>
  <c r="F22" i="9"/>
  <c r="F30" i="9"/>
  <c r="E14" i="9"/>
  <c r="E44" i="9"/>
  <c r="E25" i="9"/>
  <c r="E24" i="7"/>
  <c r="D20" i="30"/>
  <c r="E20" i="30" s="1"/>
  <c r="E12" i="7"/>
  <c r="E35" i="7"/>
  <c r="F17" i="7"/>
  <c r="E82" i="6"/>
  <c r="H82" i="6" s="1"/>
  <c r="G82" i="6"/>
  <c r="D83" i="6"/>
  <c r="G83" i="6" s="1"/>
  <c r="D96" i="6"/>
  <c r="E10" i="6"/>
  <c r="F25" i="6"/>
  <c r="F30" i="6"/>
  <c r="F34" i="6"/>
  <c r="F43" i="6"/>
  <c r="E41" i="6"/>
  <c r="E11" i="6"/>
  <c r="E26" i="6"/>
  <c r="E33" i="6"/>
  <c r="D31" i="30"/>
  <c r="F31" i="30" s="1"/>
  <c r="F83" i="6"/>
  <c r="I83" i="6" s="1"/>
  <c r="I82" i="6"/>
  <c r="E82" i="8"/>
  <c r="D83" i="8"/>
  <c r="G83" i="8" s="1"/>
  <c r="G82" i="8"/>
  <c r="E25" i="56"/>
  <c r="F25" i="56"/>
  <c r="I82" i="7"/>
  <c r="F83" i="7"/>
  <c r="I83" i="7" s="1"/>
  <c r="E14" i="14"/>
  <c r="F14" i="14"/>
  <c r="E72" i="10"/>
  <c r="E12" i="14"/>
  <c r="F12" i="14"/>
  <c r="C10" i="30"/>
  <c r="D10" i="14"/>
  <c r="D19" i="45"/>
  <c r="C17" i="45" s="1"/>
  <c r="H82" i="19"/>
  <c r="F26" i="12"/>
  <c r="E26" i="12"/>
  <c r="F29" i="62"/>
  <c r="E29" i="62"/>
  <c r="E48" i="6"/>
  <c r="F12" i="13"/>
  <c r="E12" i="13"/>
  <c r="E37" i="13"/>
  <c r="E59" i="13"/>
  <c r="F28" i="14"/>
  <c r="F35" i="14"/>
  <c r="E48" i="14"/>
  <c r="D47" i="16"/>
  <c r="E47" i="16" s="1"/>
  <c r="C62" i="16"/>
  <c r="E27" i="18"/>
  <c r="E51" i="20"/>
  <c r="F51" i="20"/>
  <c r="E41" i="63"/>
  <c r="F41" i="63"/>
  <c r="F13" i="6"/>
  <c r="F16" i="6"/>
  <c r="F28" i="6"/>
  <c r="E31" i="6"/>
  <c r="F36" i="6"/>
  <c r="E39" i="6"/>
  <c r="F46" i="6"/>
  <c r="E51" i="6"/>
  <c r="E54" i="6"/>
  <c r="E10" i="7"/>
  <c r="F15" i="7"/>
  <c r="E18" i="7"/>
  <c r="E21" i="7"/>
  <c r="F26" i="7"/>
  <c r="E29" i="7"/>
  <c r="F37" i="7"/>
  <c r="E40" i="7"/>
  <c r="F48" i="7"/>
  <c r="E51" i="7"/>
  <c r="D58" i="7"/>
  <c r="E58" i="7" s="1"/>
  <c r="D72" i="7"/>
  <c r="E11" i="9"/>
  <c r="F16" i="9"/>
  <c r="E19" i="9"/>
  <c r="F28" i="9"/>
  <c r="E31" i="9"/>
  <c r="E34" i="9"/>
  <c r="F39" i="9"/>
  <c r="F47" i="9"/>
  <c r="E59" i="9"/>
  <c r="E65" i="9"/>
  <c r="E11" i="8"/>
  <c r="E14" i="8"/>
  <c r="F36" i="8"/>
  <c r="E47" i="8"/>
  <c r="E50" i="8"/>
  <c r="E66" i="8"/>
  <c r="E10" i="10"/>
  <c r="E12" i="10"/>
  <c r="F16" i="10"/>
  <c r="F18" i="10"/>
  <c r="F29" i="10"/>
  <c r="E32" i="10"/>
  <c r="E35" i="10"/>
  <c r="F40" i="10"/>
  <c r="F48" i="10"/>
  <c r="F59" i="10"/>
  <c r="G82" i="10"/>
  <c r="E11" i="11"/>
  <c r="F16" i="11"/>
  <c r="E19" i="11"/>
  <c r="F24" i="11"/>
  <c r="F27" i="11"/>
  <c r="F30" i="11"/>
  <c r="E40" i="11"/>
  <c r="E43" i="11"/>
  <c r="F46" i="11"/>
  <c r="D18" i="37"/>
  <c r="C16" i="37" s="1"/>
  <c r="H81" i="11"/>
  <c r="F10" i="12"/>
  <c r="D13" i="12"/>
  <c r="C21" i="30"/>
  <c r="D27" i="12"/>
  <c r="F30" i="12"/>
  <c r="E30" i="12"/>
  <c r="F38" i="12"/>
  <c r="D52" i="12"/>
  <c r="F17" i="13"/>
  <c r="F27" i="13"/>
  <c r="E27" i="13"/>
  <c r="F38" i="13"/>
  <c r="E38" i="13"/>
  <c r="E45" i="13"/>
  <c r="F48" i="56"/>
  <c r="E48" i="56"/>
  <c r="F56" i="17"/>
  <c r="E22" i="18"/>
  <c r="F23" i="16"/>
  <c r="E23" i="16"/>
  <c r="F12" i="20"/>
  <c r="E12" i="20"/>
  <c r="F31" i="27"/>
  <c r="E31" i="27"/>
  <c r="D59" i="30"/>
  <c r="T59" i="30"/>
  <c r="E10" i="12"/>
  <c r="C47" i="30"/>
  <c r="G82" i="7"/>
  <c r="C23" i="35"/>
  <c r="C22" i="35" s="1"/>
  <c r="D114" i="55" s="1"/>
  <c r="C111" i="55" s="1"/>
  <c r="C112" i="55" s="1"/>
  <c r="F36" i="14"/>
  <c r="E36" i="14"/>
  <c r="E36" i="56"/>
  <c r="F36" i="56"/>
  <c r="D25" i="41"/>
  <c r="C23" i="41" s="1"/>
  <c r="C22" i="41" s="1"/>
  <c r="D274" i="55" s="1"/>
  <c r="C271" i="55" s="1"/>
  <c r="C272" i="55" s="1"/>
  <c r="H81" i="56"/>
  <c r="G90" i="16"/>
  <c r="D62" i="10"/>
  <c r="D71" i="10" s="1"/>
  <c r="D18" i="40"/>
  <c r="C16" i="40" s="1"/>
  <c r="H81" i="14"/>
  <c r="D63" i="20"/>
  <c r="D71" i="20" s="1"/>
  <c r="F10" i="27"/>
  <c r="E10" i="27"/>
  <c r="C48" i="30"/>
  <c r="D48" i="12"/>
  <c r="D18" i="38"/>
  <c r="C16" i="38" s="1"/>
  <c r="H81" i="12"/>
  <c r="F46" i="13"/>
  <c r="E46" i="13"/>
  <c r="E37" i="6"/>
  <c r="E49" i="7"/>
  <c r="E9" i="9"/>
  <c r="E17" i="9"/>
  <c r="E29" i="9"/>
  <c r="E48" i="9"/>
  <c r="E12" i="8"/>
  <c r="E18" i="8"/>
  <c r="E37" i="8"/>
  <c r="E60" i="8"/>
  <c r="E22" i="10"/>
  <c r="E30" i="10"/>
  <c r="E41" i="10"/>
  <c r="E9" i="11"/>
  <c r="E17" i="11"/>
  <c r="E25" i="11"/>
  <c r="E28" i="11"/>
  <c r="E31" i="11"/>
  <c r="F34" i="11"/>
  <c r="E44" i="11"/>
  <c r="D47" i="11"/>
  <c r="E47" i="11" s="1"/>
  <c r="E59" i="11"/>
  <c r="D72" i="11"/>
  <c r="D11" i="12"/>
  <c r="F21" i="12"/>
  <c r="I28" i="30"/>
  <c r="M28" i="30" s="1"/>
  <c r="D28" i="30"/>
  <c r="E28" i="30" s="1"/>
  <c r="E31" i="12"/>
  <c r="I43" i="30"/>
  <c r="M43" i="30" s="1"/>
  <c r="D43" i="30"/>
  <c r="E43" i="30" s="1"/>
  <c r="C46" i="30"/>
  <c r="D46" i="12"/>
  <c r="G82" i="13"/>
  <c r="G83" i="13" s="1"/>
  <c r="E82" i="13"/>
  <c r="H82" i="13" s="1"/>
  <c r="F18" i="14"/>
  <c r="F26" i="14"/>
  <c r="F46" i="14"/>
  <c r="E15" i="56"/>
  <c r="F45" i="56"/>
  <c r="G81" i="56"/>
  <c r="F10" i="16"/>
  <c r="F15" i="16"/>
  <c r="E15" i="16"/>
  <c r="E72" i="16"/>
  <c r="D72" i="16"/>
  <c r="F34" i="17"/>
  <c r="F21" i="20"/>
  <c r="E21" i="20"/>
  <c r="D18" i="32"/>
  <c r="K94" i="30"/>
  <c r="I27" i="30"/>
  <c r="M27" i="30" s="1"/>
  <c r="D27" i="30"/>
  <c r="E9" i="6"/>
  <c r="F42" i="6"/>
  <c r="E55" i="6"/>
  <c r="E19" i="7"/>
  <c r="E52" i="7"/>
  <c r="E12" i="9"/>
  <c r="E20" i="9"/>
  <c r="E32" i="9"/>
  <c r="E35" i="9"/>
  <c r="E43" i="9"/>
  <c r="H81" i="9"/>
  <c r="E9" i="8"/>
  <c r="E26" i="8"/>
  <c r="E48" i="8"/>
  <c r="E51" i="8"/>
  <c r="E54" i="8"/>
  <c r="D10" i="34"/>
  <c r="D234" i="55"/>
  <c r="C232" i="55" s="1"/>
  <c r="E15" i="10"/>
  <c r="E17" i="10"/>
  <c r="E28" i="10"/>
  <c r="E36" i="10"/>
  <c r="E44" i="10"/>
  <c r="D83" i="10"/>
  <c r="G83" i="10" s="1"/>
  <c r="E12" i="11"/>
  <c r="E20" i="11"/>
  <c r="F64" i="11"/>
  <c r="C9" i="30"/>
  <c r="C62" i="12"/>
  <c r="G65" i="12" s="1"/>
  <c r="D25" i="12"/>
  <c r="D28" i="12"/>
  <c r="C32" i="30"/>
  <c r="D32" i="12"/>
  <c r="C36" i="30"/>
  <c r="D36" i="12"/>
  <c r="D43" i="12"/>
  <c r="I53" i="30"/>
  <c r="M53" i="30" s="1"/>
  <c r="D53" i="30"/>
  <c r="E53" i="30" s="1"/>
  <c r="D72" i="12"/>
  <c r="F15" i="13"/>
  <c r="E15" i="13"/>
  <c r="E23" i="13"/>
  <c r="E72" i="13"/>
  <c r="D72" i="13"/>
  <c r="E33" i="14"/>
  <c r="F33" i="14"/>
  <c r="E43" i="14"/>
  <c r="E72" i="14"/>
  <c r="E23" i="56"/>
  <c r="F23" i="56"/>
  <c r="F13" i="19"/>
  <c r="E13" i="19"/>
  <c r="F23" i="21"/>
  <c r="E23" i="21"/>
  <c r="C23" i="30"/>
  <c r="D23" i="12"/>
  <c r="D42" i="9"/>
  <c r="I13" i="30"/>
  <c r="M13" i="30" s="1"/>
  <c r="D13" i="30"/>
  <c r="F20" i="12"/>
  <c r="E20" i="12"/>
  <c r="C34" i="30"/>
  <c r="D34" i="12"/>
  <c r="H81" i="6"/>
  <c r="D11" i="30"/>
  <c r="I11" i="30"/>
  <c r="M11" i="30" s="1"/>
  <c r="E29" i="6"/>
  <c r="E16" i="7"/>
  <c r="E27" i="7"/>
  <c r="F17" i="6"/>
  <c r="E20" i="6"/>
  <c r="E32" i="6"/>
  <c r="E40" i="6"/>
  <c r="E52" i="6"/>
  <c r="E11" i="7"/>
  <c r="E22" i="7"/>
  <c r="E41" i="7"/>
  <c r="E59" i="7"/>
  <c r="F9" i="6"/>
  <c r="E12" i="6"/>
  <c r="E15" i="6"/>
  <c r="E27" i="6"/>
  <c r="E35" i="6"/>
  <c r="E45" i="6"/>
  <c r="C62" i="6"/>
  <c r="F64" i="6"/>
  <c r="C72" i="6"/>
  <c r="D72" i="6" s="1"/>
  <c r="E25" i="7"/>
  <c r="F30" i="7"/>
  <c r="E36" i="7"/>
  <c r="E44" i="7"/>
  <c r="D314" i="55"/>
  <c r="C312" i="55" s="1"/>
  <c r="D10" i="33"/>
  <c r="H81" i="7"/>
  <c r="E15" i="9"/>
  <c r="E27" i="9"/>
  <c r="E41" i="9"/>
  <c r="E46" i="9"/>
  <c r="E52" i="9"/>
  <c r="E23" i="8"/>
  <c r="E29" i="8"/>
  <c r="E32" i="8"/>
  <c r="E35" i="8"/>
  <c r="E11" i="10"/>
  <c r="H81" i="10"/>
  <c r="C22" i="30"/>
  <c r="D22" i="30" s="1"/>
  <c r="D22" i="12"/>
  <c r="I50" i="30"/>
  <c r="M50" i="30" s="1"/>
  <c r="D50" i="30"/>
  <c r="E50" i="30" s="1"/>
  <c r="I55" i="30"/>
  <c r="M55" i="30" s="1"/>
  <c r="D55" i="30"/>
  <c r="E55" i="30" s="1"/>
  <c r="F24" i="13"/>
  <c r="E24" i="13"/>
  <c r="C62" i="14"/>
  <c r="F34" i="14"/>
  <c r="E34" i="14"/>
  <c r="E44" i="14"/>
  <c r="F44" i="14"/>
  <c r="F59" i="14"/>
  <c r="E59" i="14"/>
  <c r="F11" i="56"/>
  <c r="E11" i="56"/>
  <c r="F51" i="56"/>
  <c r="E51" i="56"/>
  <c r="E16" i="17"/>
  <c r="F16" i="17"/>
  <c r="F47" i="17"/>
  <c r="E47" i="17"/>
  <c r="F14" i="19"/>
  <c r="E14" i="19"/>
  <c r="C62" i="19"/>
  <c r="G67" i="19" s="1"/>
  <c r="I67" i="19" s="1"/>
  <c r="D47" i="19"/>
  <c r="E47" i="19" s="1"/>
  <c r="F15" i="20"/>
  <c r="E15" i="20"/>
  <c r="I45" i="30"/>
  <c r="M45" i="30" s="1"/>
  <c r="D45" i="30"/>
  <c r="E45" i="30" s="1"/>
  <c r="E26" i="13"/>
  <c r="C24" i="30"/>
  <c r="D24" i="12"/>
  <c r="E24" i="12" s="1"/>
  <c r="C35" i="30"/>
  <c r="D35" i="12"/>
  <c r="F42" i="12"/>
  <c r="E42" i="12"/>
  <c r="C8" i="32"/>
  <c r="E38" i="7"/>
  <c r="C14" i="30"/>
  <c r="C62" i="9"/>
  <c r="G65" i="9" s="1"/>
  <c r="F26" i="11"/>
  <c r="E65" i="11"/>
  <c r="D346" i="55"/>
  <c r="C344" i="55" s="1"/>
  <c r="D10" i="37"/>
  <c r="E9" i="12"/>
  <c r="D26" i="30"/>
  <c r="E26" i="30" s="1"/>
  <c r="I26" i="30"/>
  <c r="M26" i="30" s="1"/>
  <c r="E29" i="12"/>
  <c r="C37" i="30"/>
  <c r="D37" i="12"/>
  <c r="F29" i="13"/>
  <c r="F40" i="13"/>
  <c r="F52" i="13"/>
  <c r="E52" i="13"/>
  <c r="F64" i="13"/>
  <c r="E64" i="13"/>
  <c r="D83" i="13"/>
  <c r="F16" i="14"/>
  <c r="F24" i="14"/>
  <c r="E30" i="14"/>
  <c r="F12" i="56"/>
  <c r="E12" i="56"/>
  <c r="F34" i="56"/>
  <c r="F38" i="56"/>
  <c r="E38" i="56"/>
  <c r="D72" i="56"/>
  <c r="E72" i="18"/>
  <c r="E35" i="27"/>
  <c r="F35" i="27"/>
  <c r="E43" i="27"/>
  <c r="F43" i="27"/>
  <c r="E32" i="62"/>
  <c r="F32" i="62"/>
  <c r="D17" i="30"/>
  <c r="I17" i="30"/>
  <c r="M17" i="30" s="1"/>
  <c r="E59" i="56"/>
  <c r="G82" i="56"/>
  <c r="E82" i="56"/>
  <c r="H82" i="56" s="1"/>
  <c r="F51" i="16"/>
  <c r="E51" i="16"/>
  <c r="E9" i="17"/>
  <c r="D62" i="17"/>
  <c r="D71" i="17" s="1"/>
  <c r="F22" i="17"/>
  <c r="E22" i="17"/>
  <c r="E23" i="18"/>
  <c r="E45" i="18"/>
  <c r="E30" i="19"/>
  <c r="I30" i="30"/>
  <c r="M30" i="30" s="1"/>
  <c r="D30" i="30"/>
  <c r="C62" i="56"/>
  <c r="F16" i="56"/>
  <c r="E16" i="56"/>
  <c r="F32" i="56"/>
  <c r="E32" i="56"/>
  <c r="F19" i="16"/>
  <c r="E19" i="16"/>
  <c r="D91" i="16"/>
  <c r="E17" i="17"/>
  <c r="F17" i="17"/>
  <c r="F31" i="17"/>
  <c r="E31" i="17"/>
  <c r="F52" i="17"/>
  <c r="E52" i="17"/>
  <c r="F11" i="18"/>
  <c r="E15" i="18"/>
  <c r="E35" i="18"/>
  <c r="G93" i="18"/>
  <c r="D83" i="18"/>
  <c r="F9" i="19"/>
  <c r="E9" i="19"/>
  <c r="F42" i="19"/>
  <c r="E42" i="19"/>
  <c r="E15" i="23"/>
  <c r="D51" i="30"/>
  <c r="E51" i="30" s="1"/>
  <c r="I51" i="30"/>
  <c r="M51" i="30" s="1"/>
  <c r="F9" i="56"/>
  <c r="C39" i="30"/>
  <c r="D39" i="56"/>
  <c r="F46" i="56"/>
  <c r="E46" i="56"/>
  <c r="F32" i="17"/>
  <c r="E32" i="17"/>
  <c r="F53" i="17"/>
  <c r="E53" i="17"/>
  <c r="E16" i="18"/>
  <c r="E36" i="18"/>
  <c r="F10" i="19"/>
  <c r="E10" i="19"/>
  <c r="F43" i="19"/>
  <c r="E43" i="19"/>
  <c r="E41" i="22"/>
  <c r="F41" i="22"/>
  <c r="F38" i="24"/>
  <c r="E38" i="24"/>
  <c r="E72" i="24"/>
  <c r="D72" i="24"/>
  <c r="C16" i="30"/>
  <c r="C18" i="30"/>
  <c r="D51" i="12"/>
  <c r="D53" i="12"/>
  <c r="E53" i="12" s="1"/>
  <c r="E10" i="13"/>
  <c r="E22" i="13"/>
  <c r="E36" i="13"/>
  <c r="E44" i="13"/>
  <c r="D9" i="14"/>
  <c r="E11" i="14"/>
  <c r="E13" i="14"/>
  <c r="E15" i="14"/>
  <c r="E17" i="14"/>
  <c r="E23" i="14"/>
  <c r="E25" i="14"/>
  <c r="E27" i="14"/>
  <c r="E32" i="14"/>
  <c r="E9" i="56"/>
  <c r="E13" i="56"/>
  <c r="F30" i="56"/>
  <c r="E30" i="56"/>
  <c r="E43" i="56"/>
  <c r="E12" i="16"/>
  <c r="F26" i="16"/>
  <c r="E26" i="16"/>
  <c r="F37" i="16"/>
  <c r="E37" i="16"/>
  <c r="E44" i="16"/>
  <c r="F44" i="19"/>
  <c r="E44" i="19"/>
  <c r="F44" i="20"/>
  <c r="E44" i="20"/>
  <c r="F11" i="23"/>
  <c r="E11" i="23"/>
  <c r="F39" i="24"/>
  <c r="E39" i="24"/>
  <c r="C12" i="30"/>
  <c r="I49" i="30"/>
  <c r="M49" i="30" s="1"/>
  <c r="D49" i="30"/>
  <c r="E49" i="30" s="1"/>
  <c r="D122" i="55"/>
  <c r="C120" i="55" s="1"/>
  <c r="D10" i="38"/>
  <c r="C33" i="39"/>
  <c r="C32" i="39" s="1"/>
  <c r="D162" i="55" s="1"/>
  <c r="F10" i="56"/>
  <c r="E10" i="56"/>
  <c r="F14" i="56"/>
  <c r="E14" i="56"/>
  <c r="F44" i="56"/>
  <c r="E44" i="56"/>
  <c r="F45" i="16"/>
  <c r="E45" i="16"/>
  <c r="E26" i="18"/>
  <c r="D18" i="44"/>
  <c r="C15" i="44" s="1"/>
  <c r="D146" i="55" s="1"/>
  <c r="H82" i="18"/>
  <c r="I82" i="20"/>
  <c r="F83" i="20"/>
  <c r="I83" i="20" s="1"/>
  <c r="E26" i="21"/>
  <c r="F31" i="21"/>
  <c r="E31" i="21"/>
  <c r="F35" i="22"/>
  <c r="E35" i="22"/>
  <c r="E30" i="24"/>
  <c r="F30" i="24"/>
  <c r="E36" i="62"/>
  <c r="F36" i="62"/>
  <c r="D18" i="42"/>
  <c r="H81" i="16"/>
  <c r="E65" i="18"/>
  <c r="F65" i="18"/>
  <c r="D92" i="19"/>
  <c r="F48" i="20"/>
  <c r="E48" i="20"/>
  <c r="D72" i="20"/>
  <c r="E72" i="20"/>
  <c r="F18" i="22"/>
  <c r="E18" i="22"/>
  <c r="E26" i="23"/>
  <c r="F26" i="23"/>
  <c r="F35" i="24"/>
  <c r="E35" i="24"/>
  <c r="E16" i="25"/>
  <c r="F16" i="25"/>
  <c r="I33" i="30"/>
  <c r="M33" i="30" s="1"/>
  <c r="D33" i="30"/>
  <c r="E33" i="30" s="1"/>
  <c r="F11" i="19"/>
  <c r="E11" i="19"/>
  <c r="F45" i="19"/>
  <c r="E45" i="19"/>
  <c r="E30" i="20"/>
  <c r="F30" i="20"/>
  <c r="F14" i="22"/>
  <c r="D62" i="22"/>
  <c r="D71" i="22" s="1"/>
  <c r="E14" i="22"/>
  <c r="F39" i="25"/>
  <c r="E39" i="25"/>
  <c r="E24" i="18"/>
  <c r="E27" i="19"/>
  <c r="F45" i="20"/>
  <c r="E45" i="20"/>
  <c r="E60" i="20"/>
  <c r="F60" i="20"/>
  <c r="C80" i="55"/>
  <c r="H81" i="20"/>
  <c r="D10" i="47"/>
  <c r="D10" i="55"/>
  <c r="C8" i="55" s="1"/>
  <c r="E82" i="21"/>
  <c r="H82" i="21" s="1"/>
  <c r="D83" i="21"/>
  <c r="G83" i="21" s="1"/>
  <c r="F23" i="62"/>
  <c r="E23" i="62"/>
  <c r="C57" i="28"/>
  <c r="C59" i="28" s="1"/>
  <c r="D15" i="30"/>
  <c r="E15" i="30" s="1"/>
  <c r="I15" i="30"/>
  <c r="M15" i="30" s="1"/>
  <c r="I38" i="30"/>
  <c r="M38" i="30" s="1"/>
  <c r="D38" i="30"/>
  <c r="E38" i="30" s="1"/>
  <c r="E42" i="17"/>
  <c r="E46" i="17"/>
  <c r="G82" i="17"/>
  <c r="F12" i="19"/>
  <c r="E37" i="19"/>
  <c r="F46" i="19"/>
  <c r="F27" i="20"/>
  <c r="E27" i="20"/>
  <c r="F38" i="20"/>
  <c r="F37" i="21"/>
  <c r="E37" i="21"/>
  <c r="F42" i="21"/>
  <c r="E42" i="21"/>
  <c r="F40" i="57"/>
  <c r="E40" i="57"/>
  <c r="E45" i="57"/>
  <c r="F67" i="30"/>
  <c r="E67" i="30"/>
  <c r="F12" i="23"/>
  <c r="E12" i="23"/>
  <c r="F56" i="23"/>
  <c r="E56" i="23"/>
  <c r="F31" i="24"/>
  <c r="E31" i="24"/>
  <c r="D62" i="25"/>
  <c r="K62" i="25" s="1"/>
  <c r="E9" i="25"/>
  <c r="F9" i="25"/>
  <c r="F46" i="57"/>
  <c r="E46" i="57"/>
  <c r="F28" i="27"/>
  <c r="E28" i="27"/>
  <c r="D298" i="55"/>
  <c r="C296" i="55" s="1"/>
  <c r="D10" i="45"/>
  <c r="F27" i="24"/>
  <c r="E27" i="24"/>
  <c r="F36" i="25"/>
  <c r="E36" i="25"/>
  <c r="F51" i="25"/>
  <c r="E51" i="25"/>
  <c r="C208" i="55"/>
  <c r="H81" i="25"/>
  <c r="F15" i="57"/>
  <c r="E15" i="57"/>
  <c r="D62" i="62"/>
  <c r="E64" i="62"/>
  <c r="F17" i="63"/>
  <c r="E17" i="63"/>
  <c r="F53" i="20"/>
  <c r="E53" i="20"/>
  <c r="F28" i="21"/>
  <c r="E28" i="21"/>
  <c r="E72" i="22"/>
  <c r="D72" i="22"/>
  <c r="D83" i="22"/>
  <c r="G83" i="22" s="1"/>
  <c r="G82" i="22"/>
  <c r="F52" i="25"/>
  <c r="E52" i="25"/>
  <c r="D83" i="25"/>
  <c r="G83" i="25" s="1"/>
  <c r="G82" i="25"/>
  <c r="E82" i="25"/>
  <c r="F37" i="57"/>
  <c r="E37" i="57"/>
  <c r="F13" i="27"/>
  <c r="E13" i="27"/>
  <c r="F18" i="62"/>
  <c r="E18" i="62"/>
  <c r="E48" i="19"/>
  <c r="E37" i="20"/>
  <c r="E40" i="20"/>
  <c r="F46" i="20"/>
  <c r="E58" i="20"/>
  <c r="E66" i="20"/>
  <c r="E82" i="20"/>
  <c r="D83" i="20"/>
  <c r="G83" i="20" s="1"/>
  <c r="E11" i="21"/>
  <c r="E46" i="21"/>
  <c r="E72" i="21"/>
  <c r="D72" i="21"/>
  <c r="E25" i="22"/>
  <c r="F25" i="22"/>
  <c r="E54" i="22"/>
  <c r="D10" i="48"/>
  <c r="D218" i="55"/>
  <c r="C216" i="55" s="1"/>
  <c r="E46" i="24"/>
  <c r="F45" i="25"/>
  <c r="E45" i="25"/>
  <c r="E12" i="57"/>
  <c r="E16" i="57"/>
  <c r="G66" i="57"/>
  <c r="H66" i="57"/>
  <c r="F25" i="27"/>
  <c r="E25" i="27"/>
  <c r="D47" i="27"/>
  <c r="D62" i="27" s="1"/>
  <c r="C63" i="20"/>
  <c r="C62" i="21"/>
  <c r="D47" i="21"/>
  <c r="F83" i="21"/>
  <c r="I83" i="21" s="1"/>
  <c r="I82" i="21"/>
  <c r="D82" i="23"/>
  <c r="D63" i="57"/>
  <c r="D72" i="57" s="1"/>
  <c r="O131" i="31"/>
  <c r="M114" i="31"/>
  <c r="D25" i="50"/>
  <c r="C22" i="50" s="1"/>
  <c r="D34" i="55" s="1"/>
  <c r="A5" i="62"/>
  <c r="A5" i="63"/>
  <c r="F36" i="27"/>
  <c r="E36" i="27"/>
  <c r="E47" i="62"/>
  <c r="E42" i="63"/>
  <c r="F64" i="63"/>
  <c r="E64" i="63"/>
  <c r="H62" i="30"/>
  <c r="D19" i="30"/>
  <c r="D29" i="30"/>
  <c r="E57" i="20"/>
  <c r="F9" i="21"/>
  <c r="F12" i="21"/>
  <c r="F41" i="21"/>
  <c r="C23" i="47"/>
  <c r="H81" i="21"/>
  <c r="E22" i="22"/>
  <c r="F55" i="22"/>
  <c r="F59" i="24"/>
  <c r="E10" i="25"/>
  <c r="F10" i="25"/>
  <c r="E20" i="25"/>
  <c r="E42" i="25"/>
  <c r="E42" i="57"/>
  <c r="F60" i="57"/>
  <c r="E15" i="27"/>
  <c r="F10" i="62"/>
  <c r="E56" i="62"/>
  <c r="E10" i="63"/>
  <c r="E14" i="63"/>
  <c r="E38" i="63"/>
  <c r="D40" i="30"/>
  <c r="E40" i="30" s="1"/>
  <c r="E58" i="28"/>
  <c r="D58" i="28"/>
  <c r="D24" i="49"/>
  <c r="H81" i="23"/>
  <c r="H81" i="24"/>
  <c r="F43" i="57"/>
  <c r="E43" i="57"/>
  <c r="D18" i="52"/>
  <c r="C16" i="52" s="1"/>
  <c r="G82" i="57"/>
  <c r="H82" i="57" s="1"/>
  <c r="F16" i="27"/>
  <c r="E16" i="27"/>
  <c r="F45" i="27"/>
  <c r="E45" i="27"/>
  <c r="E58" i="62"/>
  <c r="F58" i="62"/>
  <c r="F48" i="63"/>
  <c r="E48" i="63"/>
  <c r="I44" i="30"/>
  <c r="M44" i="30" s="1"/>
  <c r="D44" i="30"/>
  <c r="E44" i="30" s="1"/>
  <c r="D18" i="64"/>
  <c r="C15" i="64" s="1"/>
  <c r="D370" i="55" s="1"/>
  <c r="F56" i="22"/>
  <c r="E46" i="23"/>
  <c r="D62" i="24"/>
  <c r="D71" i="24" s="1"/>
  <c r="E9" i="24"/>
  <c r="F40" i="24"/>
  <c r="E43" i="25"/>
  <c r="F10" i="57"/>
  <c r="A5" i="27"/>
  <c r="F26" i="27"/>
  <c r="E41" i="62"/>
  <c r="F48" i="62"/>
  <c r="E39" i="63"/>
  <c r="F16" i="22"/>
  <c r="F37" i="22"/>
  <c r="C62" i="23"/>
  <c r="G65" i="23" s="1"/>
  <c r="D14" i="23"/>
  <c r="E41" i="24"/>
  <c r="F41" i="24"/>
  <c r="D10" i="50"/>
  <c r="D26" i="55"/>
  <c r="C24" i="55" s="1"/>
  <c r="D82" i="62"/>
  <c r="G95" i="62"/>
  <c r="V65" i="30"/>
  <c r="D34" i="54"/>
  <c r="C32" i="54" s="1"/>
  <c r="C31" i="54" s="1"/>
  <c r="D403" i="55" s="1"/>
  <c r="E54" i="29"/>
  <c r="H54" i="29" s="1"/>
  <c r="H52" i="29"/>
  <c r="D10" i="54"/>
  <c r="S14" i="30"/>
  <c r="D329" i="55"/>
  <c r="D10" i="53"/>
  <c r="D57" i="55"/>
  <c r="C56" i="55" s="1"/>
  <c r="D431" i="55"/>
  <c r="H77" i="30"/>
  <c r="G53" i="29"/>
  <c r="C546" i="55"/>
  <c r="C79" i="55"/>
  <c r="E12" i="63"/>
  <c r="F15" i="63"/>
  <c r="E37" i="63"/>
  <c r="E40" i="63"/>
  <c r="E43" i="63"/>
  <c r="E46" i="63"/>
  <c r="E58" i="63"/>
  <c r="D62" i="63"/>
  <c r="D71" i="63" s="1"/>
  <c r="D73" i="63" s="1"/>
  <c r="D75" i="63" s="1"/>
  <c r="G75" i="63" s="1"/>
  <c r="E62" i="31"/>
  <c r="F18" i="57"/>
  <c r="E53" i="57"/>
  <c r="F24" i="27"/>
  <c r="E48" i="27"/>
  <c r="E14" i="62"/>
  <c r="F17" i="62"/>
  <c r="F46" i="62"/>
  <c r="E9" i="63"/>
  <c r="F65" i="63"/>
  <c r="D41" i="30"/>
  <c r="E41" i="30" s="1"/>
  <c r="E32" i="29"/>
  <c r="E41" i="29" s="1"/>
  <c r="D42" i="29"/>
  <c r="E42" i="29" s="1"/>
  <c r="M134" i="31"/>
  <c r="M135" i="31" s="1"/>
  <c r="L135" i="31"/>
  <c r="L102" i="31" s="1"/>
  <c r="L115" i="31"/>
  <c r="D249" i="55"/>
  <c r="C248" i="55" s="1"/>
  <c r="D10" i="49"/>
  <c r="C175" i="55"/>
  <c r="C176" i="55" s="1"/>
  <c r="D52" i="28"/>
  <c r="D57" i="28" s="1"/>
  <c r="E8" i="28"/>
  <c r="E52" i="28" s="1"/>
  <c r="J59" i="31"/>
  <c r="E62" i="30"/>
  <c r="U62" i="30" s="1"/>
  <c r="V62" i="30" s="1"/>
  <c r="D98" i="28"/>
  <c r="E70" i="28" s="1"/>
  <c r="E71" i="28" s="1"/>
  <c r="K59" i="31"/>
  <c r="H59" i="31"/>
  <c r="C16" i="36"/>
  <c r="C15" i="36" s="1"/>
  <c r="D338" i="55" s="1"/>
  <c r="C287" i="55"/>
  <c r="C288" i="55" s="1"/>
  <c r="D137" i="55"/>
  <c r="D153" i="55"/>
  <c r="C152" i="55" s="1"/>
  <c r="D27" i="39"/>
  <c r="D169" i="55"/>
  <c r="C31" i="55"/>
  <c r="C32" i="55" s="1"/>
  <c r="I28" i="31"/>
  <c r="O130" i="31"/>
  <c r="D10" i="40"/>
  <c r="D185" i="55"/>
  <c r="C184" i="55" s="1"/>
  <c r="C303" i="55"/>
  <c r="C304" i="55" s="1"/>
  <c r="C383" i="55"/>
  <c r="C384" i="55" s="1"/>
  <c r="C16" i="65"/>
  <c r="C15" i="65"/>
  <c r="D386" i="55" s="1"/>
  <c r="D569" i="55"/>
  <c r="C567" i="55" s="1"/>
  <c r="D10" i="64"/>
  <c r="C143" i="55"/>
  <c r="D393" i="55"/>
  <c r="C16" i="34"/>
  <c r="C15" i="34" s="1"/>
  <c r="D242" i="55" s="1"/>
  <c r="C351" i="55"/>
  <c r="C352" i="55" s="1"/>
  <c r="D502" i="55"/>
  <c r="C16" i="43"/>
  <c r="C15" i="43" s="1"/>
  <c r="D50" i="55" s="1"/>
  <c r="C376" i="55"/>
  <c r="C360" i="55"/>
  <c r="K571" i="55"/>
  <c r="D463" i="55"/>
  <c r="C680" i="55"/>
  <c r="D465" i="55"/>
  <c r="D517" i="55"/>
  <c r="C515" i="55" s="1"/>
  <c r="C461" i="55" l="1"/>
  <c r="K602" i="55" s="1"/>
  <c r="F60" i="31"/>
  <c r="H57" i="28"/>
  <c r="A625" i="55"/>
  <c r="A633" i="55" s="1"/>
  <c r="A640" i="55" s="1"/>
  <c r="A647" i="55" s="1"/>
  <c r="A654" i="55" s="1"/>
  <c r="A662" i="55" s="1"/>
  <c r="A668" i="55" s="1"/>
  <c r="A675" i="55" s="1"/>
  <c r="H54" i="28"/>
  <c r="D84" i="30"/>
  <c r="H34" i="29"/>
  <c r="I34" i="29" s="1"/>
  <c r="D75" i="18"/>
  <c r="G75" i="18" s="1"/>
  <c r="D479" i="55"/>
  <c r="J603" i="55" s="1"/>
  <c r="D481" i="55"/>
  <c r="L603" i="55" s="1"/>
  <c r="D480" i="55"/>
  <c r="K603" i="55" s="1"/>
  <c r="D550" i="55"/>
  <c r="C547" i="55" s="1"/>
  <c r="H62" i="31"/>
  <c r="M102" i="31"/>
  <c r="D73" i="8"/>
  <c r="D75" i="8" s="1"/>
  <c r="G75" i="8" s="1"/>
  <c r="D59" i="28"/>
  <c r="D61" i="28" s="1"/>
  <c r="G61" i="28" s="1"/>
  <c r="C16" i="64"/>
  <c r="C15" i="37"/>
  <c r="D354" i="55" s="1"/>
  <c r="C15" i="33"/>
  <c r="D322" i="55" s="1"/>
  <c r="C319" i="55" s="1"/>
  <c r="C22" i="47"/>
  <c r="D18" i="55" s="1"/>
  <c r="C15" i="55" s="1"/>
  <c r="J58" i="31"/>
  <c r="C589" i="55"/>
  <c r="D591" i="55" s="1"/>
  <c r="E110" i="31"/>
  <c r="C590" i="55" s="1"/>
  <c r="D592" i="55" s="1"/>
  <c r="K100" i="31"/>
  <c r="E59" i="12"/>
  <c r="E83" i="24"/>
  <c r="H83" i="24" s="1"/>
  <c r="F56" i="12"/>
  <c r="E83" i="11"/>
  <c r="H83" i="11" s="1"/>
  <c r="D10" i="36"/>
  <c r="E83" i="6"/>
  <c r="H83" i="6" s="1"/>
  <c r="G565" i="55"/>
  <c r="I565" i="55" s="1"/>
  <c r="L565" i="55" s="1"/>
  <c r="N565" i="55" s="1"/>
  <c r="D10" i="52"/>
  <c r="D72" i="27"/>
  <c r="G82" i="63"/>
  <c r="G64" i="14"/>
  <c r="G65" i="14"/>
  <c r="E83" i="22"/>
  <c r="H83" i="22" s="1"/>
  <c r="E82" i="63"/>
  <c r="H82" i="63" s="1"/>
  <c r="D62" i="12"/>
  <c r="E72" i="9"/>
  <c r="E14" i="23"/>
  <c r="E62" i="23" s="1"/>
  <c r="E71" i="23" s="1"/>
  <c r="F14" i="23"/>
  <c r="F62" i="23" s="1"/>
  <c r="C16" i="48"/>
  <c r="C392" i="55"/>
  <c r="H73" i="19"/>
  <c r="H74" i="19" s="1"/>
  <c r="D10" i="44"/>
  <c r="D63" i="30"/>
  <c r="E63" i="30" s="1"/>
  <c r="U63" i="30" s="1"/>
  <c r="V63" i="30" s="1"/>
  <c r="D10" i="43"/>
  <c r="L54" i="31"/>
  <c r="L56" i="31" s="1"/>
  <c r="L60" i="31" s="1"/>
  <c r="D202" i="55"/>
  <c r="C200" i="55" s="1"/>
  <c r="C168" i="55"/>
  <c r="C328" i="55"/>
  <c r="D73" i="17"/>
  <c r="D75" i="17" s="1"/>
  <c r="G75" i="17" s="1"/>
  <c r="C136" i="55"/>
  <c r="D226" i="55"/>
  <c r="E83" i="7"/>
  <c r="H83" i="7" s="1"/>
  <c r="F63" i="8"/>
  <c r="F71" i="8" s="1"/>
  <c r="F75" i="8" s="1"/>
  <c r="F84" i="57"/>
  <c r="I84" i="57" s="1"/>
  <c r="I83" i="57"/>
  <c r="E83" i="17"/>
  <c r="H83" i="17" s="1"/>
  <c r="E83" i="12"/>
  <c r="H83" i="12" s="1"/>
  <c r="E69" i="28"/>
  <c r="D79" i="31"/>
  <c r="E83" i="10"/>
  <c r="H83" i="10" s="1"/>
  <c r="C15" i="38"/>
  <c r="D130" i="55" s="1"/>
  <c r="O114" i="31"/>
  <c r="P114" i="31"/>
  <c r="C64" i="30"/>
  <c r="C73" i="30" s="1"/>
  <c r="P112" i="31"/>
  <c r="D74" i="57"/>
  <c r="E83" i="14"/>
  <c r="H83" i="14" s="1"/>
  <c r="E84" i="18"/>
  <c r="H84" i="18" s="1"/>
  <c r="E83" i="9"/>
  <c r="H83" i="9" s="1"/>
  <c r="E83" i="57"/>
  <c r="D84" i="57"/>
  <c r="H66" i="16"/>
  <c r="H67" i="16" s="1"/>
  <c r="G65" i="16"/>
  <c r="F78" i="31"/>
  <c r="F79" i="31" s="1"/>
  <c r="C79" i="31"/>
  <c r="E83" i="27"/>
  <c r="H83" i="27" s="1"/>
  <c r="F62" i="11"/>
  <c r="F71" i="11" s="1"/>
  <c r="F75" i="11" s="1"/>
  <c r="E83" i="21"/>
  <c r="H83" i="21" s="1"/>
  <c r="F62" i="62"/>
  <c r="D62" i="19"/>
  <c r="D71" i="19" s="1"/>
  <c r="D73" i="19" s="1"/>
  <c r="D75" i="19" s="1"/>
  <c r="D62" i="16"/>
  <c r="D71" i="16" s="1"/>
  <c r="D73" i="13"/>
  <c r="D75" i="13" s="1"/>
  <c r="G75" i="13" s="1"/>
  <c r="H83" i="13"/>
  <c r="D71" i="25"/>
  <c r="D73" i="25" s="1"/>
  <c r="D75" i="25" s="1"/>
  <c r="D210" i="55"/>
  <c r="D62" i="6"/>
  <c r="D71" i="6" s="1"/>
  <c r="D71" i="62"/>
  <c r="D73" i="62" s="1"/>
  <c r="D75" i="62" s="1"/>
  <c r="G75" i="62" s="1"/>
  <c r="E62" i="63"/>
  <c r="E71" i="63" s="1"/>
  <c r="E73" i="63" s="1"/>
  <c r="E75" i="63" s="1"/>
  <c r="F62" i="63"/>
  <c r="F71" i="63" s="1"/>
  <c r="F75" i="63" s="1"/>
  <c r="E62" i="62"/>
  <c r="E71" i="62" s="1"/>
  <c r="E73" i="62" s="1"/>
  <c r="E75" i="62" s="1"/>
  <c r="C15" i="52"/>
  <c r="D178" i="55" s="1"/>
  <c r="D73" i="24"/>
  <c r="D75" i="24" s="1"/>
  <c r="T60" i="30"/>
  <c r="D62" i="23"/>
  <c r="D71" i="23" s="1"/>
  <c r="D73" i="23" s="1"/>
  <c r="E73" i="23" s="1"/>
  <c r="E75" i="23" s="1"/>
  <c r="D42" i="30"/>
  <c r="E42" i="30" s="1"/>
  <c r="F62" i="22"/>
  <c r="F71" i="22" s="1"/>
  <c r="F75" i="22" s="1"/>
  <c r="E62" i="22"/>
  <c r="E71" i="22" s="1"/>
  <c r="E73" i="22" s="1"/>
  <c r="E75" i="22" s="1"/>
  <c r="G75" i="22" s="1"/>
  <c r="E63" i="20"/>
  <c r="E71" i="20" s="1"/>
  <c r="E73" i="20" s="1"/>
  <c r="E75" i="20" s="1"/>
  <c r="F63" i="20"/>
  <c r="F71" i="20" s="1"/>
  <c r="D73" i="20"/>
  <c r="D75" i="20" s="1"/>
  <c r="G75" i="20" s="1"/>
  <c r="E83" i="19"/>
  <c r="G83" i="19"/>
  <c r="D84" i="19"/>
  <c r="G84" i="19" s="1"/>
  <c r="C16" i="45"/>
  <c r="D306" i="55" s="1"/>
  <c r="F62" i="18"/>
  <c r="E62" i="18"/>
  <c r="E71" i="18" s="1"/>
  <c r="E73" i="18" s="1"/>
  <c r="E75" i="18" s="1"/>
  <c r="F62" i="17"/>
  <c r="F71" i="17" s="1"/>
  <c r="F75" i="17" s="1"/>
  <c r="E62" i="16"/>
  <c r="E71" i="16" s="1"/>
  <c r="E73" i="16" s="1"/>
  <c r="F62" i="16"/>
  <c r="F71" i="16" s="1"/>
  <c r="F75" i="16" s="1"/>
  <c r="C16" i="42"/>
  <c r="C15" i="42" s="1"/>
  <c r="D290" i="55" s="1"/>
  <c r="D60" i="30"/>
  <c r="J59" i="30" s="1"/>
  <c r="E143" i="31"/>
  <c r="D57" i="30"/>
  <c r="F57" i="30" s="1"/>
  <c r="E28" i="56"/>
  <c r="F28" i="56"/>
  <c r="C15" i="40"/>
  <c r="D194" i="55" s="1"/>
  <c r="F62" i="13"/>
  <c r="F71" i="13" s="1"/>
  <c r="F75" i="13" s="1"/>
  <c r="E62" i="13"/>
  <c r="E71" i="13" s="1"/>
  <c r="E73" i="13" s="1"/>
  <c r="E75" i="13" s="1"/>
  <c r="E83" i="13"/>
  <c r="I65" i="30"/>
  <c r="F62" i="10"/>
  <c r="F71" i="10" s="1"/>
  <c r="F75" i="10" s="1"/>
  <c r="E31" i="30"/>
  <c r="F62" i="7"/>
  <c r="F71" i="7" s="1"/>
  <c r="F75" i="7" s="1"/>
  <c r="E62" i="7"/>
  <c r="E71" i="7" s="1"/>
  <c r="E73" i="7" s="1"/>
  <c r="E75" i="7" s="1"/>
  <c r="G75" i="7" s="1"/>
  <c r="D86" i="31"/>
  <c r="F86" i="31" s="1"/>
  <c r="E82" i="23"/>
  <c r="G82" i="23"/>
  <c r="D83" i="23"/>
  <c r="G83" i="23" s="1"/>
  <c r="D265" i="55"/>
  <c r="D10" i="41"/>
  <c r="E51" i="12"/>
  <c r="F51" i="12"/>
  <c r="F39" i="56"/>
  <c r="E39" i="56"/>
  <c r="F62" i="19"/>
  <c r="F71" i="19" s="1"/>
  <c r="F75" i="19" s="1"/>
  <c r="D35" i="30"/>
  <c r="E35" i="30" s="1"/>
  <c r="I35" i="30"/>
  <c r="M35" i="30" s="1"/>
  <c r="D83" i="16"/>
  <c r="G83" i="16" s="1"/>
  <c r="G82" i="16"/>
  <c r="C548" i="55"/>
  <c r="H590" i="55" s="1"/>
  <c r="C23" i="50"/>
  <c r="O135" i="31"/>
  <c r="C16" i="46"/>
  <c r="C15" i="46" s="1"/>
  <c r="E62" i="24"/>
  <c r="E71" i="24" s="1"/>
  <c r="E73" i="24" s="1"/>
  <c r="E75" i="24" s="1"/>
  <c r="G75" i="24" s="1"/>
  <c r="D73" i="22"/>
  <c r="D75" i="22" s="1"/>
  <c r="E9" i="14"/>
  <c r="F9" i="14"/>
  <c r="D62" i="14"/>
  <c r="I18" i="30"/>
  <c r="M18" i="30" s="1"/>
  <c r="D18" i="30"/>
  <c r="I39" i="30"/>
  <c r="M39" i="30" s="1"/>
  <c r="D39" i="30"/>
  <c r="E39" i="30" s="1"/>
  <c r="G83" i="18"/>
  <c r="D84" i="18"/>
  <c r="G84" i="18" s="1"/>
  <c r="F47" i="6"/>
  <c r="E47" i="6"/>
  <c r="E43" i="12"/>
  <c r="F43" i="12"/>
  <c r="I9" i="30"/>
  <c r="M9" i="30" s="1"/>
  <c r="D9" i="30"/>
  <c r="E63" i="8"/>
  <c r="E71" i="8" s="1"/>
  <c r="E73" i="8" s="1"/>
  <c r="E75" i="8" s="1"/>
  <c r="E62" i="11"/>
  <c r="E71" i="11" s="1"/>
  <c r="E73" i="11" s="1"/>
  <c r="E75" i="11" s="1"/>
  <c r="D62" i="7"/>
  <c r="D71" i="7" s="1"/>
  <c r="D73" i="7" s="1"/>
  <c r="D75" i="7" s="1"/>
  <c r="E83" i="8"/>
  <c r="H83" i="8" s="1"/>
  <c r="H82" i="8"/>
  <c r="F30" i="30"/>
  <c r="E30" i="30"/>
  <c r="E17" i="30"/>
  <c r="F17" i="30"/>
  <c r="E35" i="12"/>
  <c r="F35" i="12"/>
  <c r="E25" i="12"/>
  <c r="F25" i="12"/>
  <c r="E47" i="27"/>
  <c r="E62" i="27" s="1"/>
  <c r="F62" i="27"/>
  <c r="F72" i="27" s="1"/>
  <c r="F76" i="27" s="1"/>
  <c r="M115" i="31"/>
  <c r="O115" i="31" s="1"/>
  <c r="O134" i="31"/>
  <c r="O112" i="31"/>
  <c r="F62" i="24"/>
  <c r="F71" i="24" s="1"/>
  <c r="F73" i="24" s="1"/>
  <c r="F75" i="24" s="1"/>
  <c r="E37" i="12"/>
  <c r="F37" i="12"/>
  <c r="C74" i="30"/>
  <c r="D74" i="30"/>
  <c r="D29" i="31" s="1"/>
  <c r="E72" i="6"/>
  <c r="E27" i="12"/>
  <c r="F27" i="12"/>
  <c r="C22" i="49"/>
  <c r="C21" i="49" s="1"/>
  <c r="D258" i="55" s="1"/>
  <c r="F19" i="30"/>
  <c r="E19" i="30"/>
  <c r="G68" i="21"/>
  <c r="G69" i="21" s="1"/>
  <c r="G65" i="21"/>
  <c r="E62" i="25"/>
  <c r="E71" i="25" s="1"/>
  <c r="D12" i="30"/>
  <c r="E12" i="30" s="1"/>
  <c r="I12" i="30"/>
  <c r="M12" i="30" s="1"/>
  <c r="D62" i="56"/>
  <c r="G65" i="56" s="1"/>
  <c r="I37" i="30"/>
  <c r="M37" i="30" s="1"/>
  <c r="D37" i="30"/>
  <c r="D90" i="55"/>
  <c r="C88" i="55" s="1"/>
  <c r="D10" i="32"/>
  <c r="D36" i="30"/>
  <c r="I36" i="30"/>
  <c r="M36" i="30" s="1"/>
  <c r="E83" i="56"/>
  <c r="D21" i="30"/>
  <c r="E21" i="30" s="1"/>
  <c r="I21" i="30"/>
  <c r="M21" i="30" s="1"/>
  <c r="I10" i="30"/>
  <c r="M10" i="30" s="1"/>
  <c r="D10" i="30"/>
  <c r="E10" i="30" s="1"/>
  <c r="I34" i="30"/>
  <c r="M34" i="30" s="1"/>
  <c r="D34" i="30"/>
  <c r="E34" i="30" s="1"/>
  <c r="E59" i="30"/>
  <c r="F29" i="30"/>
  <c r="E29" i="30"/>
  <c r="F62" i="25"/>
  <c r="F71" i="25" s="1"/>
  <c r="F75" i="25" s="1"/>
  <c r="D24" i="30"/>
  <c r="I24" i="30"/>
  <c r="M24" i="30" s="1"/>
  <c r="F36" i="12"/>
  <c r="E36" i="12"/>
  <c r="H70" i="28"/>
  <c r="H71" i="28"/>
  <c r="E43" i="29"/>
  <c r="E45" i="29" s="1"/>
  <c r="G66" i="20"/>
  <c r="E22" i="12"/>
  <c r="F22" i="12"/>
  <c r="F11" i="30"/>
  <c r="E11" i="30"/>
  <c r="F42" i="9"/>
  <c r="F62" i="9" s="1"/>
  <c r="F71" i="9" s="1"/>
  <c r="F75" i="9" s="1"/>
  <c r="E42" i="9"/>
  <c r="E62" i="9" s="1"/>
  <c r="E71" i="9" s="1"/>
  <c r="F32" i="12"/>
  <c r="E32" i="12"/>
  <c r="F48" i="12"/>
  <c r="E48" i="12"/>
  <c r="D62" i="11"/>
  <c r="D71" i="11" s="1"/>
  <c r="D73" i="11" s="1"/>
  <c r="D75" i="11" s="1"/>
  <c r="G75" i="11" s="1"/>
  <c r="H75" i="11" s="1"/>
  <c r="D47" i="30"/>
  <c r="E47" i="30" s="1"/>
  <c r="I47" i="30"/>
  <c r="M47" i="30" s="1"/>
  <c r="F13" i="12"/>
  <c r="E13" i="12"/>
  <c r="E62" i="10"/>
  <c r="E71" i="10" s="1"/>
  <c r="E73" i="10" s="1"/>
  <c r="E75" i="10" s="1"/>
  <c r="E57" i="28"/>
  <c r="E59" i="28" s="1"/>
  <c r="E61" i="28" s="1"/>
  <c r="A3" i="29"/>
  <c r="A3" i="28" s="1"/>
  <c r="A5" i="30"/>
  <c r="H82" i="20"/>
  <c r="E83" i="20"/>
  <c r="H83" i="20" s="1"/>
  <c r="H82" i="25"/>
  <c r="E83" i="25"/>
  <c r="H83" i="25" s="1"/>
  <c r="E62" i="17"/>
  <c r="E71" i="17" s="1"/>
  <c r="E73" i="17" s="1"/>
  <c r="E75" i="17" s="1"/>
  <c r="I56" i="30"/>
  <c r="M56" i="30" s="1"/>
  <c r="D56" i="30"/>
  <c r="E56" i="30" s="1"/>
  <c r="E22" i="30"/>
  <c r="I22" i="30"/>
  <c r="M22" i="30" s="1"/>
  <c r="E59" i="6"/>
  <c r="E23" i="12"/>
  <c r="F23" i="12"/>
  <c r="D32" i="30"/>
  <c r="I32" i="30"/>
  <c r="M32" i="30" s="1"/>
  <c r="D25" i="30"/>
  <c r="E25" i="30" s="1"/>
  <c r="I25" i="30"/>
  <c r="M25" i="30" s="1"/>
  <c r="D48" i="30"/>
  <c r="E48" i="30" s="1"/>
  <c r="I48" i="30"/>
  <c r="M48" i="30" s="1"/>
  <c r="D73" i="10"/>
  <c r="D75" i="10" s="1"/>
  <c r="G75" i="10" s="1"/>
  <c r="F52" i="12"/>
  <c r="E52" i="12"/>
  <c r="E82" i="62"/>
  <c r="H82" i="62" s="1"/>
  <c r="D83" i="62"/>
  <c r="G83" i="62" s="1"/>
  <c r="G82" i="62"/>
  <c r="E63" i="57"/>
  <c r="E72" i="57" s="1"/>
  <c r="E74" i="57" s="1"/>
  <c r="E76" i="57" s="1"/>
  <c r="E82" i="16"/>
  <c r="H90" i="16"/>
  <c r="D46" i="30"/>
  <c r="E46" i="30" s="1"/>
  <c r="I46" i="30"/>
  <c r="M46" i="30" s="1"/>
  <c r="F11" i="12"/>
  <c r="E11" i="12"/>
  <c r="F47" i="21"/>
  <c r="F62" i="21" s="1"/>
  <c r="F71" i="21" s="1"/>
  <c r="F75" i="21" s="1"/>
  <c r="E47" i="21"/>
  <c r="E62" i="21" s="1"/>
  <c r="E71" i="21" s="1"/>
  <c r="E73" i="21" s="1"/>
  <c r="E75" i="21" s="1"/>
  <c r="G75" i="21" s="1"/>
  <c r="I16" i="30"/>
  <c r="M16" i="30" s="1"/>
  <c r="D16" i="30"/>
  <c r="F13" i="30"/>
  <c r="E13" i="30"/>
  <c r="C16" i="32"/>
  <c r="C15" i="32" s="1"/>
  <c r="D98" i="55" s="1"/>
  <c r="F10" i="14"/>
  <c r="E10" i="14"/>
  <c r="D41" i="29"/>
  <c r="D43" i="29" s="1"/>
  <c r="D45" i="29" s="1"/>
  <c r="F63" i="57"/>
  <c r="D62" i="21"/>
  <c r="D71" i="21" s="1"/>
  <c r="D73" i="21" s="1"/>
  <c r="D75" i="21" s="1"/>
  <c r="D525" i="55"/>
  <c r="H564" i="55" s="1"/>
  <c r="D524" i="55"/>
  <c r="C144" i="55"/>
  <c r="C16" i="44"/>
  <c r="E62" i="19"/>
  <c r="E71" i="19" s="1"/>
  <c r="E73" i="19" s="1"/>
  <c r="E75" i="19" s="1"/>
  <c r="G75" i="19" s="1"/>
  <c r="D14" i="30"/>
  <c r="E14" i="30" s="1"/>
  <c r="I14" i="30"/>
  <c r="M14" i="30" s="1"/>
  <c r="F34" i="12"/>
  <c r="E34" i="12"/>
  <c r="D23" i="30"/>
  <c r="I23" i="30"/>
  <c r="M23" i="30" s="1"/>
  <c r="F28" i="12"/>
  <c r="E28" i="12"/>
  <c r="F27" i="30"/>
  <c r="E27" i="30"/>
  <c r="F46" i="12"/>
  <c r="E46" i="12"/>
  <c r="D52" i="30"/>
  <c r="E52" i="30" s="1"/>
  <c r="I52" i="30"/>
  <c r="M52" i="30" s="1"/>
  <c r="D62" i="9"/>
  <c r="D71" i="9" s="1"/>
  <c r="D73" i="9" s="1"/>
  <c r="C462" i="55"/>
  <c r="L602" i="55" s="1"/>
  <c r="C460" i="55"/>
  <c r="J602" i="55" s="1"/>
  <c r="L604" i="55" l="1"/>
  <c r="L605" i="55" s="1"/>
  <c r="D487" i="55"/>
  <c r="K604" i="55"/>
  <c r="D488" i="55"/>
  <c r="J604" i="55"/>
  <c r="J605" i="55" s="1"/>
  <c r="K605" i="55" s="1"/>
  <c r="D486" i="55"/>
  <c r="E72" i="27"/>
  <c r="D73" i="30"/>
  <c r="D27" i="31" s="1"/>
  <c r="C29" i="31"/>
  <c r="H29" i="31" s="1"/>
  <c r="C27" i="31"/>
  <c r="H64" i="30"/>
  <c r="H45" i="29"/>
  <c r="C320" i="55"/>
  <c r="D57" i="31"/>
  <c r="G57" i="31" s="1"/>
  <c r="I45" i="29"/>
  <c r="D112" i="31"/>
  <c r="C478" i="55"/>
  <c r="G110" i="31"/>
  <c r="E73" i="25"/>
  <c r="E75" i="25" s="1"/>
  <c r="G75" i="25" s="1"/>
  <c r="D76" i="57"/>
  <c r="G76" i="57" s="1"/>
  <c r="D455" i="55"/>
  <c r="C16" i="55"/>
  <c r="D82" i="55"/>
  <c r="I61" i="30"/>
  <c r="E74" i="30"/>
  <c r="E29" i="31" s="1"/>
  <c r="G29" i="31" s="1"/>
  <c r="E74" i="27"/>
  <c r="E76" i="27" s="1"/>
  <c r="E62" i="56"/>
  <c r="E71" i="56" s="1"/>
  <c r="E73" i="56" s="1"/>
  <c r="E75" i="56" s="1"/>
  <c r="D71" i="14"/>
  <c r="D73" i="14" s="1"/>
  <c r="D75" i="14" s="1"/>
  <c r="D74" i="27"/>
  <c r="D76" i="27" s="1"/>
  <c r="G76" i="27" s="1"/>
  <c r="F71" i="62"/>
  <c r="F75" i="62" s="1"/>
  <c r="D10" i="51"/>
  <c r="L100" i="31"/>
  <c r="P115" i="31"/>
  <c r="D64" i="30"/>
  <c r="O102" i="31"/>
  <c r="F75" i="23"/>
  <c r="F73" i="23"/>
  <c r="F62" i="56"/>
  <c r="F71" i="56" s="1"/>
  <c r="F75" i="56" s="1"/>
  <c r="F62" i="6"/>
  <c r="F71" i="6" s="1"/>
  <c r="F73" i="6" s="1"/>
  <c r="G83" i="57"/>
  <c r="H83" i="57" s="1"/>
  <c r="E84" i="57"/>
  <c r="G84" i="57" s="1"/>
  <c r="H84" i="57" s="1"/>
  <c r="E62" i="6"/>
  <c r="E71" i="6" s="1"/>
  <c r="E73" i="6" s="1"/>
  <c r="E75" i="6" s="1"/>
  <c r="D75" i="23"/>
  <c r="G75" i="23" s="1"/>
  <c r="D73" i="16"/>
  <c r="D71" i="12"/>
  <c r="F73" i="20"/>
  <c r="F74" i="20" s="1"/>
  <c r="H83" i="19"/>
  <c r="E84" i="19"/>
  <c r="H84" i="19" s="1"/>
  <c r="E60" i="30"/>
  <c r="U60" i="30" s="1"/>
  <c r="V60" i="30" s="1"/>
  <c r="E57" i="30"/>
  <c r="E62" i="12"/>
  <c r="E71" i="12" s="1"/>
  <c r="E73" i="12" s="1"/>
  <c r="E75" i="12" s="1"/>
  <c r="F24" i="30"/>
  <c r="E24" i="30"/>
  <c r="F37" i="30"/>
  <c r="E37" i="30"/>
  <c r="F62" i="12"/>
  <c r="F71" i="12" s="1"/>
  <c r="F73" i="12" s="1"/>
  <c r="F75" i="12" s="1"/>
  <c r="U59" i="30"/>
  <c r="V59" i="30" s="1"/>
  <c r="D71" i="56"/>
  <c r="D73" i="56" s="1"/>
  <c r="D75" i="56" s="1"/>
  <c r="G75" i="56" s="1"/>
  <c r="E62" i="14"/>
  <c r="E71" i="14" s="1"/>
  <c r="E73" i="14" s="1"/>
  <c r="E75" i="14" s="1"/>
  <c r="D73" i="6"/>
  <c r="D75" i="6" s="1"/>
  <c r="G75" i="6" s="1"/>
  <c r="F16" i="30"/>
  <c r="E16" i="30"/>
  <c r="E23" i="30"/>
  <c r="F23" i="30"/>
  <c r="H563" i="55"/>
  <c r="H571" i="55" s="1"/>
  <c r="C523" i="55"/>
  <c r="E9" i="30"/>
  <c r="F18" i="30"/>
  <c r="E18" i="30"/>
  <c r="H82" i="16"/>
  <c r="E83" i="16"/>
  <c r="H83" i="16" s="1"/>
  <c r="E84" i="30"/>
  <c r="G41" i="31"/>
  <c r="G44" i="31" s="1"/>
  <c r="H83" i="56"/>
  <c r="G83" i="56"/>
  <c r="H82" i="23"/>
  <c r="E83" i="23"/>
  <c r="H83" i="23" s="1"/>
  <c r="D75" i="9"/>
  <c r="G75" i="9" s="1"/>
  <c r="E73" i="9"/>
  <c r="E75" i="9" s="1"/>
  <c r="T64" i="30"/>
  <c r="F32" i="30"/>
  <c r="E32" i="30"/>
  <c r="F36" i="30"/>
  <c r="E36" i="30"/>
  <c r="F62" i="14"/>
  <c r="F71" i="14" s="1"/>
  <c r="F75" i="14" s="1"/>
  <c r="C264" i="55"/>
  <c r="C485" i="55" l="1"/>
  <c r="D500" i="55"/>
  <c r="J60" i="30"/>
  <c r="H27" i="31"/>
  <c r="K99" i="31"/>
  <c r="K94" i="31" s="1"/>
  <c r="M100" i="31"/>
  <c r="O100" i="31" s="1"/>
  <c r="I29" i="31"/>
  <c r="C451" i="55"/>
  <c r="C453" i="55"/>
  <c r="H64" i="14"/>
  <c r="I64" i="14" s="1"/>
  <c r="E64" i="30"/>
  <c r="U64" i="30" s="1"/>
  <c r="V64" i="30" s="1"/>
  <c r="F76" i="30"/>
  <c r="F31" i="31" s="1"/>
  <c r="C9" i="46"/>
  <c r="F75" i="20"/>
  <c r="D73" i="12"/>
  <c r="D75" i="12" s="1"/>
  <c r="G75" i="12" s="1"/>
  <c r="F75" i="6"/>
  <c r="I60" i="31"/>
  <c r="I64" i="31" s="1"/>
  <c r="E88" i="31" s="1"/>
  <c r="E73" i="30"/>
  <c r="F64" i="30"/>
  <c r="F73" i="30" s="1"/>
  <c r="F27" i="31" s="1"/>
  <c r="F30" i="31" s="1"/>
  <c r="L578" i="55"/>
  <c r="D85" i="31"/>
  <c r="E112" i="31"/>
  <c r="D578" i="55" s="1"/>
  <c r="J57" i="31"/>
  <c r="C75" i="30"/>
  <c r="G74" i="30" s="1"/>
  <c r="G73" i="30"/>
  <c r="E57" i="31"/>
  <c r="H57" i="31" s="1"/>
  <c r="D501" i="55" s="1"/>
  <c r="C499" i="55" s="1"/>
  <c r="L577" i="55"/>
  <c r="K101" i="31" l="1"/>
  <c r="K103" i="31" s="1"/>
  <c r="N94" i="31"/>
  <c r="E132" i="31"/>
  <c r="E133" i="31" s="1"/>
  <c r="F32" i="31"/>
  <c r="N99" i="31"/>
  <c r="H572" i="55"/>
  <c r="H573" i="55" s="1"/>
  <c r="D75" i="55"/>
  <c r="D10" i="46"/>
  <c r="L580" i="55"/>
  <c r="E27" i="31"/>
  <c r="E75" i="30"/>
  <c r="F75" i="30"/>
  <c r="F77" i="30" s="1"/>
  <c r="H73" i="30"/>
  <c r="K57" i="31"/>
  <c r="C575" i="55"/>
  <c r="J564" i="55" s="1"/>
  <c r="C30" i="31"/>
  <c r="H30" i="31" s="1"/>
  <c r="D557" i="55"/>
  <c r="D563" i="55"/>
  <c r="D577" i="55"/>
  <c r="F601" i="55" s="1"/>
  <c r="G112" i="31"/>
  <c r="F85" i="31"/>
  <c r="D75" i="30"/>
  <c r="G601" i="55" l="1"/>
  <c r="H593" i="55"/>
  <c r="H594" i="55" s="1"/>
  <c r="E30" i="31"/>
  <c r="M99" i="31" s="1"/>
  <c r="G27" i="31"/>
  <c r="I27" i="31" s="1"/>
  <c r="K116" i="31"/>
  <c r="K579" i="55"/>
  <c r="M579" i="55" s="1"/>
  <c r="D104" i="31"/>
  <c r="E91" i="31" s="1"/>
  <c r="C574" i="55"/>
  <c r="F590" i="55" s="1"/>
  <c r="C576" i="55"/>
  <c r="Q564" i="55"/>
  <c r="D30" i="31"/>
  <c r="L99" i="31" s="1"/>
  <c r="G100" i="31"/>
  <c r="I100" i="31" s="1"/>
  <c r="H579" i="55"/>
  <c r="G590" i="55" l="1"/>
  <c r="L592" i="55"/>
  <c r="D562" i="55"/>
  <c r="C561" i="55" s="1"/>
  <c r="M564" i="55"/>
  <c r="E104" i="31"/>
  <c r="D91" i="31" s="1"/>
  <c r="G30" i="31"/>
  <c r="G579" i="55"/>
  <c r="I579" i="55" s="1"/>
  <c r="J563" i="55"/>
  <c r="F109" i="31"/>
  <c r="F114" i="31" l="1"/>
  <c r="C599" i="55" s="1"/>
  <c r="H598" i="55" s="1"/>
  <c r="H602" i="55" s="1"/>
  <c r="K121" i="31"/>
  <c r="Q563" i="55"/>
  <c r="D84" i="27" l="1"/>
  <c r="G84" i="27" s="1"/>
  <c r="D17" i="53"/>
  <c r="C63" i="55" s="1"/>
  <c r="E82" i="27"/>
  <c r="E84" i="27" s="1"/>
  <c r="H84" i="27" s="1"/>
  <c r="D54" i="31"/>
  <c r="D56" i="31" l="1"/>
  <c r="D50" i="31"/>
  <c r="G563" i="55"/>
  <c r="E83" i="30"/>
  <c r="E54" i="31" s="1"/>
  <c r="C64" i="55"/>
  <c r="G564" i="55" s="1"/>
  <c r="I564" i="55" s="1"/>
  <c r="L564" i="55" s="1"/>
  <c r="N564" i="55" s="1"/>
  <c r="D141" i="31"/>
  <c r="D143" i="31" s="1"/>
  <c r="J54" i="31"/>
  <c r="J56" i="31" s="1"/>
  <c r="J60" i="31" s="1"/>
  <c r="D85" i="30"/>
  <c r="H82" i="27"/>
  <c r="G83" i="30"/>
  <c r="D18" i="53"/>
  <c r="C15" i="53" s="1"/>
  <c r="D66" i="55" s="1"/>
  <c r="C141" i="31" l="1"/>
  <c r="E50" i="31"/>
  <c r="D60" i="31"/>
  <c r="G60" i="31" s="1"/>
  <c r="C143" i="31"/>
  <c r="E56" i="31"/>
  <c r="E85" i="30"/>
  <c r="C16" i="53"/>
  <c r="I563" i="55"/>
  <c r="L563" i="55" s="1"/>
  <c r="G571" i="55"/>
  <c r="G64" i="31" l="1"/>
  <c r="C88" i="31" s="1"/>
  <c r="E60" i="31"/>
  <c r="G572" i="55"/>
  <c r="G573" i="55" s="1"/>
  <c r="K54" i="31"/>
  <c r="K56" i="31" s="1"/>
  <c r="K60" i="31" s="1"/>
  <c r="I571" i="55"/>
  <c r="L571" i="55" l="1"/>
  <c r="H60" i="31"/>
  <c r="H64" i="31" s="1"/>
  <c r="D88" i="31" l="1"/>
  <c r="F88" i="31" s="1"/>
  <c r="N101" i="31"/>
  <c r="N103" i="31" s="1"/>
  <c r="N104" i="31" l="1"/>
  <c r="K104" i="31" s="1"/>
  <c r="K105" i="31" s="1"/>
  <c r="N116" i="31"/>
  <c r="N121" i="31" s="1"/>
  <c r="K109" i="31" l="1"/>
  <c r="N105" i="31"/>
  <c r="N109" i="31" s="1"/>
  <c r="O104" i="31"/>
  <c r="D75" i="16" l="1"/>
  <c r="D77" i="30" s="1"/>
  <c r="C7" i="42"/>
  <c r="E74" i="16"/>
  <c r="E75" i="16" s="1"/>
  <c r="D76" i="30"/>
  <c r="L94" i="31" s="1"/>
  <c r="D32" i="31" l="1"/>
  <c r="D132" i="31"/>
  <c r="D133" i="31" s="1"/>
  <c r="K577" i="55"/>
  <c r="G75" i="16"/>
  <c r="E77" i="30"/>
  <c r="D281" i="55"/>
  <c r="I76" i="30"/>
  <c r="G76" i="30"/>
  <c r="G78" i="30" s="1"/>
  <c r="E76" i="30"/>
  <c r="C8" i="42"/>
  <c r="D282" i="55" s="1"/>
  <c r="G577" i="55" l="1"/>
  <c r="C101" i="31"/>
  <c r="D10" i="42"/>
  <c r="C280" i="55"/>
  <c r="M577" i="55"/>
  <c r="H76" i="30"/>
  <c r="H78" i="30" s="1"/>
  <c r="C132" i="31" l="1"/>
  <c r="C133" i="31" s="1"/>
  <c r="M94" i="31"/>
  <c r="E32" i="31"/>
  <c r="C531" i="55" s="1"/>
  <c r="C102" i="31"/>
  <c r="G101" i="31"/>
  <c r="I101" i="31" s="1"/>
  <c r="H577" i="55"/>
  <c r="M101" i="31"/>
  <c r="M103" i="31" s="1"/>
  <c r="M105" i="31" l="1"/>
  <c r="M109" i="31" s="1"/>
  <c r="C104" i="31"/>
  <c r="M563" i="55"/>
  <c r="D556" i="55"/>
  <c r="F593" i="55" s="1"/>
  <c r="F104" i="31"/>
  <c r="C91" i="31" s="1"/>
  <c r="E109" i="31"/>
  <c r="E114" i="31" s="1"/>
  <c r="G102" i="31"/>
  <c r="I102" i="31" s="1"/>
  <c r="D109" i="31" s="1"/>
  <c r="D114" i="31" s="1"/>
  <c r="H578" i="55"/>
  <c r="H580" i="55" s="1"/>
  <c r="I577" i="55"/>
  <c r="G578" i="55"/>
  <c r="O99" i="31"/>
  <c r="L101" i="31"/>
  <c r="L103" i="31" s="1"/>
  <c r="K578" i="55"/>
  <c r="G593" i="55" l="1"/>
  <c r="F594" i="55"/>
  <c r="C598" i="55"/>
  <c r="M116" i="31"/>
  <c r="M121" i="31" s="1"/>
  <c r="F91" i="31"/>
  <c r="M572" i="55"/>
  <c r="C555" i="55"/>
  <c r="F598" i="55" s="1"/>
  <c r="M571" i="55"/>
  <c r="N563" i="55"/>
  <c r="G104" i="31"/>
  <c r="C597" i="55"/>
  <c r="G109" i="31"/>
  <c r="I578" i="55"/>
  <c r="I580" i="55" s="1"/>
  <c r="G580" i="55"/>
  <c r="M578" i="55"/>
  <c r="K580" i="55"/>
  <c r="M580" i="55" s="1"/>
  <c r="I104" i="31"/>
  <c r="G598" i="55" l="1"/>
  <c r="G602" i="55" s="1"/>
  <c r="F602" i="55"/>
  <c r="G594" i="55"/>
  <c r="K592" i="55"/>
  <c r="L105" i="31"/>
  <c r="O105" i="31" s="1"/>
  <c r="O103" i="31"/>
  <c r="L116" i="31"/>
  <c r="O116" i="31" s="1"/>
  <c r="N571" i="55"/>
  <c r="J592" i="55"/>
  <c r="D600" i="55"/>
  <c r="K596" i="55" l="1"/>
  <c r="L121" i="31"/>
  <c r="P116" i="31"/>
  <c r="L109" i="31"/>
  <c r="D61" i="31" l="1"/>
  <c r="C87" i="31" l="1"/>
  <c r="C89" i="31" s="1"/>
  <c r="C90" i="31" s="1"/>
  <c r="C92" i="31" s="1"/>
  <c r="J61" i="31"/>
  <c r="J64" i="31" s="1"/>
  <c r="E61" i="31"/>
  <c r="D87" i="31" s="1"/>
  <c r="D89" i="31" s="1"/>
  <c r="D90" i="31" s="1"/>
  <c r="D64" i="31"/>
  <c r="K61" i="31" l="1"/>
  <c r="K64" i="31" s="1"/>
  <c r="D92" i="31"/>
  <c r="E64" i="31"/>
  <c r="G65" i="31"/>
  <c r="H65" i="31" s="1"/>
  <c r="D66" i="31"/>
  <c r="J65" i="31"/>
  <c r="E66" i="31" l="1"/>
  <c r="K65" i="31"/>
  <c r="K593" i="55"/>
  <c r="K594" i="55" s="1"/>
  <c r="K595" i="55" s="1"/>
  <c r="O564" i="55"/>
  <c r="P564" i="55" l="1"/>
  <c r="R564" i="55" s="1"/>
  <c r="P458" i="55"/>
  <c r="O563" i="55" l="1"/>
  <c r="J593" i="55"/>
  <c r="J594" i="55" s="1"/>
  <c r="J595" i="55" s="1"/>
  <c r="J596" i="55" l="1"/>
  <c r="P563" i="55"/>
  <c r="R563" i="55" s="1"/>
  <c r="P457" i="55"/>
  <c r="F61" i="31" l="1"/>
  <c r="E87" i="31" s="1"/>
  <c r="E89" i="31" s="1"/>
  <c r="E90" i="31" s="1"/>
  <c r="L61" i="31" l="1"/>
  <c r="L64" i="31" s="1"/>
  <c r="F64" i="31"/>
  <c r="F66" i="31" l="1"/>
  <c r="L65" i="31"/>
  <c r="I65" i="31"/>
  <c r="I572" i="55"/>
  <c r="I573" i="55" s="1"/>
  <c r="F87" i="31"/>
  <c r="F89" i="31" l="1"/>
  <c r="E92" i="31" l="1"/>
  <c r="F90" i="31"/>
  <c r="L593" i="55" l="1"/>
  <c r="L594" i="55" s="1"/>
  <c r="L595" i="55" s="1"/>
  <c r="G92" i="31"/>
  <c r="O565" i="55"/>
  <c r="P565" i="55" s="1"/>
  <c r="R565" i="55" s="1"/>
  <c r="F92" i="31"/>
  <c r="L596" i="55" l="1"/>
</calcChain>
</file>

<file path=xl/comments1.xml><?xml version="1.0" encoding="utf-8"?>
<comments xmlns="http://schemas.openxmlformats.org/spreadsheetml/2006/main">
  <authors>
    <author>Author</author>
  </authors>
  <commentList>
    <comment ref="F61" authorId="0" shapeId="0">
      <text>
        <r>
          <rPr>
            <b/>
            <sz val="9"/>
            <color indexed="81"/>
            <rFont val="Tahoma"/>
            <family val="2"/>
          </rPr>
          <t xml:space="preserve">ISD ITC, SO DEDUCTED FROM HERE AND REFLCTED IN CREDIT FOR ISD
</t>
        </r>
      </text>
    </comment>
  </commentList>
</comments>
</file>

<file path=xl/sharedStrings.xml><?xml version="1.0" encoding="utf-8"?>
<sst xmlns="http://schemas.openxmlformats.org/spreadsheetml/2006/main" count="5460" uniqueCount="979">
  <si>
    <t>LAW CHARGES (EXCLUSIVE)</t>
  </si>
  <si>
    <t>PL 3750</t>
  </si>
  <si>
    <t>RCM</t>
  </si>
  <si>
    <t>TOTAL :</t>
  </si>
  <si>
    <t>NOT ACCRUED</t>
  </si>
  <si>
    <t xml:space="preserve"> </t>
  </si>
  <si>
    <t>RENT ON LOCKER RECEIVED BUT</t>
  </si>
  <si>
    <t>1836</t>
  </si>
  <si>
    <t>COMM. RECD. BUT NOT ACCRUED</t>
  </si>
  <si>
    <t>1720</t>
  </si>
  <si>
    <t>GL</t>
  </si>
  <si>
    <t>OBC POSTAGE CHARGES</t>
  </si>
  <si>
    <t>3318</t>
  </si>
  <si>
    <t>CASH CHARGES</t>
  </si>
  <si>
    <t>3316</t>
  </si>
  <si>
    <t>CHARGES ON GODOWNS</t>
  </si>
  <si>
    <t>3315</t>
  </si>
  <si>
    <t>CHQ. BOOK ISSUE CHARGES</t>
  </si>
  <si>
    <t>3314</t>
  </si>
  <si>
    <t>ECS RETD. CHARGES</t>
  </si>
  <si>
    <t>3313</t>
  </si>
  <si>
    <t>O/W CHQ. RET. CHARGES</t>
  </si>
  <si>
    <t>3312</t>
  </si>
  <si>
    <t>I/W CHQ. RET. CHARGES</t>
  </si>
  <si>
    <t>3311</t>
  </si>
  <si>
    <t>MIS. INCOME</t>
  </si>
  <si>
    <t>3310</t>
  </si>
  <si>
    <t>A/C SHARE TRANSFER FEES</t>
  </si>
  <si>
    <t>3305</t>
  </si>
  <si>
    <t>INCIDENTAL CHARGES</t>
  </si>
  <si>
    <t>3300</t>
  </si>
  <si>
    <t>COMM. ON PMSBY NEW INDIA ASSURANCE</t>
  </si>
  <si>
    <t>3287</t>
  </si>
  <si>
    <t xml:space="preserve">COMMISION ON PMJJBY LIC </t>
  </si>
  <si>
    <t>3286</t>
  </si>
  <si>
    <t>COMMISION ON RTGS</t>
  </si>
  <si>
    <t>3285</t>
  </si>
  <si>
    <t>ATM CHARGES</t>
  </si>
  <si>
    <t>3281</t>
  </si>
  <si>
    <t>INSURANCE PREMIUM</t>
  </si>
  <si>
    <t>3280</t>
  </si>
  <si>
    <t>COMMISION ON PAN</t>
  </si>
  <si>
    <t>3276</t>
  </si>
  <si>
    <t>PROCESSING CHARGE</t>
  </si>
  <si>
    <t>3270</t>
  </si>
  <si>
    <t>COMMISSION ON GUARANTEE</t>
  </si>
  <si>
    <t>3250</t>
  </si>
  <si>
    <t>COMMISION ON L.C.</t>
  </si>
  <si>
    <t>3245</t>
  </si>
  <si>
    <t>COMMISION ON U.B.C.</t>
  </si>
  <si>
    <t>3240</t>
  </si>
  <si>
    <t>COMMISION ON DEMAND DRAFT</t>
  </si>
  <si>
    <t>3235</t>
  </si>
  <si>
    <t>COMMISION ON GUARANTEE</t>
  </si>
  <si>
    <t>3230</t>
  </si>
  <si>
    <t>COMMISION I.B.C.</t>
  </si>
  <si>
    <t>3225</t>
  </si>
  <si>
    <t>COMMISION ON U.B.D.</t>
  </si>
  <si>
    <t>3220</t>
  </si>
  <si>
    <t>COMMISION ON PAYORDER</t>
  </si>
  <si>
    <t>3215</t>
  </si>
  <si>
    <t>COMMISION ON BILLS</t>
  </si>
  <si>
    <t>INCOME</t>
  </si>
  <si>
    <t>PL</t>
  </si>
  <si>
    <t xml:space="preserve">TOTAL </t>
  </si>
  <si>
    <t>PARTICULARS</t>
  </si>
  <si>
    <t>CODE NO.</t>
  </si>
  <si>
    <t>CGST</t>
  </si>
  <si>
    <t>IGST</t>
  </si>
  <si>
    <t>CURRENT MONTH INPUT TAX CREDIT AVAILABLE</t>
  </si>
  <si>
    <t>GL 8546 GGST</t>
  </si>
  <si>
    <t>GL 8547 CGST</t>
  </si>
  <si>
    <t>GL 8548 IGST</t>
  </si>
  <si>
    <t>NUTAN NAGARIK SAHAKARI BANK LTD (GUJARAT BRANCHES &amp; HEAD OFFICE)</t>
  </si>
  <si>
    <t xml:space="preserve">       </t>
  </si>
  <si>
    <t xml:space="preserve">SUMMARY </t>
  </si>
  <si>
    <t>(1) INCOME</t>
  </si>
  <si>
    <t>(2) INPUT TAX CREDIT</t>
  </si>
  <si>
    <t>BRANCH NAME : RAKHIAL BRANCH</t>
  </si>
  <si>
    <t>DIFFERENCE</t>
  </si>
  <si>
    <t>(1) INCOME AS PER LEDGERWISE CALCULATION</t>
  </si>
  <si>
    <t>(2) PAYABLE AS PER LEDGER</t>
  </si>
  <si>
    <t>ELIGIBLE CREDIT</t>
  </si>
  <si>
    <t>LESS : CREDIT CANNOT BE UTILISED (BCUZ GST NO NOT AVAILABLE IN BILL)</t>
  </si>
  <si>
    <t>BRANCH NAME : CHANGODAR BRANCH</t>
  </si>
  <si>
    <t>BRANCH NAME : NEW SHARDA MANDIR BRANCH</t>
  </si>
  <si>
    <t>BRANCH NAME : ISANPUR BRANCH</t>
  </si>
  <si>
    <t>3200</t>
  </si>
  <si>
    <t>BRANCH NAME : MANINAGAR BRANCH</t>
  </si>
  <si>
    <t>GGST</t>
  </si>
  <si>
    <t>BRANCH NAME : SHANTI COMMERCIAL BRANCH</t>
  </si>
  <si>
    <t>BRANCH NAME :MASKATI BRANCH</t>
  </si>
  <si>
    <t>BRANCH NAME : VEJALPUR BRANCH</t>
  </si>
  <si>
    <t>BRANCH NAME : PANJRAPOLE BRANCH</t>
  </si>
  <si>
    <t>BRANCH NAME : ASHRAM ROAD BRANCH</t>
  </si>
  <si>
    <t>BRANCH NAME :NARAYANNAGAR ROAD BRANCH</t>
  </si>
  <si>
    <t>BRANCH NAME : VASNA BRANCH</t>
  </si>
  <si>
    <t>BRANCH NAME : SURAT BRANCH</t>
  </si>
  <si>
    <t>BRANCH NAME : LAW GARDEN BRANCH</t>
  </si>
  <si>
    <t>BRANCH NAME : NEW CLOTH MARKET BRANCH</t>
  </si>
  <si>
    <t>BRANCH NAME : BAPUNAGAR BRANCH</t>
  </si>
  <si>
    <t>OUR GST NO. NOT REFLECTED ON CENVAT BILLS</t>
  </si>
  <si>
    <t>BSNL</t>
  </si>
  <si>
    <t>(2) REFUND GIVEN BUT GST REFUND NOT GIVEN</t>
  </si>
  <si>
    <t>(3) PAYABLE AS PER LEDGER</t>
  </si>
  <si>
    <t>BRANCH NAME : BOPAL BRANCH</t>
  </si>
  <si>
    <t>BRANCH NAME : THALTEJ  BRANCH</t>
  </si>
  <si>
    <t>NUTAN NAGARIK SAHAKARI BANK LTD., HEAD OFFICE</t>
  </si>
  <si>
    <t>LETTERS OF GUARANTEE</t>
  </si>
  <si>
    <t>DEBIT CARD CHARGES INCOME</t>
  </si>
  <si>
    <t>IMPS CHARGES INCOME</t>
  </si>
  <si>
    <t>COMMISSION ON RTGS</t>
  </si>
  <si>
    <t xml:space="preserve">   </t>
  </si>
  <si>
    <t>SHARE TRANSFER FEES</t>
  </si>
  <si>
    <t>3309</t>
  </si>
  <si>
    <t>MIS. INCOME WITH GST</t>
  </si>
  <si>
    <t>3338</t>
  </si>
  <si>
    <t>A/C NEFT/RTGS TRANSACTION PROCESSING INCOME</t>
  </si>
  <si>
    <t>COMMISSION RECD. BUT NOT ACCRUED</t>
  </si>
  <si>
    <t>LAW CHARGES</t>
  </si>
  <si>
    <t>NUTAN NAGARIK SAHAKARI BANK LTD., DEMAT  BRANCH</t>
  </si>
  <si>
    <t>ASBA COMMISSION</t>
  </si>
  <si>
    <t>REFERAL INCOME</t>
  </si>
  <si>
    <t>ACCOUNT OPENING FORM  CHARGES</t>
  </si>
  <si>
    <t>DEMATERIALISATION CHARGES</t>
  </si>
  <si>
    <t>KRA UPLOAD CHARGES</t>
  </si>
  <si>
    <t>ANNUAL MAINTANCE CHARGES</t>
  </si>
  <si>
    <t>SELL TRANSACTION CHARGES</t>
  </si>
  <si>
    <t>DELIVERY SLIP BOOK CHARGES</t>
  </si>
  <si>
    <t>PEDGE CHARGES</t>
  </si>
  <si>
    <t>STATEMENT CHARGES</t>
  </si>
  <si>
    <t>LATE INSTRUCTION CHARGES</t>
  </si>
  <si>
    <t>IDEAS</t>
  </si>
  <si>
    <t>DEMAT CHARGES RECD. BUT NOT ACCURED</t>
  </si>
  <si>
    <t>NUTAN NAGARIK SAHAKARI BANK LTD (GUJARAT BRANCHES &amp; HEAD OFFICE &amp; DEMAT)</t>
  </si>
  <si>
    <t>TOTAL</t>
  </si>
  <si>
    <t>INTEREST INCOME (EXEMPTED)</t>
  </si>
  <si>
    <t>DIFF.</t>
  </si>
  <si>
    <t>(4) INPUT TAX CREDIT</t>
  </si>
  <si>
    <t>PARTICULAR</t>
  </si>
  <si>
    <t>CASH LEDGER BALANCE</t>
  </si>
  <si>
    <t>UTILISED IN CURRENT MONTH</t>
  </si>
  <si>
    <t>Description</t>
  </si>
  <si>
    <t>Paid through ITC</t>
  </si>
  <si>
    <t>Integrated Tax</t>
  </si>
  <si>
    <t>Central Tax</t>
  </si>
  <si>
    <t>State/UT Tax</t>
  </si>
  <si>
    <t>Cess</t>
  </si>
  <si>
    <t>Total</t>
  </si>
  <si>
    <t>(6) UTILISED IN CURRENT MONTH</t>
  </si>
  <si>
    <t>(5) CASH &amp; CREDIT LEDGER</t>
  </si>
  <si>
    <t>CREDIT LEDGER</t>
  </si>
  <si>
    <t>CASH LEDGER</t>
  </si>
  <si>
    <t xml:space="preserve">  </t>
  </si>
  <si>
    <t>INOPERATIVE CHARGES</t>
  </si>
  <si>
    <t>SGST</t>
  </si>
  <si>
    <t>ADHOC LIMIT CHARGES</t>
  </si>
  <si>
    <t>NUTAN NAGRIK SAHAKARI BANK LIMITED, ODHAV</t>
  </si>
  <si>
    <t>SR. NO</t>
  </si>
  <si>
    <t>DR. RS.</t>
  </si>
  <si>
    <t>CR. RS</t>
  </si>
  <si>
    <t>GL 1878 GGST PAYABLE A/C. DR….</t>
  </si>
  <si>
    <t>GL 1879 CGST PAYABLE A/C. DR….</t>
  </si>
  <si>
    <t xml:space="preserve">      TO HO </t>
  </si>
  <si>
    <t>(BEING GST PAYABLE FOR THE MONTH OF</t>
  </si>
  <si>
    <t>HO DR…….</t>
  </si>
  <si>
    <t>PL 4197 SERVICE TAX/GST EXPENSES A/C. DR</t>
  </si>
  <si>
    <t xml:space="preserve">      TO GL 8546 GGST RECEIVABLE A/C..</t>
  </si>
  <si>
    <t xml:space="preserve">      TO GL 8547 CGST RECEIVABLE A/C..</t>
  </si>
  <si>
    <t>(BEING 50% SET OFF TRF TO EXPS PL4197 AND</t>
  </si>
  <si>
    <t>50% TRF TO HO)</t>
  </si>
  <si>
    <t>NUTAN NAGRIK SAHAKARI BANK LIMITED, RAKHIAL</t>
  </si>
  <si>
    <t>NUTAN NAGRIK SAHAKARI BANK LIMITED, CHANGODAR</t>
  </si>
  <si>
    <t>NUTAN NAGRIK SAHAKARI BANK LIMITED, NEW SHARDA MANDIR</t>
  </si>
  <si>
    <t>NUTAN NAGRIK SAHAKARI BANK LIMITED, ISANPUR</t>
  </si>
  <si>
    <t>NUTAN NAGRIK SAHAKARI BANK LIMITED, MANINAGAR</t>
  </si>
  <si>
    <t>NUTAN NAGRIK SAHAKARI BANK LIMITED, SHANTI COMMERCIAL CENTRE</t>
  </si>
  <si>
    <t>NUTAN NAGRIK SAHAKARI BANK LIMITED, MASKATI MARKET</t>
  </si>
  <si>
    <t xml:space="preserve">      TO GL 8548 IGST RECEIVABLE A/C..</t>
  </si>
  <si>
    <t>NUTAN NAGRIK SAHAKARI BANK LIMITED, VEJALPUR</t>
  </si>
  <si>
    <t>NUTAN NAGRIK SAHAKARI BANK LIMITED, JODHPUR/SATTELITE</t>
  </si>
  <si>
    <t>NUTAN NAGRIK SAHAKARI BANK LIMITED, PANJARAPOLE</t>
  </si>
  <si>
    <t>NUTAN NAGRIK SAHAKARI BANK LIMITED, ASHRAM ROAD</t>
  </si>
  <si>
    <t>NUTAN NAGRIK SAHAKARI BANK LIMITED, NARAYANNAGAR</t>
  </si>
  <si>
    <t>NUTAN NAGRIK SAHAKARI BANK LIMITED, NARANPURA</t>
  </si>
  <si>
    <t>NUTAN NAGRIK SAHAKARI BANK LIMITED, DRIVE IN ROAD</t>
  </si>
  <si>
    <t>NUTAN NAGRIK SAHAKARI BANK LIMITED, VASNA</t>
  </si>
  <si>
    <t>BAPUNAGAR</t>
  </si>
  <si>
    <t>NUTAN NAGRIK SAHAKARI BANK LIMITED, SURAT</t>
  </si>
  <si>
    <t>NUTAN NAGRIK SAHAKARI BANK LIMITED, LAW GARDEN</t>
  </si>
  <si>
    <t>NUTAN NAGRIK SAHAKARI BANK LIMITED, NEW CLOTH MARKET</t>
  </si>
  <si>
    <t>NUTAN NAGRIK SAHAKARI BANK LIMITED, BAPUNAGAR</t>
  </si>
  <si>
    <t>NUTAN NAGRIK SAHAKARI BANK LIMITED, BOPAL</t>
  </si>
  <si>
    <t>NUTAN NAGRIK SAHAKARI BANK LIMITED, THALTEJ</t>
  </si>
  <si>
    <t>NUTAN NAGRIK SAHAKARI BANK LIMITED, DEMAT</t>
  </si>
  <si>
    <t>GL 1880 IGST PAYABLE A/C. DR….</t>
  </si>
  <si>
    <t>NUTAN NAGRIK SAHAKARI BANK LIMITED, HEAD OFFICE</t>
  </si>
  <si>
    <t>VASNA</t>
  </si>
  <si>
    <t xml:space="preserve">      TO GL 1881 GROSS GGST PAYABLE A/C..</t>
  </si>
  <si>
    <t xml:space="preserve">      TO GL 1882 GROSS CGST PAYABLE A/C..</t>
  </si>
  <si>
    <t>GL 8549 GROSS GGST RECEIVABLE A/C. DR….</t>
  </si>
  <si>
    <t>GL 8551 GROSS CGST RECEIVABLE A/C. DR….</t>
  </si>
  <si>
    <t xml:space="preserve">      TO VASNA</t>
  </si>
  <si>
    <t>(BEING SET OFF OF BRANCH FOR THE MONTH OF</t>
  </si>
  <si>
    <t>NEW CLOTH MARKET</t>
  </si>
  <si>
    <t>NEW CLOTH MARKET DR…….</t>
  </si>
  <si>
    <t xml:space="preserve">      TO NEW CLOTH MARKET</t>
  </si>
  <si>
    <t>ASHRAM ROAD</t>
  </si>
  <si>
    <t>ASHRAM ROAD DR…….</t>
  </si>
  <si>
    <t xml:space="preserve">      TO ASHRAM ROAD</t>
  </si>
  <si>
    <t>THALTEJ</t>
  </si>
  <si>
    <t>THALTEJ DR…….</t>
  </si>
  <si>
    <t xml:space="preserve">      TO THALTEJ</t>
  </si>
  <si>
    <t>DRIVE IN ROAD</t>
  </si>
  <si>
    <t>DRIVE IN ROAD DR…….</t>
  </si>
  <si>
    <t xml:space="preserve">      TO DRIVE IN ROAD</t>
  </si>
  <si>
    <t>ODHAV</t>
  </si>
  <si>
    <t>ODHAV DR…….</t>
  </si>
  <si>
    <t xml:space="preserve">      TO ODHAV</t>
  </si>
  <si>
    <t>NEW SHARDA MANDIR</t>
  </si>
  <si>
    <t>NEW SHARDA MANDIR DR…….</t>
  </si>
  <si>
    <t xml:space="preserve">      TO NEW SHARDA MANDIR</t>
  </si>
  <si>
    <t>SHANTI COMMERCIAL CENTRE</t>
  </si>
  <si>
    <t>SHANTI COMMERCIAL CENTRE DR…….</t>
  </si>
  <si>
    <t xml:space="preserve">      TO SHANTI COMMERCIAL CENTRE</t>
  </si>
  <si>
    <t xml:space="preserve">NARAYANNAGAR </t>
  </si>
  <si>
    <t>NARAYANNAGAR DR…….</t>
  </si>
  <si>
    <t xml:space="preserve">      TO NARAYANNAGAR</t>
  </si>
  <si>
    <t>MASKATI MARKET</t>
  </si>
  <si>
    <t>MASKATI MARKET DR…….</t>
  </si>
  <si>
    <t>GL 8552 GROSS IGST RECEIVABLE A/C. DR….</t>
  </si>
  <si>
    <t xml:space="preserve">      TO MASKATI MARKET</t>
  </si>
  <si>
    <t>BOPAL</t>
  </si>
  <si>
    <t>BOPAL DR…….</t>
  </si>
  <si>
    <t xml:space="preserve">      TO BOPAL</t>
  </si>
  <si>
    <t>VEJALPUR</t>
  </si>
  <si>
    <t>VEJALPUR DR…….</t>
  </si>
  <si>
    <t xml:space="preserve">      TO VEJALPUR</t>
  </si>
  <si>
    <t>BAPUNAGAR DR…….</t>
  </si>
  <si>
    <t xml:space="preserve">      TO BAPUNAGAR</t>
  </si>
  <si>
    <t>SURAT</t>
  </si>
  <si>
    <t>SURAT DR…….</t>
  </si>
  <si>
    <t xml:space="preserve">      TO SURAT</t>
  </si>
  <si>
    <t>CHANGODAR</t>
  </si>
  <si>
    <t>CHANGODAR DR…….</t>
  </si>
  <si>
    <t xml:space="preserve">      TO CHANGODAR</t>
  </si>
  <si>
    <t>LAW GARDEN</t>
  </si>
  <si>
    <t>LAW GARDEN DR…….</t>
  </si>
  <si>
    <t xml:space="preserve">      TO LAW GARDEN</t>
  </si>
  <si>
    <t>JODHPUR/SATTELITE</t>
  </si>
  <si>
    <t>JODHPUR DR…….</t>
  </si>
  <si>
    <t xml:space="preserve">      TO JODHPUR</t>
  </si>
  <si>
    <t>PANJARAPOLE</t>
  </si>
  <si>
    <t>PANJARAPOLE DR…….</t>
  </si>
  <si>
    <t xml:space="preserve">      TO PANJARAPOLE</t>
  </si>
  <si>
    <t>NARANPURA</t>
  </si>
  <si>
    <t>NARANPURA DR…….</t>
  </si>
  <si>
    <t xml:space="preserve">      TO NARANPURA</t>
  </si>
  <si>
    <t>RAKHIAL</t>
  </si>
  <si>
    <t>RAKHIAL DR…….</t>
  </si>
  <si>
    <t xml:space="preserve">      TO RAKHIAL</t>
  </si>
  <si>
    <t>ISANPUR</t>
  </si>
  <si>
    <t>ISANPUR DR…….</t>
  </si>
  <si>
    <t xml:space="preserve">      TO ISANPUR</t>
  </si>
  <si>
    <t>MANINAGAR</t>
  </si>
  <si>
    <t>MANINAGAR DR…….</t>
  </si>
  <si>
    <t xml:space="preserve">      TO MANINAGAR</t>
  </si>
  <si>
    <t>DEMAT</t>
  </si>
  <si>
    <t>DEMAT DR…….</t>
  </si>
  <si>
    <t xml:space="preserve">      TO GL 1883 GROSS IGST PAYABLE A/C..</t>
  </si>
  <si>
    <t xml:space="preserve">      TO DEMAT</t>
  </si>
  <si>
    <t>HEAD OFFICE</t>
  </si>
  <si>
    <t>50% TRF TO GROSS RECEIVABLE)</t>
  </si>
  <si>
    <t xml:space="preserve">      TO GL 8549 GROSS GGST RECEIVABLE A/C..</t>
  </si>
  <si>
    <t xml:space="preserve">      TO GL 8551 GROSS CGST RECEIVABLE A/C..</t>
  </si>
  <si>
    <t>(BEING SET OFF TRF TO EXPS PL4197 OF BILLS</t>
  </si>
  <si>
    <t>GL 1881 GROSS GGST PAYABLE A/C. DR….</t>
  </si>
  <si>
    <t>GL 1882 GROSS CGST PAYABLE A/C. DR….</t>
  </si>
  <si>
    <t>(BEING SET OFF TAKEN OF CGST)</t>
  </si>
  <si>
    <t>GL 1883 GROSS IGST PAYABLE A/C. DR….</t>
  </si>
  <si>
    <t xml:space="preserve">      TO GL 8552 GROSS IGST RECEIVABLE A/C..</t>
  </si>
  <si>
    <t>(BEING SET OFF TAKEN OF IGST)</t>
  </si>
  <si>
    <t>(BEING SET OFF TAKEN OF GGST &amp; IGST)</t>
  </si>
  <si>
    <t>BRANCH NAME :DRIVE IN BRANCH</t>
  </si>
  <si>
    <t>PAYABLE</t>
  </si>
  <si>
    <t>RECEIVABLE</t>
  </si>
  <si>
    <t>THE P&amp;T CHARGES FOR LC/BG</t>
  </si>
  <si>
    <t>OUR GST NUMBER NOT REFLECTED ON GST BILLS</t>
  </si>
  <si>
    <t>BRANCH NAME :NARANPURA BRANCH</t>
  </si>
  <si>
    <t xml:space="preserve">RENT ON LOCKER </t>
  </si>
  <si>
    <t>RENT ON LOCKER</t>
  </si>
  <si>
    <t>ATM CHARGES  (NFS)</t>
  </si>
  <si>
    <t>COMM. ON PMJJBY LIC</t>
  </si>
  <si>
    <t xml:space="preserve">      TO GL 8548 CGST RECEIVABLE A/C..</t>
  </si>
  <si>
    <t>PAYABLE AS PER LEDGER</t>
  </si>
  <si>
    <t>OTHER BRANCHES-GL</t>
  </si>
  <si>
    <t>TOTAL-GL</t>
  </si>
  <si>
    <t>RECEIVABLE AS PER LEDGER</t>
  </si>
  <si>
    <t>DEMAT-GL</t>
  </si>
  <si>
    <t>PENAL INEREST ON CASH CREDIT</t>
  </si>
  <si>
    <t>SMS CHARGES INCOME RECEIVED</t>
  </si>
  <si>
    <t>BRANCH NAME : JODHPUR BRANCH</t>
  </si>
  <si>
    <t>LESS: ADVANCE</t>
  </si>
  <si>
    <t>ROUNDING OF INCOME</t>
  </si>
  <si>
    <t>TOTAL ADVANCES</t>
  </si>
  <si>
    <t>SALE OF OLD NEWSPAPERS</t>
  </si>
  <si>
    <t>OUR GST NO. NOT REFLECTED ON GST BILLS</t>
  </si>
  <si>
    <t>LESS: CASH LEDGER BALANCE</t>
  </si>
  <si>
    <t>NET PAYABLE BY CASH</t>
  </si>
  <si>
    <t>TOTAL AVAILABLE BALANCE</t>
  </si>
  <si>
    <t>TOTAL TURNOVER</t>
  </si>
  <si>
    <t>LESS: UTILISED IN CURRENT MONTH</t>
  </si>
  <si>
    <t>AIRTEL</t>
  </si>
  <si>
    <t xml:space="preserve">      TO 1881 GROSS GGST PAYABLE</t>
  </si>
  <si>
    <t xml:space="preserve">      TO 1882 GROSS CGST PAYABLE</t>
  </si>
  <si>
    <t>(BEING RCM PAYABLE FOR THE MONTH OF</t>
  </si>
  <si>
    <t xml:space="preserve">     TO SUNDRY BALANCE CR…</t>
  </si>
  <si>
    <t>.</t>
  </si>
  <si>
    <t>GJ</t>
  </si>
  <si>
    <t>IMPS</t>
  </si>
  <si>
    <t>MMS</t>
  </si>
  <si>
    <t>NACH</t>
  </si>
  <si>
    <t>PARTY NAME</t>
  </si>
  <si>
    <t>UPI CHARGES INCOME</t>
  </si>
  <si>
    <t>UPI</t>
  </si>
  <si>
    <t>CIBIL CHARGES</t>
  </si>
  <si>
    <t>DIFF.(INCOME OF CURRENT MONTH)</t>
  </si>
  <si>
    <t>WORKING FOR GSTR 1</t>
  </si>
  <si>
    <t>REGISTERED PARTIES DETAILS</t>
  </si>
  <si>
    <t>(1) NON TAXABLE INCOME/EXEMPT INCOME</t>
  </si>
  <si>
    <t>3291</t>
  </si>
  <si>
    <t>TOTAL PAYABLE</t>
  </si>
  <si>
    <t xml:space="preserve">Tax payable                 </t>
  </si>
  <si>
    <t>CR. RS.</t>
  </si>
  <si>
    <t>BRANCH NAME : ODHAV BRANCH</t>
  </si>
  <si>
    <t>INCOME FROM SALE OF OLD NEWS PAPERS</t>
  </si>
  <si>
    <t>GL 1881 GROSS GGST PAYABLE DR…</t>
  </si>
  <si>
    <t>GL 1882 GROSS CGST PAYABLE DR…</t>
  </si>
  <si>
    <t>CHALLAN</t>
  </si>
  <si>
    <t xml:space="preserve">TDS RECEIVABLE IS UTILISED FOR RCM PAYABLE AND </t>
  </si>
  <si>
    <t>REST TO BE PAID)</t>
  </si>
  <si>
    <t>(BEING CASH LEDGER BALANCE WITH RESPECT TO GST</t>
  </si>
  <si>
    <t>BRANCH CODE: 22</t>
  </si>
  <si>
    <t>BRANCH CODE: 17</t>
  </si>
  <si>
    <t>BRANCH CODE: 09</t>
  </si>
  <si>
    <t>BRANCH NAME : 03</t>
  </si>
  <si>
    <t>BRANCH CODE: 41</t>
  </si>
  <si>
    <t>BRANCH CODE: 04</t>
  </si>
  <si>
    <t>BRANCH CODE: 21</t>
  </si>
  <si>
    <t>BRANCH CODE: 13</t>
  </si>
  <si>
    <t>BRANCH CODE: 11</t>
  </si>
  <si>
    <t>BRANCH CODE: 16</t>
  </si>
  <si>
    <t>BRANCH CODE: 06</t>
  </si>
  <si>
    <t>BRANCH CODE: 05</t>
  </si>
  <si>
    <t>TAXABLE AMT</t>
  </si>
  <si>
    <t>INCENTIVE FROM NSDL</t>
  </si>
  <si>
    <t>PARTY</t>
  </si>
  <si>
    <t>INTRA STATE URD</t>
  </si>
  <si>
    <t>TOTAL URD</t>
  </si>
  <si>
    <t>PL 3751</t>
  </si>
  <si>
    <t>INCIDENTAL LAW CHARGES (EXCLUSIVE)</t>
  </si>
  <si>
    <t>SUMMARY</t>
  </si>
  <si>
    <t>REGULAR PAYABLE IN CASH</t>
  </si>
  <si>
    <t>INCIDENTAL LAW CHARGES</t>
  </si>
  <si>
    <t>MISCELLANEOUS INCOME</t>
  </si>
  <si>
    <t>BRANCH CODE:12</t>
  </si>
  <si>
    <t>BRANCH CODE: 8</t>
  </si>
  <si>
    <t>BRANCH CODE: 20</t>
  </si>
  <si>
    <t>BRANCH CODE:10</t>
  </si>
  <si>
    <t>BRANCH CODE: 19</t>
  </si>
  <si>
    <t>BRANCH CODE: 15</t>
  </si>
  <si>
    <t>BRANCH CODE: 18</t>
  </si>
  <si>
    <t>BRANCH CODE: 07</t>
  </si>
  <si>
    <t>CGST (1879)</t>
  </si>
  <si>
    <t>SGST (1878)</t>
  </si>
  <si>
    <t>IGST (1880)</t>
  </si>
  <si>
    <t>CGST (8547)</t>
  </si>
  <si>
    <t>SGST (8546)</t>
  </si>
  <si>
    <t>IGST (8548)</t>
  </si>
  <si>
    <t>(1) LAW CHARGES(PL 3750) AND INCIDENTAL LAW CHARGES(PL 3751)</t>
  </si>
  <si>
    <t>INELLIGBLE  CREDIT</t>
  </si>
  <si>
    <t>BRANCH CODE: 14</t>
  </si>
  <si>
    <t>OUR GST NO. NOT REFLECTED ON CENVAT BILLS &amp; BLOCKED CREDIT</t>
  </si>
  <si>
    <t>REFUND WITHOUT GST</t>
  </si>
  <si>
    <t>REFUND WITH GST</t>
  </si>
  <si>
    <t>BRANCH CODE: 01</t>
  </si>
  <si>
    <t>ALL BRANCHES EXCEPT HO AND DEMAT</t>
  </si>
  <si>
    <t>LOCKER CLOSED CREDIT</t>
  </si>
  <si>
    <t>LCOKER CLOSED CREDIT</t>
  </si>
  <si>
    <t>LOCKER CLOSED</t>
  </si>
  <si>
    <t>INELIBILBLE CREDIT</t>
  </si>
  <si>
    <t>INELLIGBLE CREDIT</t>
  </si>
  <si>
    <t xml:space="preserve">LOCKER CLOSED </t>
  </si>
  <si>
    <t>INELLIGEBLE  CREDIT</t>
  </si>
  <si>
    <t xml:space="preserve">MIS. INCOME </t>
  </si>
  <si>
    <t>HSN WISE SUMMARY</t>
  </si>
  <si>
    <t>3317</t>
  </si>
  <si>
    <t>3320</t>
  </si>
  <si>
    <t>3321</t>
  </si>
  <si>
    <t>3322</t>
  </si>
  <si>
    <t>3391</t>
  </si>
  <si>
    <t>3301</t>
  </si>
  <si>
    <t>DIFF</t>
  </si>
  <si>
    <t>3292</t>
  </si>
  <si>
    <t>TOTAL INCOME AS PER CAL</t>
  </si>
  <si>
    <t>PL CODE</t>
  </si>
  <si>
    <t>INCOME ASPER CAL</t>
  </si>
  <si>
    <t>PROFIT ON SALE OF ASSET</t>
  </si>
  <si>
    <t>BILL DESK COMMISSION</t>
  </si>
  <si>
    <t>SALE OF OLD CHAIRS</t>
  </si>
  <si>
    <t>GL 8600/1/41</t>
  </si>
  <si>
    <t>INELIGIBLE CREDIT</t>
  </si>
  <si>
    <t>COMMISION  I.B.C.</t>
  </si>
  <si>
    <t>GSTIN MISSING</t>
  </si>
  <si>
    <t>NAME</t>
  </si>
  <si>
    <t>MOBILE BILL DISK COMM. (BBPS)</t>
  </si>
  <si>
    <t>CGST PAYABLE</t>
  </si>
  <si>
    <t>IGST PAYABLE</t>
  </si>
  <si>
    <t>GGST PAYABLE</t>
  </si>
  <si>
    <t>AS PER ENTRIES</t>
  </si>
  <si>
    <t xml:space="preserve">total </t>
  </si>
  <si>
    <t>Ineligibele</t>
  </si>
  <si>
    <t>Net</t>
  </si>
  <si>
    <t>as per cal.</t>
  </si>
  <si>
    <t>diff</t>
  </si>
  <si>
    <t>Particulars</t>
  </si>
  <si>
    <t>OPENING BAL</t>
  </si>
  <si>
    <t>UTILISATION</t>
  </si>
  <si>
    <t>CLOSING BAL.</t>
  </si>
  <si>
    <t>RCM ITC</t>
  </si>
  <si>
    <t>AS PER CAL</t>
  </si>
  <si>
    <t>PROVISION MADE</t>
  </si>
  <si>
    <t>PL CODE NO.</t>
  </si>
  <si>
    <t>GL 1883 GROSS IGST PAYABLE DR…</t>
  </si>
  <si>
    <t>AS PER PL CAL.</t>
  </si>
  <si>
    <t>ADD/(LESS) TRF FROM IGST TO CGST &amp; SGST EQUALLY TROUGH PMT 09</t>
  </si>
  <si>
    <t xml:space="preserve"> A/C (MEITY) INCENTIVE REC FROM NPCI(UPI/POS)</t>
  </si>
  <si>
    <t>LESS:IGST URD SMALL</t>
  </si>
  <si>
    <t>PENALTY ON OVERDUE LOCKER RENT</t>
  </si>
  <si>
    <t>PENALTY ON OVERDUE RENT ON LOCKER</t>
  </si>
  <si>
    <t>ROHAN AGENCY</t>
  </si>
  <si>
    <t>BRANCH CODE:2</t>
  </si>
  <si>
    <t>PAYABLE AS PER BRNACH WISE CALCULATION (LEDGER)</t>
  </si>
  <si>
    <t xml:space="preserve">INVESTMENT FLUCTU FUND BROUGHT </t>
  </si>
  <si>
    <t>LESS: CASH LEDGER</t>
  </si>
  <si>
    <t>REGULAR PAYABLE</t>
  </si>
  <si>
    <t>RCM PAYABLE</t>
  </si>
  <si>
    <t>COMMISION ON APY-NPS</t>
  </si>
  <si>
    <t>(3) REFUND GIVEN BUT GST REFUND NOT GIVEN</t>
  </si>
  <si>
    <t>EXEMPT INCOME</t>
  </si>
  <si>
    <t xml:space="preserve">     TO 8562 CGST TDS RECEIVABLE</t>
  </si>
  <si>
    <t xml:space="preserve">     TO 8561 GGST TDS RECEIVABLE</t>
  </si>
  <si>
    <t>3306-INT. ON INCOME TAX REFUND A/C</t>
  </si>
  <si>
    <t>3353-EXCESS PROV.FOR I.T WRTN BACK</t>
  </si>
  <si>
    <t>GRAND TOTAL</t>
  </si>
  <si>
    <t>TOTAL INCOME</t>
  </si>
  <si>
    <t>8561 GGST TDS RECEIVABLE DR…</t>
  </si>
  <si>
    <t>8562 CGST TDS RECEIVABLE DR…</t>
  </si>
  <si>
    <t xml:space="preserve">      TO 8563 IGST TDS RECEIVABLE</t>
  </si>
  <si>
    <t>(BEING GST TDS CREDIT OF IGST TRFERED TO CGST &amp; GGST EQUALLY)</t>
  </si>
  <si>
    <t xml:space="preserve">(BEING UTILISING CASH (RECEIVED TRHOGH TDS CREDIT) </t>
  </si>
  <si>
    <t>INTRA STATE URD 18%</t>
  </si>
  <si>
    <t xml:space="preserve">(3) REVERSE CHARGE MECHANISM </t>
  </si>
  <si>
    <t>(7) CASH PAYABLE</t>
  </si>
  <si>
    <t>GL 1880 IGST PAYABLE A/C. DR…..</t>
  </si>
  <si>
    <t>SALE OF ASSET ( CASH COUNTING MACHINE)</t>
  </si>
  <si>
    <t>SALE OF ASSET</t>
  </si>
  <si>
    <t>DEMAT MODIFICATION CHARGES</t>
  </si>
  <si>
    <t>READ NOTE -3</t>
  </si>
  <si>
    <t>100% figure</t>
  </si>
  <si>
    <t>GL 8551</t>
  </si>
  <si>
    <t>3327 INCOME TAX REFUND</t>
  </si>
  <si>
    <t>LESS: INTRA STATE URD 12% (REVOLVING CHAIR)</t>
  </si>
  <si>
    <t>LESS: INTRA STATE URD 28% (AIR CONDITIONER)</t>
  </si>
  <si>
    <t>Sr.No.</t>
  </si>
  <si>
    <t>Bill No.</t>
  </si>
  <si>
    <t>Bill Date</t>
  </si>
  <si>
    <t>Pay Date</t>
  </si>
  <si>
    <t>Party</t>
  </si>
  <si>
    <t>GST No.</t>
  </si>
  <si>
    <t>Taxable</t>
  </si>
  <si>
    <t>S.GST</t>
  </si>
  <si>
    <t>C.GST</t>
  </si>
  <si>
    <t>I.GST</t>
  </si>
  <si>
    <t>Other</t>
  </si>
  <si>
    <t>Net Amt.</t>
  </si>
  <si>
    <t>TOTAL CREDIT - Table - 4 A. (5)</t>
  </si>
  <si>
    <t>A. OPENING BALANCE OF INPUT</t>
  </si>
  <si>
    <t>4 A(5) All other ITC (Table - 4 A. (5))</t>
  </si>
  <si>
    <t>4 A(3) RCM CREDIT OF CURRENT MONTH (Table 4 A. (3))</t>
  </si>
  <si>
    <t>4 B.(1) REVERSED BLOCKED CREDIT + 50% REVERSAL RCM+REGULAR (Table 4 B. (1))</t>
  </si>
  <si>
    <t>B. Net ITC available {4 A(3)+4 A(5)-4 B(1)}</t>
  </si>
  <si>
    <t>TOTAL CREDIT AVAILABLE (A+B)</t>
  </si>
  <si>
    <t>FILING CABINET 18%</t>
  </si>
  <si>
    <t>AIR CONDTIONER MACHINE 28%</t>
  </si>
  <si>
    <t>ASBA COMMISSION INCOME NOT RECORDED IN BOOKS BUT INOICE ISSUED.</t>
  </si>
  <si>
    <t>remarks</t>
  </si>
  <si>
    <t xml:space="preserve">GL 8549 </t>
  </si>
  <si>
    <t>GL 8552</t>
  </si>
  <si>
    <t>DEBIT SIDE OF GL</t>
  </si>
  <si>
    <t>CREDIT SIDE OF GL</t>
  </si>
  <si>
    <t>GL 1881</t>
  </si>
  <si>
    <t>GL 1882</t>
  </si>
  <si>
    <t>GL 1883</t>
  </si>
  <si>
    <t>(BEING SHORT COLLECTION TRF TO EXPS)</t>
  </si>
  <si>
    <t>OPENING</t>
  </si>
  <si>
    <t>CLOSING ON PORTAL</t>
  </si>
  <si>
    <t>CLOSING AFTER ENTRIES(50%)</t>
  </si>
  <si>
    <t>LESS : CREDIT CANNOT BE UTILISED (BCUZ GST NO NOT AVAILABLE IN BILL)         (100% FIGURE)</t>
  </si>
  <si>
    <t xml:space="preserve">            (50% FIGURE)</t>
  </si>
  <si>
    <t>LESS: BILLS NOT REFELECTED IN GSTR-2B (READ BELOW NOTE - 1)                           (100% FIGURE)</t>
  </si>
  <si>
    <t xml:space="preserve"> LESS : BLOCKED CREDIT</t>
  </si>
  <si>
    <t>BALANCE AS PER BOOKS IN GROSS RECEIVABLE</t>
  </si>
  <si>
    <t>BALANCE CARRIED FORWARD IN PORTAL</t>
  </si>
  <si>
    <t xml:space="preserve">DIFFERENCE TO BE TRF AS EXPS. </t>
  </si>
  <si>
    <t>INSTANT MARKETING INC.</t>
  </si>
  <si>
    <t>INTEL AIR TECHNOLOGIES</t>
  </si>
  <si>
    <t>ADD: BILLS OF PREVIOUS MONTH REFLCTED IN 2B OF CURRENT MONTH SO AVAILED IN CURRENT MONTH (NOTE:2)</t>
  </si>
  <si>
    <t>GL 1881 GROSS GGST PAYABLE A/C..  DR</t>
  </si>
  <si>
    <t>GL 1882 GROSS CGST PAYABLE A/C..  DR</t>
  </si>
  <si>
    <t>GL 1883 GROSS IGST PAYABLE A/C..   DR</t>
  </si>
  <si>
    <t xml:space="preserve">                      TO PL 4197 SERVICE TAX/GST EXPENSES A/C</t>
  </si>
  <si>
    <t>ITC NOT TAKEN TILL DATE</t>
  </si>
  <si>
    <t>RTGS/NEFT MANUAL CHARGES</t>
  </si>
  <si>
    <t>ASBA FORM PRINT CHARGES</t>
  </si>
  <si>
    <t>PO CANCEL CHARGES</t>
  </si>
  <si>
    <t>3296</t>
  </si>
  <si>
    <t>3297</t>
  </si>
  <si>
    <t>3298</t>
  </si>
  <si>
    <t>MANDATE HANDLING CHARGES</t>
  </si>
  <si>
    <t>STATMENT CHARGES</t>
  </si>
  <si>
    <t>3299</t>
  </si>
  <si>
    <t>SI  EXECUTION  FAILED CHARGES</t>
  </si>
  <si>
    <t>RENEWAL FEES</t>
  </si>
  <si>
    <t>BLOCK CREDIT</t>
  </si>
  <si>
    <t>LESS:REGISTERED  (net of credit note)</t>
  </si>
  <si>
    <t>TOTAL GST DIRECT WITH INCOME</t>
  </si>
  <si>
    <t xml:space="preserve">MIS. INCOME WITH GST </t>
  </si>
  <si>
    <t>HRPL RESTAURANTS PVT LTD</t>
  </si>
  <si>
    <t>PRIME DINE</t>
  </si>
  <si>
    <t xml:space="preserve">(BEING TRANSFER OF CREDIT RECODED IN PAYABLE ACCOUNT INTO  </t>
  </si>
  <si>
    <t>RECEIVABLE ACCOUNT)</t>
  </si>
  <si>
    <t xml:space="preserve">PROCESSING CHARGE </t>
  </si>
  <si>
    <t>MAA BEVERAGES</t>
  </si>
  <si>
    <t>ON WHICH GST NO NOT MENTIONED)</t>
  </si>
  <si>
    <t>OF WHCH CREDIT ARE  BLOCKED UNDER SECTION 17(5) )</t>
  </si>
  <si>
    <t xml:space="preserve">(BEING REVERSAL OF GST AMOUNT AS BRANCH </t>
  </si>
  <si>
    <t>SHIV SHAKTI SWEETS &amp; SNACKS</t>
  </si>
  <si>
    <t>DIRECT CREDIT THE TOTAL AMOUNT IN PL 3310)</t>
  </si>
  <si>
    <t xml:space="preserve"> PL 3310 MIS. INCOME  A/C.. DR</t>
  </si>
  <si>
    <t xml:space="preserve">       TO GL 1878 GGST PAYABLE A/C. </t>
  </si>
  <si>
    <t xml:space="preserve">       TO GL 1879 CGST PAYABLE A/C.</t>
  </si>
  <si>
    <t xml:space="preserve">OF WHCH CREDIT ARE  RECODED BUT NOT REFLECTED IN </t>
  </si>
  <si>
    <t>GSTR-2B TILL DATE )</t>
  </si>
  <si>
    <t>INCOME FROM E-STAMPING</t>
  </si>
  <si>
    <t>MEITY INCENTIVE</t>
  </si>
  <si>
    <t>(BEING REVERSAL OF ENTRY WRONGLY PASS BY</t>
  </si>
  <si>
    <t>Note - 1: Z:\PC-1 MASTER\law\GST\23-24\2.DECEMBER-2023\GSTR-3B\GUJARAT\FINAL COMPUTATION\3.CUMMULATIVE BILLS NOT REFLCTED IN 2B"</t>
  </si>
  <si>
    <t>Note - 2: Z:\PC-1 MASTER\law\GST\23-24\2.DECEMBER-2023\GSTR-3B\GUJARAT\FINAL COMPUTATION\3.CUMMULATIVE BILLS NOT REFLCTED IN 2B"</t>
  </si>
  <si>
    <t>GL 8548 GGST RECEIVABLE A/C.. DR..</t>
  </si>
  <si>
    <t>GL 8547 CGST RECEIVABLE A/C.. DR..</t>
  </si>
  <si>
    <t>BRANCH IN GGST INSTEAD OF CGST)_</t>
  </si>
  <si>
    <t>BRANCH IN CGST AND SGST INSTEAD OF IGST)</t>
  </si>
  <si>
    <t xml:space="preserve">MATCHING OF GL </t>
  </si>
  <si>
    <t xml:space="preserve">(1) INCOME AS PER LEDGERWISE CALCULATION </t>
  </si>
  <si>
    <t xml:space="preserve">(2) Sale of Asset (Sale value in case of loss on sale of asset) </t>
  </si>
  <si>
    <t>PL 3354 PROVISION FOR OD INTEREST WRITTEN BACK</t>
  </si>
  <si>
    <t>3304 BUILD FUND PROV BROGHT BAK</t>
  </si>
  <si>
    <t>NON GST</t>
  </si>
  <si>
    <t>PL 3310 MIS. INCOME    DR…</t>
  </si>
  <si>
    <t xml:space="preserve">(BEING CREATE GST PAYABLE ON THE INCOME DIRECTLY CREDITED </t>
  </si>
  <si>
    <t>IN PL 3310)</t>
  </si>
  <si>
    <t>MANNUAL</t>
  </si>
  <si>
    <t xml:space="preserve">Interest on late payment of RCM </t>
  </si>
  <si>
    <t>Motor Car</t>
  </si>
  <si>
    <t>REVERSED)</t>
  </si>
  <si>
    <t>GL 1881 GROSS GGST PAYABLE A/C..DR</t>
  </si>
  <si>
    <t>GL 1882 GROSS CGST PAYABLE A/C..DR</t>
  </si>
  <si>
    <t>GL 1883 GROSS IGST PAYABLE A/C..DR</t>
  </si>
  <si>
    <t xml:space="preserve"> TO PL 4197 SERVICE TAX/GST EXPENSES A/C.</t>
  </si>
  <si>
    <t>3348-INVESTMENT DEP. WRITTEN BACK</t>
  </si>
  <si>
    <t>NEFT INCOME</t>
  </si>
  <si>
    <t xml:space="preserve">(BEING WRONG ENRTY OF PURCHASE RETURN PASS IN 1880 </t>
  </si>
  <si>
    <t>INSEAD OF 8548)</t>
  </si>
  <si>
    <t xml:space="preserve">TO GL 1878 GGST PAYABLE A/C. </t>
  </si>
  <si>
    <t xml:space="preserve">TO GL 1879 CGST PAYABLE A/C. </t>
  </si>
  <si>
    <t>NPCI SETTLEMENT</t>
  </si>
  <si>
    <t>BRANCH HENCE SAME IS REVERSED AND TRANSFERRED TO PL AC)</t>
  </si>
  <si>
    <t xml:space="preserve">(BEING GST TWICE RECORDED IN 1878 AC INSTEAD OF RECORDING IN </t>
  </si>
  <si>
    <t>1879 AC HENCE SAME IS REVERSED)</t>
  </si>
  <si>
    <t xml:space="preserve">3307 WRITTEN OF  AMT RECOVERED </t>
  </si>
  <si>
    <t>PO CANCEL CHRAGES</t>
  </si>
  <si>
    <t>OVER DRAFT</t>
  </si>
  <si>
    <t>INVOICE NO</t>
  </si>
  <si>
    <t>TAXABLE</t>
  </si>
  <si>
    <t>DATE</t>
  </si>
  <si>
    <t>B2B CREDIT NOTE</t>
  </si>
  <si>
    <t>CREDIT NOTE B2B</t>
  </si>
  <si>
    <t>SEZ INVOICE</t>
  </si>
  <si>
    <t>PROFIT ON SALE OF INVESTMENT(S)(GROSS AMT)</t>
  </si>
  <si>
    <t>DSA(BODY CORPORATE,PARTNERSHIP,LLP) 4112 YELLO COLOUR</t>
  </si>
  <si>
    <t>rcm paid in cash</t>
  </si>
  <si>
    <t>PL 3402 BDDR BROUGHT BACK</t>
  </si>
  <si>
    <t>3331- DIVIDEND</t>
  </si>
  <si>
    <t>(2) DSA COMMISSION PL 4117</t>
  </si>
  <si>
    <t>MICR CLEARING CHARGES</t>
  </si>
  <si>
    <t>MICR CHARGES</t>
  </si>
  <si>
    <t xml:space="preserve">                            TO GL 8562 GROSS GGST RECEIVABLE A/C</t>
  </si>
  <si>
    <t>GL 8551 GROSS GGST RECEIVABLE A/C</t>
  </si>
  <si>
    <t>DD CANCEL CHARGES</t>
  </si>
  <si>
    <t>INCOME FROM NON JUDICIAL FRANKING STAMP(3275)</t>
  </si>
  <si>
    <t>COMMITEMENT CHARGES</t>
  </si>
  <si>
    <t>PROVISION CREATED  OF PL 4117</t>
  </si>
  <si>
    <t>KANDOI BHOGILAL MULCHAND</t>
  </si>
  <si>
    <t>ITC NOT REFLECTED IN GSTRT-2B TILL CURRENT MONTH</t>
  </si>
  <si>
    <t>CREDIT NOTE</t>
  </si>
  <si>
    <t>GL 8546 GGST RECEIVABLE A/C.. DR..</t>
  </si>
  <si>
    <t>GL 8547 GGST RECEIVABLE A/C..DR..</t>
  </si>
  <si>
    <t xml:space="preserve">TO GL 1880 IGST PAYABLE A/C. </t>
  </si>
  <si>
    <t xml:space="preserve">(BEING GST PAYABLE OF IGST WRONGLY </t>
  </si>
  <si>
    <t xml:space="preserve">RECORDED IN CGST AND SGST PAYABLE HENCE </t>
  </si>
  <si>
    <t>SAME IS RECTIFIED)</t>
  </si>
  <si>
    <t xml:space="preserve">  GL 8546 GGST RECEIVABLE A/C..DR…</t>
  </si>
  <si>
    <t xml:space="preserve">  GL 8547 CGST RECEIVABLE A/C..DR…</t>
  </si>
  <si>
    <t>(BEING WRONGLY ENTRY PASS BY BRACH HENCE</t>
  </si>
  <si>
    <t>SAME IS TO BE RECTIFIED)</t>
  </si>
  <si>
    <t>GL 1880 CGST PAYABLE A/C.  DR</t>
  </si>
  <si>
    <t xml:space="preserve">                                TO 1878 GGST PAYABLE A/C</t>
  </si>
  <si>
    <t xml:space="preserve">                                TO 1889 SGST PAYABLE A/C</t>
  </si>
  <si>
    <t>HO A/C. DR….</t>
  </si>
  <si>
    <t>PLZ CHANGE IN THE MONTH OF DEC'24</t>
  </si>
  <si>
    <t>TO GL 1880 IGST PAYABLE A/C…</t>
  </si>
  <si>
    <t>(BEING GST PAYABLE OF IGST WRONGLY RECORDED IN CGST AND SGST</t>
  </si>
  <si>
    <t>PAYABLE HENCE SAME IS RECTIFIED)</t>
  </si>
  <si>
    <t xml:space="preserve">    GL 8551 GROSS CGST RECEIVABALE A/C. DR…</t>
  </si>
  <si>
    <t>TO GL 8549 GROSS GGST RECEIVABLE A/C…</t>
  </si>
  <si>
    <t>TO GL 8552 GROSS IGST  RECEIVABLE A/C…</t>
  </si>
  <si>
    <t>TO PL 4197 SERVICE TAX/GST EXPENSES A/C…</t>
  </si>
  <si>
    <t>HENCE SAME IS TRF TO EXP ACCOUNT)</t>
  </si>
  <si>
    <t>GL 8562 CGST TDS RECEIVABLE DR…</t>
  </si>
  <si>
    <t xml:space="preserve">                                TO GL 8561 SGST TDS RECEIVABLE</t>
  </si>
  <si>
    <t xml:space="preserve">                                TO GL 8563 IGST TDS RECEIVABLE</t>
  </si>
  <si>
    <t>(BEING ROUND OFF DIFFRENCE TRANSFER TO EXPENSE)</t>
  </si>
  <si>
    <t xml:space="preserve">(SHORT ITC REVERSED IN THE MONTH OF DEC'23 HENCE SAME IS </t>
  </si>
  <si>
    <t>DEC 2024 TRANSFER TO HO)</t>
  </si>
  <si>
    <t>(2) RENT PL(3702)</t>
  </si>
  <si>
    <t>EXTERNAL AUDIT FEES</t>
  </si>
  <si>
    <t>GL 8562 CGST TDS RECEIVABLE DR.</t>
  </si>
  <si>
    <t>GL  8561 GGST TDS RECEIVABLE DR.</t>
  </si>
  <si>
    <t xml:space="preserve">      TO GL 1878 GGST PAYABLE A/C.</t>
  </si>
  <si>
    <t xml:space="preserve">      TO GL 1879 CGST PAYABLE A/C.</t>
  </si>
  <si>
    <t>PL 4197 SERVICE TAX/GST EXPENSES A/C. DR…</t>
  </si>
  <si>
    <t>(BEING GST RECTIFICATION ENTRIES FOR THE MONTH OF</t>
  </si>
  <si>
    <t xml:space="preserve"> JAN 2025)</t>
  </si>
  <si>
    <t>TO PL 4197 SERVICE TAX/GST EXPENSES A/C. DR</t>
  </si>
  <si>
    <t>GL 8546 GGST RECEIVABLE A/C..</t>
  </si>
  <si>
    <t>GL 8547 CGST RECEIVABLE A/C..</t>
  </si>
  <si>
    <t xml:space="preserve"> A/C COMMITMENT AMT FORFEITED  </t>
  </si>
  <si>
    <t>VINAYAK AIR TRAVELS</t>
  </si>
  <si>
    <t>ROHAN Agency</t>
  </si>
  <si>
    <t>(BEING GST WRONG ENTRY PASSED BY BRANCH</t>
  </si>
  <si>
    <t xml:space="preserve"> MARCH  2025)</t>
  </si>
  <si>
    <t>(BEING TWO TIMES GST CHARGED IN 1878 PL)</t>
  </si>
  <si>
    <t xml:space="preserve">       TO GL 1878 GGST PAYABLE A/C. DR….</t>
  </si>
  <si>
    <t xml:space="preserve">       TO GL 1879 CGST PAYABLE A/C. DR….</t>
  </si>
  <si>
    <t xml:space="preserve">        TO GL 1879 CGST PAYABLE A/C…</t>
  </si>
  <si>
    <t xml:space="preserve">        TO GL 1878 GGST PAYABLE A/C..</t>
  </si>
  <si>
    <t xml:space="preserve">(BEING GST NOT CHARGED BUT INCOME BOOKED </t>
  </si>
  <si>
    <t>IN PL, NOW ENTRY BEING PASSED)</t>
  </si>
  <si>
    <t>MARCH 2025 TRANSFER TO HO)</t>
  </si>
  <si>
    <t>(BEING GST BOOKED ON PL 3825 EXTERNAL</t>
  </si>
  <si>
    <t>AUDIT FEES)</t>
  </si>
  <si>
    <t xml:space="preserve">             TO GL 1883 GROSS IGST PAYABLE A/C..  </t>
  </si>
  <si>
    <t>Remarks</t>
  </si>
  <si>
    <t>A/C COMPUTER SYSTEMS</t>
  </si>
  <si>
    <t>SALE OF ASSET ( Air Conditioner)</t>
  </si>
  <si>
    <t>PROVISION REVERSED  OF PL 4117</t>
  </si>
  <si>
    <t>IFFCO- TOKIO GENERAL INS.CO.LTD.</t>
  </si>
  <si>
    <t>UNION BANK OF INDIA</t>
  </si>
  <si>
    <t>JET LIFTS PVT. LTD.</t>
  </si>
  <si>
    <t xml:space="preserve">Central Tax </t>
  </si>
  <si>
    <t xml:space="preserve">State/UT Tax </t>
  </si>
  <si>
    <t>COMMITTMENT CHARGES</t>
  </si>
  <si>
    <t>COMMITMENT CHARGES</t>
  </si>
  <si>
    <t>DEP AMT BK MMCB OF SHREYAS</t>
  </si>
  <si>
    <t>RowNo</t>
  </si>
  <si>
    <t>GSTIN</t>
  </si>
  <si>
    <t>Name</t>
  </si>
  <si>
    <t>Status</t>
  </si>
  <si>
    <t>ORCHID CENTER COMM CO-OP SER SOC LTO</t>
  </si>
  <si>
    <t>VENUS MOTORS</t>
  </si>
  <si>
    <t>KRISHNA IMPEX</t>
  </si>
  <si>
    <t>CURRENT MONTH ISD  INPUT TAX CREDIT AVAILABLE</t>
  </si>
  <si>
    <t>ALL OTHER ITC AVAILABLE</t>
  </si>
  <si>
    <t>4 A(4)  Inward supplies from ISD</t>
  </si>
  <si>
    <t>CREDIT FOR ISD</t>
  </si>
  <si>
    <t>(BEING AMOUNT TRF TO ISD A/C)</t>
  </si>
  <si>
    <t>(BEING SET OFF ENRTY OF ISD CREDIT UTILISATION)</t>
  </si>
  <si>
    <t>LESS:. ISD CREDIT</t>
  </si>
  <si>
    <t>NET ITC AFTER ISD CREDIT</t>
  </si>
  <si>
    <t xml:space="preserve">           TO GL 8546 GGST RECEIVABLE A/C…</t>
  </si>
  <si>
    <t xml:space="preserve">           TO GL 8547 CGST RECEIVABLE A/C…</t>
  </si>
  <si>
    <t xml:space="preserve">           TO GL 8548 IGST RECEIVABLE A/C…</t>
  </si>
  <si>
    <t>OPENING ISD</t>
  </si>
  <si>
    <t>GROSS CGST ISD RECEIVABLE A/C. DR..</t>
  </si>
  <si>
    <t xml:space="preserve"> TO  GROSS GGST ISD RECEIVABLE A/C…</t>
  </si>
  <si>
    <t xml:space="preserve"> TO GROSS CGST ISD RECEIVABLE A/C…</t>
  </si>
  <si>
    <t xml:space="preserve"> TO GROSS IGST ISD RECEIVABLE A/C…</t>
  </si>
  <si>
    <t xml:space="preserve"> TO  GROSS CGST ISD RECEIVABLE A/C…</t>
  </si>
  <si>
    <t xml:space="preserve"> TO  GROSS IGST ISD RECEIVABLE A/C…</t>
  </si>
  <si>
    <t>(BEING 50% SET OFF OF ISD TRF TO EXPS PL4197)</t>
  </si>
  <si>
    <t>GROSS IGST ISD RECEIVABLE A/C. DR…</t>
  </si>
  <si>
    <t>GROSS GGST ISD RECEIVABLE A/C. DR</t>
  </si>
  <si>
    <t>GROSS IGST ISD RECEIVABLE  (ANDHERI) A/C. DR…</t>
  </si>
  <si>
    <t xml:space="preserve">(BEING ISD AMOUNT OF ANDHERI BRANCH TRANSFERRED FROM </t>
  </si>
  <si>
    <t>HO BRANCH)</t>
  </si>
  <si>
    <t xml:space="preserve">        TO PL 4197 SERVICE TAX/GST EXPENSES A/C. DR</t>
  </si>
  <si>
    <t>(BEING GST RECIFICATION ENTRY DONE IN NARANPURA</t>
  </si>
  <si>
    <t xml:space="preserve"> BRANCH HENCE SAME IS TRANSFERRED TO PL AC)</t>
  </si>
  <si>
    <t xml:space="preserve">ISD </t>
  </si>
  <si>
    <t>SATELIITE ELECTRONICS AND CONTROLS</t>
  </si>
  <si>
    <t>MOGRA GLASS CORPORATION</t>
  </si>
  <si>
    <t>GL 8576</t>
  </si>
  <si>
    <t>GL 8577</t>
  </si>
  <si>
    <t>GL 8578</t>
  </si>
  <si>
    <t>GL 8546 GGST RECEIVABLE A/C. DR…</t>
  </si>
  <si>
    <t>GL 8547 CGST RECEIVABLE A/C.DR…</t>
  </si>
  <si>
    <t xml:space="preserve">       TO PL 4197 SERVICE TAX/GST EXPENSES A/C…</t>
  </si>
  <si>
    <t>HO DR…</t>
  </si>
  <si>
    <t xml:space="preserve">         TO PL 4197 SERVICE TAX/GST EXPENSES A/C. </t>
  </si>
  <si>
    <t>(BEING GST RECIFICATION ENTRY DONE)</t>
  </si>
  <si>
    <t>(BEING EXCESS ITC RECORDED IN NARAYANNAGAR BRANCH</t>
  </si>
  <si>
    <t>CREDIT (ANDHERI BRANCH)</t>
  </si>
  <si>
    <t>TOTAL ISD DEBIT</t>
  </si>
  <si>
    <t xml:space="preserve">NET ISD OF GUJARAT </t>
  </si>
  <si>
    <t>GL 8549 GROSS GGST RECEIVABLE A/C DR..</t>
  </si>
  <si>
    <t>GL 8551 GROSS CGST  RECEIVABLE A/C DR…</t>
  </si>
  <si>
    <t xml:space="preserve">                            TO GL 8576 SGST ISD RECEIVABLE    A/C</t>
  </si>
  <si>
    <t xml:space="preserve">                            TO 8577 CGST ISD RECEIVABLE    A/C</t>
  </si>
  <si>
    <t>FORECLOSURE CHARGES</t>
  </si>
  <si>
    <t>Cancelled on application of Taxpayer</t>
  </si>
  <si>
    <t>24AAGHS9141G1Z2</t>
  </si>
  <si>
    <t>AMEX ENTERPRISES</t>
  </si>
  <si>
    <t>Cancelled suo-moto</t>
  </si>
  <si>
    <t>24AAPFK9865J1ZJ</t>
  </si>
  <si>
    <t>K SAI CREATION</t>
  </si>
  <si>
    <t>24AGDPD3739Q1Z6</t>
  </si>
  <si>
    <t>OM SHRI GARMENT</t>
  </si>
  <si>
    <t>KOTAK MAHINDRA LIFE INSURANCE COMPANY LTD.</t>
  </si>
  <si>
    <t xml:space="preserve"> GL 8549 GROSS GGST RECEIVABLE A/C. DR….</t>
  </si>
  <si>
    <t xml:space="preserve">                    TO GL 8549 GROSS GGST RECEIVABLE A/C.</t>
  </si>
  <si>
    <t xml:space="preserve">                    TO GL 8551 GROSS CGST RECEIVABLE A/C.</t>
  </si>
  <si>
    <t xml:space="preserve">                    TO GL 8552 GROSS IGST RECEIVABLE A/C. </t>
  </si>
  <si>
    <t>MIS. INCOME WITH GST 5%</t>
  </si>
  <si>
    <t>24AAJFD9471D1ZF</t>
  </si>
  <si>
    <t>DIYA FABRICS</t>
  </si>
  <si>
    <t>24ABOPG8463E1ZK</t>
  </si>
  <si>
    <t>ARIHANT MEDICAL STORES</t>
  </si>
  <si>
    <t>24ARMPP4261B2ZX</t>
  </si>
  <si>
    <t>BEENA TEXTILE</t>
  </si>
  <si>
    <t>TRISHUL MARKETING</t>
  </si>
  <si>
    <t>RINKU CORPORATION</t>
  </si>
  <si>
    <t>(BEING WRONG ENTRY MADE EXPENSED OFF)</t>
  </si>
  <si>
    <t xml:space="preserve"> TO GROSS GGST ISD RECEIVABLE A/C…</t>
  </si>
  <si>
    <t>(BEING LAST MONTH ISD ENTRY PENDING PASSEDE IN THIS MONTH A/C)</t>
  </si>
  <si>
    <t>GROSS CGST ISD RECEIVABLE A/C…  DR</t>
  </si>
  <si>
    <t>GROSS IGST ISD RECEIVABLE A/C… DR</t>
  </si>
  <si>
    <t>GST NO</t>
  </si>
  <si>
    <t>AHMEDABAD PLASTICS AND GENERAL AGENCY</t>
  </si>
  <si>
    <t>SUPER SPICES GLOBAL</t>
  </si>
  <si>
    <t>ORION ENTERPRISE</t>
  </si>
  <si>
    <t>LAXMI JWELLERY EXPORT PVT. LTD.</t>
  </si>
  <si>
    <t>UMIYA PLY &amp; HARDWARE</t>
  </si>
  <si>
    <t>ADITYA SOLSURF PRIVATE LIMITED</t>
  </si>
  <si>
    <t>KABIR TECHNOLOGIES PVT LTD</t>
  </si>
  <si>
    <t xml:space="preserve">      TO PL 4197 SERVICE TAX/GST EXPENSES A/C.</t>
  </si>
  <si>
    <t>997119 -B2C 18%</t>
  </si>
  <si>
    <t>997119 -B2C 5%</t>
  </si>
  <si>
    <t>(BEING SET OFF TRF TO EXPS PL4197 OF BILLS OF F.Y.24-25</t>
  </si>
  <si>
    <t>isd</t>
  </si>
  <si>
    <t>(BEING WRONG ENTRY PASSED BY THEM  NOW RECTIFIED)</t>
  </si>
  <si>
    <t>LESS:SHORT ITC REVERSED IN THE MONTH OF  NOV'23 HENCE SAME IS REVERSED IN THE MONTH APR'24</t>
  </si>
  <si>
    <t>(BEING GST WRONGLY CHARGED TO GL 1878 )</t>
  </si>
  <si>
    <t xml:space="preserve">                TO GL 1879 CGST PAYABLE A/C. </t>
  </si>
  <si>
    <t xml:space="preserve">(BEING GST BOOKED TWO TIMES IN GL 1878, NOW </t>
  </si>
  <si>
    <t>LOAN PROCESSING FEES</t>
  </si>
  <si>
    <t>24BNRPS4663Q1ZW</t>
  </si>
  <si>
    <t>ARASURI VASAN BHANDAR</t>
  </si>
  <si>
    <t>HOTEL BALAJI</t>
  </si>
  <si>
    <t>DALIA MOTOR PVT.LTD.</t>
  </si>
  <si>
    <t xml:space="preserve">                TO GL 1878 CGST PAYABLE A/C. </t>
  </si>
  <si>
    <t>(BEING TDS RECTIFICATION ENTRIES FOR THE MONTH OF DEC 2025)</t>
  </si>
  <si>
    <t>(BEING GST RECTIFICATION ENTRIES FOR THE MONTH OF DEC 2025)</t>
  </si>
  <si>
    <t>(BEING GST SET OFF ENTRIES  MONTH OF DEC 2025)</t>
  </si>
  <si>
    <t xml:space="preserve">               TO GL 1878 GGST PAYABLE A/C.</t>
  </si>
  <si>
    <t xml:space="preserve">               TO GL 1879 CGST PAYABLE A/C.</t>
  </si>
  <si>
    <t>(BEING EXPENSE OFF ENTRY PASSED)</t>
  </si>
  <si>
    <t xml:space="preserve">          TO GL 1879 CGST PAYABLE A/C. </t>
  </si>
  <si>
    <t xml:space="preserve">          TO GL 1880 IGST PAYABLE A/C.</t>
  </si>
  <si>
    <t>d</t>
  </si>
  <si>
    <t>24AAWPP0088K1Z3</t>
  </si>
  <si>
    <t>ASHOK AUTO CENTRE</t>
  </si>
  <si>
    <t>24EMUPS2027B1Z1</t>
  </si>
  <si>
    <t>SHRI BALAJI LOGISTICS AHMEDABAD</t>
  </si>
  <si>
    <t>AS DISSCUSS WITH HARDIK BHAI ENTRY PASSED BY NIMESH BHAI</t>
  </si>
  <si>
    <t>BRANCH CODE: 23</t>
  </si>
  <si>
    <t>BRANCH NAME : CHANDKHEDA BRANCH</t>
  </si>
  <si>
    <t>BRANCH NAME : VASTRAL BRANCH</t>
  </si>
  <si>
    <t>BRANCH CODE: 24</t>
  </si>
  <si>
    <t>KATARIA AUTOMOBILES PRIVATE LIMITED</t>
  </si>
  <si>
    <t>INSTITUTE OF CHARTERED ACCOUNTANTS OF INDIA</t>
  </si>
  <si>
    <t>MARCH 2026 TRANSFER FROM BRANCH)</t>
  </si>
  <si>
    <t>NUTAN NAGRIK SAHAKARI BANK LIMITED, VASTRAL</t>
  </si>
  <si>
    <t>NUTAN NAGRIK SAHAKARI BANK LIMITED, CHANDKHEDA</t>
  </si>
  <si>
    <t>VASTRAL</t>
  </si>
  <si>
    <t>CHANDKHEDA</t>
  </si>
  <si>
    <t>CHANDKHEDA DR…….</t>
  </si>
  <si>
    <t xml:space="preserve">      TO CHANDKHEDA</t>
  </si>
  <si>
    <t>VASTRAL DR…….</t>
  </si>
  <si>
    <t xml:space="preserve">      TO VASTRAL</t>
  </si>
  <si>
    <t>(BEING CREDIT OF PERFORMA INVOICE TAKEN IN DEC-25 NOW REVERSE)</t>
  </si>
  <si>
    <t>LEDGER BALANCE FOR THE MONTH OF MARCH)</t>
  </si>
  <si>
    <t>MARCH 2025 TRANSFER FROM BRANCH)</t>
  </si>
  <si>
    <t>JAYSINGHS ICECREAM AND COLDDRINKS</t>
  </si>
  <si>
    <t>Note-1</t>
  </si>
  <si>
    <t>Note-2</t>
  </si>
  <si>
    <t>(2) TAXABLE INCOME</t>
  </si>
  <si>
    <t xml:space="preserve">    TO PL 4197 SERVICE TAX/GST EXPENSES A/C</t>
  </si>
  <si>
    <t>(BEING MARCH 2026 ENTRY RECTIFIED)</t>
  </si>
  <si>
    <t xml:space="preserve">        TO GL 1878 GGST PAYABLE A/C.</t>
  </si>
  <si>
    <t xml:space="preserve">        TO GL 1879 CGST PAYABLE A/C. </t>
  </si>
  <si>
    <t>(RECTIFICATION OF MARCH-26 MADE)</t>
  </si>
  <si>
    <t>(BEING RECTIFICATION ENTRY PASSED)</t>
  </si>
  <si>
    <t xml:space="preserve">(BEING ENTRY WRONGLY PASSED IN GL 1878,1879 </t>
  </si>
  <si>
    <t>INSTEAD OF BEING PASSED IN 8546, 8547  )</t>
  </si>
  <si>
    <t>BRANCH CODE: 99</t>
  </si>
  <si>
    <t xml:space="preserve">INCOME FROM E-STAMPING     </t>
  </si>
  <si>
    <t>24AAFHN9209R1ZK</t>
  </si>
  <si>
    <t>SHAH MANISHKUMAR RAJENDRAKUMAR</t>
  </si>
  <si>
    <t>ADITI ENTERPRISE</t>
  </si>
  <si>
    <t>OUR GST NO. NOT REFLECTED ON CENVAT BILLS AND BLOCKED CREDIT U/S 17(5)(100%)</t>
  </si>
  <si>
    <t>ISD ITC OF ANDHERI</t>
  </si>
  <si>
    <t>In Vasna Branch, entry booked in GL 8546 dtd 02/05/2026 of Rs. 1395 but ommited to be booked in GL 8547. Hence difference arises.</t>
  </si>
  <si>
    <t>Vasna Branch</t>
  </si>
  <si>
    <t>Note-3</t>
  </si>
  <si>
    <t>In Surat Branch, entry dtd 22/05/2026 wrongly made in GL 8546, 8547 instead of being done in GL 1878, 1879 respectively.</t>
  </si>
  <si>
    <t>Note-4</t>
  </si>
  <si>
    <t>Difference dur to rectification entry</t>
  </si>
  <si>
    <t xml:space="preserve">NOTE- RS 54056/- arises due to wrongly amount gets deducted from the bank account. The entry for the same needs to be passed at time of taking refund. And Rs 315/- difference </t>
  </si>
  <si>
    <t xml:space="preserve">    TO GL 8546 GGST RECEIVABLE A/C..</t>
  </si>
  <si>
    <t xml:space="preserve">   TO GL 8547 CGST RECEIVABLE A/C..</t>
  </si>
  <si>
    <t xml:space="preserve"> IGST ISD RECEIVABLE A/C… DR</t>
  </si>
  <si>
    <t>(BEING AMOUNT TRF FROM GL 8552 TO  IGST ISD A/C.)</t>
  </si>
  <si>
    <t xml:space="preserve">           TO GL 1878 GGST PAYABLE A/C.</t>
  </si>
  <si>
    <t>GL 8546 GGST RECEIVABLE A/C..  DR….</t>
  </si>
  <si>
    <t>GL 8547 CGST RECEIVABLE A/C..  DR….</t>
  </si>
  <si>
    <t xml:space="preserve">           TO GL 1879 CGST PAYABLE A/C. DR….</t>
  </si>
  <si>
    <t>PL 4112</t>
  </si>
  <si>
    <t xml:space="preserve">DSA MARKETING EXPENSES        </t>
  </si>
  <si>
    <t>INCOME AS ON 30-06-2026 (A)</t>
  </si>
  <si>
    <t>24AANFB5570B1ZP</t>
  </si>
  <si>
    <t>B KALPESHKUMAR &amp; CO</t>
  </si>
  <si>
    <t>24AARPJ0462G1ZT</t>
  </si>
  <si>
    <t>ADINATH PROVISION STORES</t>
  </si>
  <si>
    <t>24AEGPS5998R1Z9</t>
  </si>
  <si>
    <t>MAHAVIR TEX FAB</t>
  </si>
  <si>
    <t>24AZUPT6260A1Z5</t>
  </si>
  <si>
    <t>SHREE BAHUCHAR SELECTION</t>
  </si>
  <si>
    <t>24AIKPD4193M1Z0</t>
  </si>
  <si>
    <t>JAI GANESH ENTERPRISES</t>
  </si>
  <si>
    <t>24AGVPS0389M1ZH</t>
  </si>
  <si>
    <t>Paridhi Textiles</t>
  </si>
  <si>
    <t>24AFBFS2255R1ZL</t>
  </si>
  <si>
    <t xml:space="preserve">ADD.  : SEZ INCOME </t>
  </si>
  <si>
    <t>Note- Difference of Rs 125632.42/- arises in receivable ledger. The entry for the same will be passed by the branch.</t>
  </si>
  <si>
    <t xml:space="preserve">TRANSFERRED TO GL 1879 &amp; ENTRY NOT CORRECTED </t>
  </si>
  <si>
    <t xml:space="preserve">BY THEM LAST MONTH .) </t>
  </si>
  <si>
    <t xml:space="preserve">               TO GL 1881 GROSS GGST PAYABLE A/C</t>
  </si>
  <si>
    <t xml:space="preserve">               TO GL 1882 GROSS CGST PAYABLE A/C</t>
  </si>
  <si>
    <t>(BEING GST RECTIFICATION ENTRIES FOR THE MONTH OF JUNE'26)</t>
  </si>
  <si>
    <t>SALE OF ASSET (CASH COUNTING MACHINE)</t>
  </si>
  <si>
    <t>INCOME AS ON 31-07-2026 (A)</t>
  </si>
  <si>
    <t>INCOM FOR JULY-26 (A)-(B)</t>
  </si>
  <si>
    <t>INCOME FOR JULY 26 (A)-(B)</t>
  </si>
  <si>
    <t>24AAIHS2564K1ZU</t>
  </si>
  <si>
    <t>BHAIRAVNATH POLYSYNTH</t>
  </si>
  <si>
    <t>24AAEFC8377J1Z5</t>
  </si>
  <si>
    <t>CHANDRA CORPORATION</t>
  </si>
  <si>
    <t>24AGDPP2556M1Z5</t>
  </si>
  <si>
    <t>KRISHNA TEXTILES</t>
  </si>
  <si>
    <t>24ALRPJ1074B1ZE</t>
  </si>
  <si>
    <t>M.K.ENTERPRISE</t>
  </si>
  <si>
    <t>24BDWPM8697M1Z8</t>
  </si>
  <si>
    <t>MEVADA OIL DEPO</t>
  </si>
  <si>
    <t>24AACFM8929L1ZV</t>
  </si>
  <si>
    <t>MEDATIA STORES</t>
  </si>
  <si>
    <t>24CDMPS2226K1ZA</t>
  </si>
  <si>
    <t>TULJA BHAVANI ELECTRICALS</t>
  </si>
  <si>
    <t>24BNEPS6233B1ZA</t>
  </si>
  <si>
    <t>PURVIN KASHYAP SHAH</t>
  </si>
  <si>
    <t>24ADWPV8131G1Z0</t>
  </si>
  <si>
    <t>RISHI CREATION</t>
  </si>
  <si>
    <t>Inactive</t>
  </si>
  <si>
    <t>24AAZPZ7777L1Z6</t>
  </si>
  <si>
    <t>NIKHIL CREATION</t>
  </si>
  <si>
    <t>24AVFPJ0763P1ZB</t>
  </si>
  <si>
    <t>UCAN TRAVELS</t>
  </si>
  <si>
    <t>24AAUPP4685N1ZO</t>
  </si>
  <si>
    <t>SHAKTI READYMADE STORES</t>
  </si>
  <si>
    <t>24AAWPP0898D2Z7</t>
  </si>
  <si>
    <t>ASHIT PATEL</t>
  </si>
  <si>
    <t>24AOHPP6912P2ZD</t>
  </si>
  <si>
    <t>ILONA ASHIT PATEL</t>
  </si>
  <si>
    <t>24AIXPR1809F1ZZ</t>
  </si>
  <si>
    <t>NAVKAR ENTERPRISE</t>
  </si>
  <si>
    <t>24AEKFS7944B1ZX</t>
  </si>
  <si>
    <t>SHAH'S FOOD SUPPLIES LLP</t>
  </si>
  <si>
    <t>24BBXPJ6020N1Z7</t>
  </si>
  <si>
    <t>JUST TRENDS</t>
  </si>
  <si>
    <t>24ADLPL8127D1ZN</t>
  </si>
  <si>
    <t>DELIGHT</t>
  </si>
  <si>
    <t>24BBAPP2335P1ZI</t>
  </si>
  <si>
    <t>KSB CONTROLS</t>
  </si>
  <si>
    <t>Vasna Branch FA entry pending from Branch side, so diff coming</t>
  </si>
  <si>
    <t xml:space="preserve">              TO PL 4197 SERVICE TAX/GST EXPENSES A/C…. </t>
  </si>
  <si>
    <t xml:space="preserve">GL 8549 GROSS GGST RECEIVABLE A/C.. </t>
  </si>
  <si>
    <t xml:space="preserve">GL 8551 GROSS CGST RECEIVABLE A/C..   </t>
  </si>
  <si>
    <t>GL 8552 GROSS IGST  RECEIVABLE A/C…</t>
  </si>
  <si>
    <t>INCOME AS ON 31/08/2026</t>
  </si>
  <si>
    <t>INCOME AS ON 31-08-2026 (A)</t>
  </si>
  <si>
    <t xml:space="preserve"> AS ON 31-08-2026</t>
  </si>
  <si>
    <t xml:space="preserve">PL 4197 SERVICE TAX/GST EXPENSES A/C…. </t>
  </si>
  <si>
    <t xml:space="preserve">              TO GL 8551 GROSS CGST RECEIVABLE A/C..   </t>
  </si>
  <si>
    <t xml:space="preserve">              TO GL 8549 GROSS GGST RECEIVABLE A/C.. </t>
  </si>
  <si>
    <t>AUG 2026 TRANSFER TO HO)</t>
  </si>
  <si>
    <t>AUG 2026 TRANSFER FROM VASNA BRANCH)</t>
  </si>
  <si>
    <t>AUG 2026 TRANSFER FROM BRANCH)</t>
  </si>
  <si>
    <t>AUG 2025 TRANSFER FROM BRANCH)</t>
  </si>
  <si>
    <t>LEDGER BALANCE FOR THE MONTH OF AUG)</t>
  </si>
  <si>
    <t>VASNA DR……</t>
  </si>
  <si>
    <t>SUMMARY OF INCOME FOR THE MONTH OF SEP 2026</t>
  </si>
  <si>
    <t>Note-1: A GST difference of Rs. 13.50/- was not booked in PL 3310 on 02/09/2026. There are 3 entries, being "ENTRY REVERSE OF 2" entries of Rs. 50/- each, with a total amount of Rs. 150/-.</t>
  </si>
  <si>
    <t>Note-1: The difference of Rs. 2128.50/- which is shown the GL 1878 &amp; 1879. There is 50% SETOFF 08/26 TRF EXP on 29/09/2026 this is the setoff entries of receivable of GL 8546 &amp; 8547 but wrongly shown in GL 1878 &amp; 1879.</t>
  </si>
  <si>
    <t>Note-1: GST receivable of BSNL wrongly booked in GL 1878 &amp; 1879 which actual booked in GL 8546 &amp; 8547. Which GST amount is 29.61 one sided.</t>
  </si>
  <si>
    <t>Note-1: GST was not booked in PL 3314 with named "WRONGLY CHQ BOOK" on 29/09/2026 for Rs. 120. GST of Rs. 10.80 each towards CGST and SGST under GL 1878 and 1879 was not accounted for.</t>
  </si>
  <si>
    <t>KRA DOWNLOAD CHARGES</t>
  </si>
  <si>
    <t>INCOME AS ON 30/09/2026</t>
  </si>
  <si>
    <t>GST ENTRIES FOR THE MONTH OF SEP 2026</t>
  </si>
  <si>
    <t>GST CALCULATION SUMMARY FOR THE MONTH OF SEP 2026</t>
  </si>
  <si>
    <t>Note-1: Maninagar branch: The difference of Rs. 2128.50/- which is shown the GL 1878 &amp; 1879. There is 50% SETOFF 08/26 TRF EXP on 29/09/2026 this is the setoff entries of receivable of GL 8546 &amp; 8547 but wrongly shown in GL 1878 &amp; 1879.</t>
  </si>
  <si>
    <t>Note-2: Narayannagar Branch: A GST difference of Rs. 13.50/- was not booked in PL 3310 on 02/09/2026. There are 3 entries, being "ENTRY REVERSE OF 2" entries of Rs. 50/- each, with a total amount of Rs. 150/-.</t>
  </si>
  <si>
    <t>INCOME AS ON 30-09-2026 (A)</t>
  </si>
  <si>
    <t xml:space="preserve"> AS ON 30-09-2026</t>
  </si>
  <si>
    <t>JAY SILVER</t>
  </si>
  <si>
    <t>SEP-26</t>
  </si>
  <si>
    <t>9326002435</t>
  </si>
  <si>
    <t>SG/175</t>
  </si>
  <si>
    <t>IAT/R/341/26-27</t>
  </si>
  <si>
    <t>INSTANTINCI197</t>
  </si>
  <si>
    <t>IAT/R/333/26-27</t>
  </si>
  <si>
    <t>30/09/2026</t>
  </si>
  <si>
    <t>05/09/2026</t>
  </si>
  <si>
    <t>29/07/2026</t>
  </si>
  <si>
    <t>19/09/2026</t>
  </si>
  <si>
    <t>21/09/2026</t>
  </si>
  <si>
    <t>26/09/2026</t>
  </si>
  <si>
    <t>30/08/2026</t>
  </si>
  <si>
    <t>24/09/2026</t>
  </si>
  <si>
    <t>CHOLAMANDALAM MS GENERAL INSURANCE COMPANY LTD.</t>
  </si>
  <si>
    <t>TOYOTA KIRLOSKAR MOTOR PVT LTD</t>
  </si>
  <si>
    <t>24AABCC6633K7ZJ</t>
  </si>
  <si>
    <t>29AAACT5415B1ZO</t>
  </si>
  <si>
    <t>24AADFJ4852C1ZQ</t>
  </si>
  <si>
    <t>24AAEFI6581N2ZW</t>
  </si>
  <si>
    <t>24AFXPG9898L1Z7</t>
  </si>
  <si>
    <t>BLOCKED CREDIT (100%)</t>
  </si>
  <si>
    <t>Remove this in OCT'2026</t>
  </si>
  <si>
    <t>GST CHALLAN INTEREST</t>
  </si>
  <si>
    <t>NOTE: 2128 CGST AND SGST TO BE PAYABLE DURING THE 3B FOR OCTOBER'26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</si>
</sst>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9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#,##0.00000;\-#,##0.00000"/>
    <numFmt numFmtId="167" formatCode="_ * #,##0_ ;_ * \-#,##0_ ;_ * &quot;-&quot;??_ ;_ @_ "/>
    <numFmt numFmtId="168" formatCode="#,##0.00000_);\(#,##0.00000\)"/>
    <numFmt numFmtId="169" formatCode="_(* #,##0.000_);_(* \(#,##0.000\);_(* &quot;-&quot;??_);_(@_)"/>
    <numFmt numFmtId="170" formatCode="#,##0.000_);\(#,##0.000\)"/>
    <numFmt numFmtId="171" formatCode="#,##0.0000_);\(#,##0.0000\)"/>
    <numFmt numFmtId="172" formatCode="#,##0.000000000000_);\(#,##0.000000000000\)"/>
    <numFmt numFmtId="173" formatCode="#,##0.0_ ;\-#,##0.0\ "/>
    <numFmt numFmtId="174" formatCode="#,##0.000;\-#,##0.000"/>
    <numFmt numFmtId="175" formatCode="mmmm/yyyy"/>
    <numFmt numFmtId="176" formatCode="#,##0.00_ ;\-#,##0.00\ "/>
    <numFmt numFmtId="177" formatCode="#,##0.0;\-#,##0.0"/>
    <numFmt numFmtId="178" formatCode="_ * #,##0.000_ ;_ * \-#,##0.000_ ;_ * &quot;-&quot;??_ ;_ @_ "/>
    <numFmt numFmtId="179" formatCode="#,##0.0000000000000000_);\(#,##0.0000000000000000\)"/>
    <numFmt numFmtId="180" formatCode="#,##0.00000000000000_);\(#,##0.00000000000000\)"/>
    <numFmt numFmtId="181" formatCode="0.00_);\-0.00"/>
    <numFmt numFmtId="182" formatCode="dd\/mm\/yyyy"/>
    <numFmt numFmtId="183" formatCode="mm\ yyyy"/>
    <numFmt numFmtId="184" formatCode="#,##0.0_);\(#,##0.0\)"/>
    <numFmt numFmtId="185" formatCode="_ [$₹-4009]\ * #,##0.00_ ;_ [$₹-4009]\ * \-#,##0.00_ ;_ [$₹-4009]\ * &quot;-&quot;??_ ;_ @_ "/>
    <numFmt numFmtId="186" formatCode="#,##0.000_ ;\-#,##0.000\ "/>
    <numFmt numFmtId="187" formatCode="[$-10439]#,##0.00;\(#,##0.00\);&quot;&quot;;&quot;&quot;"/>
    <numFmt numFmtId="188" formatCode="[$-10439]#,###,##0.00"/>
    <numFmt numFmtId="189" formatCode="#,##0.0000000000000_);\(#,##0.0000000000000\)"/>
    <numFmt numFmtId="190" formatCode="[$-10439]#,##0.00;\-#,##0.00"/>
    <numFmt numFmtId="191" formatCode="#,##0.0000;\-#,##0.0000"/>
    <numFmt numFmtId="192" formatCode="_(* #,##0.0000_);_(* \(#,##0.0000\);_(* &quot;-&quot;??_);_(@_)"/>
    <numFmt numFmtId="193" formatCode="&quot;$&quot;#,##0.00"/>
    <numFmt numFmtId="194" formatCode="#,##0.000000000000_ ;\-#,##0.000000000000\ "/>
    <numFmt numFmtId="195" formatCode="_ * #,##0.0_ ;_ * \-#,##0.0_ ;_ * &quot;-&quot;??_ ;_ @_ "/>
    <numFmt numFmtId="196" formatCode="###,##0.00\ \C\R;###,###.00\ \D\R"/>
    <numFmt numFmtId="197" formatCode="[$-809]dd/mm/yyyy"/>
    <numFmt numFmtId="198" formatCode="[$-F400]h:mm:ss\ AM/PM"/>
    <numFmt numFmtId="199" formatCode="#,##0.0000000000000_ ;\-#,##0.0000000000000\ "/>
    <numFmt numFmtId="200" formatCode="[$-10439]###,###,###.00"/>
    <numFmt numFmtId="201" formatCode="#,##0.0000000000_ ;\-#,##0.0000000000\ "/>
  </numFmts>
  <fonts count="1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u/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Arial"/>
      <family val="2"/>
    </font>
    <font>
      <u/>
      <sz val="12"/>
      <name val="Arial"/>
      <family val="2"/>
    </font>
    <font>
      <b/>
      <u/>
      <sz val="14"/>
      <name val="Arial"/>
      <family val="2"/>
    </font>
    <font>
      <sz val="13"/>
      <color theme="1"/>
      <name val="Verdana"/>
      <family val="2"/>
    </font>
    <font>
      <b/>
      <sz val="12"/>
      <name val="Verdana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b/>
      <sz val="13"/>
      <color theme="1"/>
      <name val="Verdana"/>
      <family val="2"/>
    </font>
    <font>
      <b/>
      <u/>
      <sz val="13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rgb="FF0070C0"/>
      <name val="Arial"/>
      <family val="2"/>
    </font>
    <font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u/>
      <sz val="9"/>
      <name val="Arial"/>
      <family val="2"/>
    </font>
    <font>
      <b/>
      <sz val="9"/>
      <name val="Arial"/>
      <family val="2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b/>
      <sz val="12"/>
      <name val="Arial Black"/>
      <family val="2"/>
    </font>
    <font>
      <b/>
      <sz val="12"/>
      <color theme="1"/>
      <name val="Arial Black"/>
      <family val="2"/>
    </font>
    <font>
      <b/>
      <sz val="12"/>
      <name val="Calibri"/>
      <family val="2"/>
      <scheme val="minor"/>
    </font>
    <font>
      <b/>
      <sz val="12"/>
      <color rgb="FF0070C0"/>
      <name val="Arial Black"/>
      <family val="2"/>
    </font>
    <font>
      <sz val="12"/>
      <name val="Arial Black"/>
      <family val="2"/>
    </font>
    <font>
      <sz val="12"/>
      <color theme="1"/>
      <name val="Arial Black"/>
      <family val="2"/>
    </font>
    <font>
      <sz val="12"/>
      <color rgb="FF00B0F0"/>
      <name val="Calibri"/>
      <family val="2"/>
      <scheme val="minor"/>
    </font>
    <font>
      <sz val="12"/>
      <color indexed="8"/>
      <name val="Calibri"/>
      <family val="2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 val="singleAccounting"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rgb="FF000000"/>
      <name val="Verdana"/>
      <family val="2"/>
    </font>
    <font>
      <sz val="9"/>
      <color indexed="8"/>
      <name val="Arial"/>
      <family val="2"/>
    </font>
    <font>
      <b/>
      <sz val="14"/>
      <color theme="1"/>
      <name val="Arial Black"/>
      <family val="2"/>
    </font>
    <font>
      <sz val="9"/>
      <color indexed="8"/>
      <name val="Arial"/>
      <family val="2"/>
    </font>
    <font>
      <sz val="9"/>
      <color indexed="8"/>
      <name val="Verdana"/>
      <family val="2"/>
    </font>
    <font>
      <sz val="12"/>
      <color theme="1"/>
      <name val="Verdana"/>
      <family val="2"/>
    </font>
    <font>
      <sz val="13"/>
      <color rgb="FFFF0000"/>
      <name val="Verdana"/>
      <family val="2"/>
    </font>
    <font>
      <b/>
      <sz val="12"/>
      <color theme="1"/>
      <name val="Verdana"/>
      <family val="2"/>
    </font>
    <font>
      <sz val="12"/>
      <color rgb="FFFF0000"/>
      <name val="Arial"/>
      <family val="2"/>
    </font>
    <font>
      <sz val="12"/>
      <color indexed="8"/>
      <name val="Verdana"/>
      <family val="2"/>
    </font>
    <font>
      <b/>
      <sz val="11"/>
      <color indexed="8"/>
      <name val="Verdana"/>
      <family val="2"/>
    </font>
    <font>
      <b/>
      <sz val="11"/>
      <name val="Verdana"/>
      <family val="2"/>
    </font>
    <font>
      <sz val="8"/>
      <color rgb="FF000000"/>
      <name val="Courier New"/>
      <family val="3"/>
    </font>
    <font>
      <sz val="10"/>
      <color indexed="8"/>
      <name val="Courier New"/>
      <family val="3"/>
    </font>
    <font>
      <sz val="10"/>
      <color indexed="8"/>
      <name val="MS Sans Serif"/>
    </font>
    <font>
      <sz val="15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1"/>
      <color rgb="FF212121"/>
      <name val="Verdan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0000"/>
      <name val="Courier New"/>
      <family val="3"/>
    </font>
    <font>
      <sz val="11"/>
      <name val="Calibri"/>
      <family val="2"/>
    </font>
    <font>
      <b/>
      <sz val="9"/>
      <color rgb="FF000000"/>
      <name val="Courier New"/>
      <family val="3"/>
    </font>
    <font>
      <sz val="11"/>
      <name val="Calibri"/>
      <family val="2"/>
    </font>
    <font>
      <sz val="15"/>
      <color theme="1"/>
      <name val="Calibri"/>
      <family val="2"/>
      <scheme val="minor"/>
    </font>
    <font>
      <sz val="10"/>
      <color rgb="FF000000"/>
      <name val="Courier New"/>
      <family val="3"/>
    </font>
    <font>
      <sz val="11"/>
      <name val="Calibri"/>
      <family val="2"/>
      <scheme val="minor"/>
    </font>
    <font>
      <b/>
      <sz val="10"/>
      <color theme="1"/>
      <name val="Verdana"/>
      <family val="2"/>
    </font>
    <font>
      <sz val="9"/>
      <name val="Verdana"/>
      <family val="2"/>
    </font>
    <font>
      <sz val="11"/>
      <color rgb="FFFFFF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28"/>
      <color rgb="FFFF0000"/>
      <name val="Calibri"/>
      <family val="2"/>
      <scheme val="minor"/>
    </font>
    <font>
      <sz val="14"/>
      <color rgb="FF000000"/>
      <name val="Wingdings"/>
      <charset val="2"/>
    </font>
    <font>
      <b/>
      <sz val="13"/>
      <name val="Verdana"/>
      <family val="2"/>
    </font>
    <font>
      <sz val="10"/>
      <color rgb="FF000000"/>
      <name val="Arial Unicode MS"/>
      <family val="2"/>
    </font>
    <font>
      <b/>
      <sz val="11"/>
      <color theme="1"/>
      <name val="Verdana"/>
      <family val="2"/>
    </font>
    <font>
      <sz val="9"/>
      <color indexed="8"/>
      <name val="Arial"/>
      <family val="2"/>
    </font>
    <font>
      <b/>
      <sz val="16"/>
      <name val="Calibri"/>
      <family val="2"/>
      <scheme val="minor"/>
    </font>
    <font>
      <sz val="11"/>
      <color indexed="8"/>
      <name val="Arial"/>
      <family val="2"/>
    </font>
    <font>
      <sz val="12"/>
      <color indexed="8"/>
      <name val="Arial"/>
      <family val="2"/>
    </font>
    <font>
      <sz val="11"/>
      <color rgb="FFED0000"/>
      <name val="Calibri"/>
      <family val="2"/>
      <scheme val="minor"/>
    </font>
    <font>
      <b/>
      <sz val="13"/>
      <color rgb="FFFF0000"/>
      <name val="Verdana"/>
      <family val="2"/>
    </font>
    <font>
      <u/>
      <sz val="13"/>
      <color theme="1"/>
      <name val="Verdana"/>
      <family val="2"/>
    </font>
    <font>
      <sz val="13"/>
      <name val="Verdana"/>
      <family val="2"/>
    </font>
    <font>
      <b/>
      <sz val="16"/>
      <color rgb="FFFF0000"/>
      <name val="Verdana"/>
      <family val="2"/>
    </font>
    <font>
      <b/>
      <sz val="10"/>
      <color rgb="FFFF0000"/>
      <name val="Calibri"/>
      <family val="2"/>
      <scheme val="minor"/>
    </font>
    <font>
      <sz val="13"/>
      <color theme="1"/>
      <name val="Verdana"/>
      <family val="2"/>
    </font>
    <font>
      <b/>
      <sz val="14"/>
      <color rgb="FFFF0000"/>
      <name val="Calibri"/>
      <family val="2"/>
      <scheme val="minor"/>
    </font>
    <font>
      <b/>
      <sz val="11.5"/>
      <color rgb="FFFF0000"/>
      <name val="Calibri"/>
      <family val="2"/>
      <scheme val="minor"/>
    </font>
    <font>
      <sz val="11.5"/>
      <color rgb="FFFF0000"/>
      <name val="Calibri"/>
      <family val="2"/>
      <scheme val="minor"/>
    </font>
    <font>
      <sz val="11.5"/>
      <color rgb="FFFF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Calibri"/>
      <family val="2"/>
      <scheme val="minor"/>
    </font>
    <font>
      <sz val="9"/>
      <color indexed="8"/>
      <name val="Arial"/>
      <family val="2"/>
    </font>
    <font>
      <b/>
      <sz val="10"/>
      <color rgb="FFFF0000"/>
      <name val="Arial"/>
      <family val="2"/>
    </font>
    <font>
      <sz val="16"/>
      <color theme="1"/>
      <name val="Verdana"/>
      <family val="2"/>
    </font>
    <font>
      <b/>
      <sz val="16"/>
      <color theme="1"/>
      <name val="Verdana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rgb="FFFF0000"/>
      <name val="Courier New"/>
      <family val="3"/>
    </font>
    <font>
      <b/>
      <sz val="9.5"/>
      <color rgb="FFFF0000"/>
      <name val="Arial"/>
      <family val="2"/>
    </font>
    <font>
      <b/>
      <sz val="15.5"/>
      <color rgb="FFFF0000"/>
      <name val="Calibri"/>
      <family val="2"/>
      <scheme val="minor"/>
    </font>
    <font>
      <b/>
      <sz val="11.5"/>
      <color rgb="FFFF0000"/>
      <name val="Arial"/>
      <family val="2"/>
    </font>
    <font>
      <b/>
      <sz val="10.5"/>
      <color rgb="FFFF0000"/>
      <name val="Calibri"/>
      <family val="2"/>
    </font>
    <font>
      <b/>
      <sz val="9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12"/>
      <name val="Verdana"/>
      <family val="2"/>
    </font>
    <font>
      <sz val="12"/>
      <color rgb="FF000000"/>
      <name val="Verdana"/>
      <family val="2"/>
    </font>
    <font>
      <b/>
      <sz val="13"/>
      <color rgb="FFFF0000"/>
      <name val="Calibri"/>
      <family val="2"/>
      <scheme val="minor"/>
    </font>
    <font>
      <b/>
      <sz val="11"/>
      <color theme="1"/>
      <name val="Arial Black"/>
      <family val="2"/>
    </font>
    <font>
      <b/>
      <sz val="11"/>
      <color rgb="FFFF0000"/>
      <name val="Verdana"/>
      <family val="2"/>
    </font>
    <font>
      <b/>
      <sz val="16"/>
      <color rgb="FFFF000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8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0" borderId="0"/>
    <xf numFmtId="43" fontId="42" fillId="0" borderId="0" applyFont="0" applyFill="0" applyBorder="0" applyAlignment="0" applyProtection="0"/>
    <xf numFmtId="0" fontId="69" fillId="0" borderId="0"/>
    <xf numFmtId="0" fontId="73" fillId="0" borderId="0" applyNumberFormat="0" applyFill="0" applyBorder="0" applyAlignment="0" applyProtection="0"/>
    <xf numFmtId="0" fontId="74" fillId="0" borderId="77" applyNumberFormat="0" applyFill="0" applyAlignment="0" applyProtection="0"/>
    <xf numFmtId="0" fontId="75" fillId="0" borderId="78" applyNumberFormat="0" applyFill="0" applyAlignment="0" applyProtection="0"/>
    <xf numFmtId="0" fontId="76" fillId="0" borderId="79" applyNumberFormat="0" applyFill="0" applyAlignment="0" applyProtection="0"/>
    <xf numFmtId="0" fontId="76" fillId="0" borderId="0" applyNumberFormat="0" applyFill="0" applyBorder="0" applyAlignment="0" applyProtection="0"/>
    <xf numFmtId="0" fontId="77" fillId="5" borderId="0" applyNumberFormat="0" applyBorder="0" applyAlignment="0" applyProtection="0"/>
    <xf numFmtId="0" fontId="78" fillId="6" borderId="0" applyNumberFormat="0" applyBorder="0" applyAlignment="0" applyProtection="0"/>
    <xf numFmtId="0" fontId="79" fillId="7" borderId="0" applyNumberFormat="0" applyBorder="0" applyAlignment="0" applyProtection="0"/>
    <xf numFmtId="0" fontId="80" fillId="8" borderId="80" applyNumberFormat="0" applyAlignment="0" applyProtection="0"/>
    <xf numFmtId="0" fontId="81" fillId="9" borderId="81" applyNumberFormat="0" applyAlignment="0" applyProtection="0"/>
    <xf numFmtId="0" fontId="82" fillId="9" borderId="80" applyNumberFormat="0" applyAlignment="0" applyProtection="0"/>
    <xf numFmtId="0" fontId="83" fillId="0" borderId="82" applyNumberFormat="0" applyFill="0" applyAlignment="0" applyProtection="0"/>
    <xf numFmtId="0" fontId="84" fillId="10" borderId="83" applyNumberFormat="0" applyAlignment="0" applyProtection="0"/>
    <xf numFmtId="0" fontId="19" fillId="0" borderId="0" applyNumberFormat="0" applyFill="0" applyBorder="0" applyAlignment="0" applyProtection="0"/>
    <xf numFmtId="0" fontId="1" fillId="11" borderId="84" applyNumberFormat="0" applyFont="0" applyAlignment="0" applyProtection="0"/>
    <xf numFmtId="0" fontId="85" fillId="0" borderId="0" applyNumberFormat="0" applyFill="0" applyBorder="0" applyAlignment="0" applyProtection="0"/>
    <xf numFmtId="0" fontId="9" fillId="0" borderId="85" applyNumberFormat="0" applyFill="0" applyAlignment="0" applyProtection="0"/>
    <xf numFmtId="0" fontId="86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86" fillId="15" borderId="0" applyNumberFormat="0" applyBorder="0" applyAlignment="0" applyProtection="0"/>
    <xf numFmtId="0" fontId="86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86" fillId="19" borderId="0" applyNumberFormat="0" applyBorder="0" applyAlignment="0" applyProtection="0"/>
    <xf numFmtId="0" fontId="8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86" fillId="23" borderId="0" applyNumberFormat="0" applyBorder="0" applyAlignment="0" applyProtection="0"/>
    <xf numFmtId="0" fontId="8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86" fillId="27" borderId="0" applyNumberFormat="0" applyBorder="0" applyAlignment="0" applyProtection="0"/>
    <xf numFmtId="0" fontId="8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86" fillId="31" borderId="0" applyNumberFormat="0" applyBorder="0" applyAlignment="0" applyProtection="0"/>
    <xf numFmtId="0" fontId="8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86" fillId="35" borderId="0" applyNumberFormat="0" applyBorder="0" applyAlignment="0" applyProtection="0"/>
    <xf numFmtId="0" fontId="18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127" fillId="0" borderId="0" applyNumberFormat="0" applyFill="0" applyBorder="0" applyAlignment="0" applyProtection="0"/>
  </cellStyleXfs>
  <cellXfs count="1511">
    <xf numFmtId="0" fontId="0" fillId="0" borderId="0" xfId="0"/>
    <xf numFmtId="37" fontId="0" fillId="0" borderId="0" xfId="0" applyNumberFormat="1"/>
    <xf numFmtId="37" fontId="4" fillId="0" borderId="0" xfId="0" applyNumberFormat="1" applyFont="1"/>
    <xf numFmtId="37" fontId="2" fillId="0" borderId="0" xfId="0" applyNumberFormat="1" applyFont="1"/>
    <xf numFmtId="165" fontId="2" fillId="0" borderId="4" xfId="1" applyNumberFormat="1" applyFont="1" applyFill="1" applyBorder="1" applyAlignment="1" applyProtection="1">
      <alignment horizontal="right"/>
    </xf>
    <xf numFmtId="37" fontId="2" fillId="0" borderId="4" xfId="0" applyNumberFormat="1" applyFont="1" applyBorder="1" applyAlignment="1">
      <alignment horizontal="left"/>
    </xf>
    <xf numFmtId="37" fontId="2" fillId="0" borderId="5" xfId="0" applyNumberFormat="1" applyFont="1" applyBorder="1"/>
    <xf numFmtId="165" fontId="2" fillId="0" borderId="6" xfId="1" applyNumberFormat="1" applyFont="1" applyFill="1" applyBorder="1" applyAlignment="1" applyProtection="1">
      <alignment horizontal="right"/>
    </xf>
    <xf numFmtId="37" fontId="4" fillId="0" borderId="2" xfId="0" applyNumberFormat="1" applyFont="1" applyBorder="1" applyAlignment="1">
      <alignment horizontal="right"/>
    </xf>
    <xf numFmtId="37" fontId="6" fillId="0" borderId="5" xfId="0" applyNumberFormat="1" applyFont="1" applyBorder="1" applyAlignment="1">
      <alignment horizontal="center"/>
    </xf>
    <xf numFmtId="165" fontId="6" fillId="0" borderId="7" xfId="1" applyNumberFormat="1" applyFont="1" applyFill="1" applyBorder="1" applyAlignment="1" applyProtection="1">
      <alignment horizontal="right"/>
    </xf>
    <xf numFmtId="37" fontId="7" fillId="0" borderId="8" xfId="0" applyNumberFormat="1" applyFont="1" applyBorder="1" applyAlignment="1">
      <alignment horizontal="right"/>
    </xf>
    <xf numFmtId="37" fontId="6" fillId="0" borderId="7" xfId="0" applyNumberFormat="1" applyFont="1" applyBorder="1"/>
    <xf numFmtId="37" fontId="2" fillId="0" borderId="4" xfId="0" applyNumberFormat="1" applyFont="1" applyBorder="1" applyAlignment="1">
      <alignment horizontal="center"/>
    </xf>
    <xf numFmtId="37" fontId="2" fillId="0" borderId="4" xfId="0" quotePrefix="1" applyNumberFormat="1" applyFont="1" applyBorder="1" applyAlignment="1">
      <alignment horizontal="center"/>
    </xf>
    <xf numFmtId="37" fontId="6" fillId="0" borderId="4" xfId="0" applyNumberFormat="1" applyFont="1" applyBorder="1" applyAlignment="1">
      <alignment horizontal="center"/>
    </xf>
    <xf numFmtId="165" fontId="2" fillId="0" borderId="4" xfId="1" quotePrefix="1" applyNumberFormat="1" applyFont="1" applyFill="1" applyBorder="1" applyAlignment="1" applyProtection="1">
      <alignment horizontal="center"/>
    </xf>
    <xf numFmtId="164" fontId="2" fillId="0" borderId="4" xfId="1" quotePrefix="1" applyNumberFormat="1" applyFont="1" applyFill="1" applyBorder="1" applyAlignment="1" applyProtection="1">
      <alignment horizontal="center"/>
    </xf>
    <xf numFmtId="1" fontId="2" fillId="0" borderId="4" xfId="0" applyNumberFormat="1" applyFont="1" applyBorder="1" applyAlignment="1">
      <alignment horizontal="center"/>
    </xf>
    <xf numFmtId="165" fontId="5" fillId="0" borderId="5" xfId="1" applyNumberFormat="1" applyFont="1" applyFill="1" applyBorder="1" applyAlignment="1" applyProtection="1">
      <alignment horizontal="center"/>
    </xf>
    <xf numFmtId="37" fontId="8" fillId="0" borderId="5" xfId="0" applyNumberFormat="1" applyFont="1" applyBorder="1" applyAlignment="1">
      <alignment horizontal="center"/>
    </xf>
    <xf numFmtId="165" fontId="5" fillId="0" borderId="9" xfId="1" applyNumberFormat="1" applyFont="1" applyFill="1" applyBorder="1" applyAlignment="1" applyProtection="1">
      <alignment horizontal="center"/>
    </xf>
    <xf numFmtId="37" fontId="8" fillId="0" borderId="9" xfId="0" applyNumberFormat="1" applyFont="1" applyBorder="1" applyAlignment="1">
      <alignment horizontal="left"/>
    </xf>
    <xf numFmtId="37" fontId="6" fillId="0" borderId="2" xfId="0" applyNumberFormat="1" applyFont="1" applyBorder="1" applyAlignment="1">
      <alignment horizontal="center"/>
    </xf>
    <xf numFmtId="37" fontId="2" fillId="0" borderId="0" xfId="0" applyNumberFormat="1" applyFont="1" applyAlignment="1">
      <alignment horizontal="left"/>
    </xf>
    <xf numFmtId="165" fontId="6" fillId="0" borderId="4" xfId="1" applyNumberFormat="1" applyFont="1" applyFill="1" applyBorder="1" applyAlignment="1" applyProtection="1">
      <alignment horizontal="right"/>
    </xf>
    <xf numFmtId="37" fontId="6" fillId="0" borderId="4" xfId="0" applyNumberFormat="1" applyFont="1" applyBorder="1"/>
    <xf numFmtId="37" fontId="6" fillId="0" borderId="0" xfId="0" applyNumberFormat="1" applyFont="1"/>
    <xf numFmtId="37" fontId="6" fillId="0" borderId="0" xfId="0" applyNumberFormat="1" applyFont="1" applyAlignment="1">
      <alignment horizontal="center"/>
    </xf>
    <xf numFmtId="37" fontId="6" fillId="0" borderId="2" xfId="0" applyNumberFormat="1" applyFont="1" applyBorder="1"/>
    <xf numFmtId="37" fontId="2" fillId="0" borderId="4" xfId="0" applyNumberFormat="1" applyFont="1" applyBorder="1"/>
    <xf numFmtId="1" fontId="2" fillId="0" borderId="4" xfId="0" quotePrefix="1" applyNumberFormat="1" applyFont="1" applyBorder="1" applyAlignment="1">
      <alignment horizontal="center"/>
    </xf>
    <xf numFmtId="39" fontId="0" fillId="0" borderId="0" xfId="0" applyNumberFormat="1"/>
    <xf numFmtId="37" fontId="11" fillId="0" borderId="4" xfId="0" applyNumberFormat="1" applyFont="1" applyBorder="1" applyAlignment="1">
      <alignment horizontal="left"/>
    </xf>
    <xf numFmtId="37" fontId="12" fillId="0" borderId="4" xfId="0" applyNumberFormat="1" applyFont="1" applyBorder="1"/>
    <xf numFmtId="165" fontId="2" fillId="0" borderId="0" xfId="1" applyNumberFormat="1" applyFont="1" applyFill="1" applyBorder="1" applyAlignment="1" applyProtection="1">
      <alignment horizontal="right"/>
    </xf>
    <xf numFmtId="165" fontId="2" fillId="0" borderId="5" xfId="1" quotePrefix="1" applyNumberFormat="1" applyFont="1" applyFill="1" applyBorder="1" applyAlignment="1" applyProtection="1">
      <alignment horizontal="center"/>
    </xf>
    <xf numFmtId="165" fontId="6" fillId="0" borderId="4" xfId="1" applyNumberFormat="1" applyFont="1" applyFill="1" applyBorder="1" applyAlignment="1" applyProtection="1">
      <alignment horizontal="center"/>
    </xf>
    <xf numFmtId="165" fontId="2" fillId="0" borderId="1" xfId="1" applyNumberFormat="1" applyFont="1" applyFill="1" applyBorder="1" applyAlignment="1" applyProtection="1">
      <alignment horizontal="right"/>
    </xf>
    <xf numFmtId="165" fontId="2" fillId="0" borderId="4" xfId="1" applyNumberFormat="1" applyFont="1" applyFill="1" applyBorder="1" applyAlignment="1" applyProtection="1">
      <alignment horizontal="left"/>
    </xf>
    <xf numFmtId="37" fontId="9" fillId="0" borderId="0" xfId="0" applyNumberFormat="1" applyFont="1"/>
    <xf numFmtId="37" fontId="5" fillId="0" borderId="0" xfId="0" applyNumberFormat="1" applyFont="1" applyAlignment="1">
      <alignment horizontal="center"/>
    </xf>
    <xf numFmtId="37" fontId="0" fillId="0" borderId="4" xfId="0" applyNumberFormat="1" applyBorder="1"/>
    <xf numFmtId="37" fontId="3" fillId="0" borderId="1" xfId="0" applyNumberFormat="1" applyFont="1" applyBorder="1" applyAlignment="1">
      <alignment horizontal="left"/>
    </xf>
    <xf numFmtId="37" fontId="2" fillId="0" borderId="0" xfId="0" applyNumberFormat="1" applyFont="1" applyAlignment="1">
      <alignment horizontal="right"/>
    </xf>
    <xf numFmtId="165" fontId="2" fillId="0" borderId="0" xfId="1" applyNumberFormat="1" applyFont="1" applyFill="1"/>
    <xf numFmtId="37" fontId="5" fillId="0" borderId="9" xfId="0" applyNumberFormat="1" applyFont="1" applyBorder="1" applyAlignment="1">
      <alignment horizontal="left"/>
    </xf>
    <xf numFmtId="37" fontId="5" fillId="0" borderId="3" xfId="0" applyNumberFormat="1" applyFont="1" applyBorder="1" applyAlignment="1">
      <alignment horizontal="center"/>
    </xf>
    <xf numFmtId="37" fontId="5" fillId="0" borderId="5" xfId="0" applyNumberFormat="1" applyFont="1" applyBorder="1" applyAlignment="1">
      <alignment horizontal="center"/>
    </xf>
    <xf numFmtId="37" fontId="5" fillId="0" borderId="2" xfId="0" applyNumberFormat="1" applyFont="1" applyBorder="1" applyAlignment="1">
      <alignment horizontal="left"/>
    </xf>
    <xf numFmtId="37" fontId="2" fillId="0" borderId="4" xfId="0" applyNumberFormat="1" applyFont="1" applyBorder="1" applyAlignment="1">
      <alignment horizontal="right"/>
    </xf>
    <xf numFmtId="0" fontId="2" fillId="0" borderId="4" xfId="1" applyNumberFormat="1" applyFont="1" applyFill="1" applyBorder="1" applyAlignment="1" applyProtection="1">
      <alignment horizontal="center"/>
    </xf>
    <xf numFmtId="0" fontId="6" fillId="0" borderId="4" xfId="1" applyNumberFormat="1" applyFont="1" applyFill="1" applyBorder="1" applyAlignment="1" applyProtection="1">
      <alignment horizontal="center"/>
    </xf>
    <xf numFmtId="165" fontId="2" fillId="0" borderId="0" xfId="1" applyNumberFormat="1" applyFont="1" applyFill="1" applyBorder="1" applyProtection="1"/>
    <xf numFmtId="37" fontId="5" fillId="0" borderId="0" xfId="0" applyNumberFormat="1" applyFont="1"/>
    <xf numFmtId="37" fontId="15" fillId="0" borderId="0" xfId="0" applyNumberFormat="1" applyFont="1"/>
    <xf numFmtId="167" fontId="2" fillId="0" borderId="4" xfId="1" applyNumberFormat="1" applyFont="1" applyFill="1" applyBorder="1"/>
    <xf numFmtId="167" fontId="2" fillId="0" borderId="4" xfId="1" applyNumberFormat="1" applyFont="1" applyFill="1" applyBorder="1" applyAlignment="1" applyProtection="1">
      <alignment horizontal="right"/>
    </xf>
    <xf numFmtId="167" fontId="6" fillId="0" borderId="4" xfId="1" applyNumberFormat="1" applyFont="1" applyFill="1" applyBorder="1"/>
    <xf numFmtId="37" fontId="3" fillId="0" borderId="12" xfId="0" applyNumberFormat="1" applyFont="1" applyBorder="1"/>
    <xf numFmtId="37" fontId="3" fillId="0" borderId="1" xfId="0" applyNumberFormat="1" applyFont="1" applyBorder="1"/>
    <xf numFmtId="37" fontId="12" fillId="0" borderId="4" xfId="0" applyNumberFormat="1" applyFont="1" applyBorder="1" applyAlignment="1">
      <alignment horizontal="right"/>
    </xf>
    <xf numFmtId="37" fontId="6" fillId="0" borderId="0" xfId="0" applyNumberFormat="1" applyFont="1" applyAlignment="1">
      <alignment horizontal="right"/>
    </xf>
    <xf numFmtId="37" fontId="3" fillId="0" borderId="4" xfId="0" applyNumberFormat="1" applyFont="1" applyBorder="1"/>
    <xf numFmtId="37" fontId="6" fillId="0" borderId="0" xfId="0" applyNumberFormat="1" applyFont="1" applyAlignment="1">
      <alignment horizontal="left"/>
    </xf>
    <xf numFmtId="167" fontId="18" fillId="0" borderId="0" xfId="1" applyNumberFormat="1" applyFont="1" applyFill="1" applyBorder="1"/>
    <xf numFmtId="167" fontId="2" fillId="0" borderId="0" xfId="1" applyNumberFormat="1" applyFont="1" applyFill="1" applyBorder="1"/>
    <xf numFmtId="167" fontId="0" fillId="0" borderId="0" xfId="1" applyNumberFormat="1" applyFont="1" applyFill="1"/>
    <xf numFmtId="37" fontId="10" fillId="0" borderId="0" xfId="0" applyNumberFormat="1" applyFont="1" applyAlignment="1">
      <alignment horizontal="left"/>
    </xf>
    <xf numFmtId="43" fontId="0" fillId="0" borderId="0" xfId="1" applyFont="1" applyFill="1" applyBorder="1"/>
    <xf numFmtId="37" fontId="3" fillId="0" borderId="4" xfId="0" applyNumberFormat="1" applyFont="1" applyBorder="1" applyAlignment="1">
      <alignment horizontal="left"/>
    </xf>
    <xf numFmtId="37" fontId="10" fillId="0" borderId="0" xfId="0" applyNumberFormat="1" applyFont="1" applyAlignment="1">
      <alignment horizontal="center"/>
    </xf>
    <xf numFmtId="166" fontId="0" fillId="0" borderId="0" xfId="0" applyNumberFormat="1"/>
    <xf numFmtId="37" fontId="19" fillId="0" borderId="0" xfId="0" applyNumberFormat="1" applyFont="1"/>
    <xf numFmtId="37" fontId="10" fillId="0" borderId="0" xfId="0" applyNumberFormat="1" applyFont="1"/>
    <xf numFmtId="37" fontId="9" fillId="0" borderId="0" xfId="0" applyNumberFormat="1" applyFont="1" applyAlignment="1">
      <alignment horizontal="right"/>
    </xf>
    <xf numFmtId="167" fontId="0" fillId="0" borderId="0" xfId="1" applyNumberFormat="1" applyFont="1" applyFill="1" applyBorder="1"/>
    <xf numFmtId="165" fontId="2" fillId="0" borderId="0" xfId="1" applyNumberFormat="1" applyFont="1" applyFill="1" applyAlignment="1" applyProtection="1">
      <alignment horizontal="left"/>
    </xf>
    <xf numFmtId="165" fontId="5" fillId="0" borderId="3" xfId="1" applyNumberFormat="1" applyFont="1" applyFill="1" applyBorder="1" applyAlignment="1" applyProtection="1">
      <alignment horizontal="center"/>
    </xf>
    <xf numFmtId="165" fontId="5" fillId="0" borderId="2" xfId="1" applyNumberFormat="1" applyFont="1" applyFill="1" applyBorder="1" applyAlignment="1" applyProtection="1">
      <alignment horizontal="left"/>
    </xf>
    <xf numFmtId="165" fontId="2" fillId="0" borderId="4" xfId="1" applyNumberFormat="1" applyFont="1" applyFill="1" applyBorder="1" applyAlignment="1" applyProtection="1">
      <alignment horizontal="center"/>
    </xf>
    <xf numFmtId="165" fontId="2" fillId="0" borderId="0" xfId="1" applyNumberFormat="1" applyFont="1" applyFill="1" applyBorder="1"/>
    <xf numFmtId="165" fontId="6" fillId="0" borderId="0" xfId="1" applyNumberFormat="1" applyFont="1" applyFill="1" applyBorder="1"/>
    <xf numFmtId="165" fontId="2" fillId="0" borderId="5" xfId="1" applyNumberFormat="1" applyFont="1" applyFill="1" applyBorder="1" applyAlignment="1" applyProtection="1">
      <alignment horizontal="left"/>
    </xf>
    <xf numFmtId="165" fontId="2" fillId="0" borderId="5" xfId="1" applyNumberFormat="1" applyFont="1" applyFill="1" applyBorder="1" applyProtection="1"/>
    <xf numFmtId="165" fontId="6" fillId="0" borderId="4" xfId="1" applyNumberFormat="1" applyFont="1" applyFill="1" applyBorder="1"/>
    <xf numFmtId="165" fontId="6" fillId="0" borderId="1" xfId="1" applyNumberFormat="1" applyFont="1" applyFill="1" applyBorder="1" applyAlignment="1" applyProtection="1">
      <alignment horizontal="right"/>
    </xf>
    <xf numFmtId="165" fontId="6" fillId="0" borderId="4" xfId="1" applyNumberFormat="1" applyFont="1" applyFill="1" applyBorder="1" applyProtection="1"/>
    <xf numFmtId="165" fontId="6" fillId="0" borderId="0" xfId="1" applyNumberFormat="1" applyFont="1" applyFill="1" applyBorder="1" applyProtection="1"/>
    <xf numFmtId="165" fontId="6" fillId="0" borderId="0" xfId="1" applyNumberFormat="1" applyFont="1" applyFill="1" applyBorder="1" applyAlignment="1" applyProtection="1">
      <alignment horizontal="right"/>
    </xf>
    <xf numFmtId="0" fontId="14" fillId="0" borderId="0" xfId="0" applyFont="1"/>
    <xf numFmtId="0" fontId="21" fillId="0" borderId="0" xfId="0" applyFont="1"/>
    <xf numFmtId="0" fontId="21" fillId="0" borderId="17" xfId="0" applyFont="1" applyBorder="1"/>
    <xf numFmtId="0" fontId="21" fillId="0" borderId="22" xfId="0" applyFont="1" applyBorder="1"/>
    <xf numFmtId="0" fontId="14" fillId="0" borderId="20" xfId="0" applyFont="1" applyBorder="1"/>
    <xf numFmtId="0" fontId="14" fillId="0" borderId="20" xfId="0" applyFont="1" applyBorder="1" applyAlignment="1">
      <alignment horizontal="center" vertical="center"/>
    </xf>
    <xf numFmtId="164" fontId="14" fillId="0" borderId="0" xfId="1" applyNumberFormat="1" applyFont="1" applyBorder="1"/>
    <xf numFmtId="164" fontId="14" fillId="0" borderId="20" xfId="1" applyNumberFormat="1" applyFont="1" applyBorder="1"/>
    <xf numFmtId="0" fontId="14" fillId="0" borderId="18" xfId="0" applyFont="1" applyBorder="1" applyAlignment="1">
      <alignment horizontal="center" vertical="center"/>
    </xf>
    <xf numFmtId="0" fontId="14" fillId="0" borderId="18" xfId="0" applyFont="1" applyBorder="1"/>
    <xf numFmtId="164" fontId="14" fillId="0" borderId="23" xfId="1" applyNumberFormat="1" applyFont="1" applyBorder="1"/>
    <xf numFmtId="164" fontId="14" fillId="0" borderId="18" xfId="1" applyNumberFormat="1" applyFont="1" applyBorder="1"/>
    <xf numFmtId="2" fontId="14" fillId="0" borderId="0" xfId="0" applyNumberFormat="1" applyFont="1"/>
    <xf numFmtId="0" fontId="22" fillId="0" borderId="20" xfId="0" applyFont="1" applyBorder="1"/>
    <xf numFmtId="164" fontId="14" fillId="0" borderId="0" xfId="0" applyNumberFormat="1" applyFont="1"/>
    <xf numFmtId="39" fontId="2" fillId="0" borderId="4" xfId="0" applyNumberFormat="1" applyFont="1" applyBorder="1"/>
    <xf numFmtId="39" fontId="12" fillId="0" borderId="4" xfId="0" applyNumberFormat="1" applyFont="1" applyBorder="1"/>
    <xf numFmtId="39" fontId="6" fillId="0" borderId="4" xfId="1" applyNumberFormat="1" applyFont="1" applyFill="1" applyBorder="1"/>
    <xf numFmtId="39" fontId="6" fillId="0" borderId="4" xfId="0" applyNumberFormat="1" applyFont="1" applyBorder="1"/>
    <xf numFmtId="39" fontId="2" fillId="0" borderId="4" xfId="1" applyNumberFormat="1" applyFont="1" applyFill="1" applyBorder="1"/>
    <xf numFmtId="39" fontId="0" fillId="0" borderId="0" xfId="1" applyNumberFormat="1" applyFont="1" applyFill="1" applyBorder="1"/>
    <xf numFmtId="167" fontId="2" fillId="0" borderId="4" xfId="2" applyNumberFormat="1" applyFont="1" applyFill="1" applyBorder="1" applyAlignment="1" applyProtection="1">
      <alignment horizontal="right"/>
    </xf>
    <xf numFmtId="37" fontId="0" fillId="0" borderId="2" xfId="0" applyNumberFormat="1" applyBorder="1"/>
    <xf numFmtId="165" fontId="2" fillId="0" borderId="0" xfId="1" applyNumberFormat="1" applyFont="1" applyFill="1" applyAlignment="1">
      <alignment wrapText="1"/>
    </xf>
    <xf numFmtId="39" fontId="2" fillId="0" borderId="12" xfId="0" applyNumberFormat="1" applyFont="1" applyBorder="1"/>
    <xf numFmtId="0" fontId="21" fillId="0" borderId="20" xfId="0" applyFont="1" applyBorder="1"/>
    <xf numFmtId="164" fontId="14" fillId="0" borderId="18" xfId="1" applyNumberFormat="1" applyFont="1" applyFill="1" applyBorder="1"/>
    <xf numFmtId="37" fontId="24" fillId="0" borderId="0" xfId="0" applyNumberFormat="1" applyFont="1"/>
    <xf numFmtId="164" fontId="18" fillId="0" borderId="0" xfId="1" applyNumberFormat="1" applyFont="1" applyFill="1" applyBorder="1"/>
    <xf numFmtId="0" fontId="14" fillId="0" borderId="19" xfId="0" applyFont="1" applyBorder="1"/>
    <xf numFmtId="164" fontId="14" fillId="0" borderId="0" xfId="1" applyNumberFormat="1" applyFont="1" applyFill="1" applyBorder="1"/>
    <xf numFmtId="164" fontId="14" fillId="0" borderId="20" xfId="1" applyNumberFormat="1" applyFont="1" applyFill="1" applyBorder="1"/>
    <xf numFmtId="164" fontId="14" fillId="0" borderId="23" xfId="1" applyNumberFormat="1" applyFont="1" applyFill="1" applyBorder="1"/>
    <xf numFmtId="164" fontId="14" fillId="0" borderId="19" xfId="1" applyNumberFormat="1" applyFont="1" applyFill="1" applyBorder="1"/>
    <xf numFmtId="0" fontId="14" fillId="0" borderId="19" xfId="0" applyFont="1" applyBorder="1" applyAlignment="1">
      <alignment horizontal="center" vertical="center"/>
    </xf>
    <xf numFmtId="164" fontId="14" fillId="0" borderId="30" xfId="1" applyNumberFormat="1" applyFont="1" applyFill="1" applyBorder="1"/>
    <xf numFmtId="37" fontId="28" fillId="0" borderId="0" xfId="0" applyNumberFormat="1" applyFont="1"/>
    <xf numFmtId="167" fontId="2" fillId="0" borderId="5" xfId="2" applyNumberFormat="1" applyFont="1" applyFill="1" applyBorder="1" applyAlignment="1" applyProtection="1">
      <alignment horizontal="right"/>
    </xf>
    <xf numFmtId="165" fontId="2" fillId="0" borderId="5" xfId="1" applyNumberFormat="1" applyFont="1" applyFill="1" applyBorder="1" applyAlignment="1" applyProtection="1">
      <alignment horizontal="right"/>
    </xf>
    <xf numFmtId="0" fontId="2" fillId="0" borderId="7" xfId="1" applyNumberFormat="1" applyFont="1" applyFill="1" applyBorder="1" applyAlignment="1" applyProtection="1">
      <alignment horizontal="center"/>
    </xf>
    <xf numFmtId="0" fontId="6" fillId="0" borderId="7" xfId="1" applyNumberFormat="1" applyFont="1" applyFill="1" applyBorder="1" applyAlignment="1" applyProtection="1">
      <alignment horizontal="right"/>
    </xf>
    <xf numFmtId="167" fontId="2" fillId="0" borderId="7" xfId="2" applyNumberFormat="1" applyFont="1" applyFill="1" applyBorder="1" applyAlignment="1" applyProtection="1">
      <alignment horizontal="right"/>
    </xf>
    <xf numFmtId="0" fontId="14" fillId="0" borderId="20" xfId="0" applyFont="1" applyBorder="1" applyAlignment="1">
      <alignment horizontal="center"/>
    </xf>
    <xf numFmtId="43" fontId="0" fillId="0" borderId="0" xfId="1" applyFont="1" applyFill="1" applyBorder="1" applyAlignment="1">
      <alignment horizontal="right"/>
    </xf>
    <xf numFmtId="165" fontId="2" fillId="0" borderId="4" xfId="4" quotePrefix="1" applyNumberFormat="1" applyFont="1" applyFill="1" applyBorder="1" applyAlignment="1" applyProtection="1">
      <alignment horizontal="center"/>
    </xf>
    <xf numFmtId="37" fontId="30" fillId="0" borderId="0" xfId="0" applyNumberFormat="1" applyFont="1"/>
    <xf numFmtId="37" fontId="26" fillId="0" borderId="0" xfId="0" applyNumberFormat="1" applyFont="1"/>
    <xf numFmtId="49" fontId="2" fillId="0" borderId="4" xfId="1" quotePrefix="1" applyNumberFormat="1" applyFont="1" applyFill="1" applyBorder="1" applyAlignment="1" applyProtection="1">
      <alignment horizontal="center"/>
    </xf>
    <xf numFmtId="165" fontId="2" fillId="0" borderId="4" xfId="4" applyNumberFormat="1" applyFont="1" applyFill="1" applyBorder="1" applyAlignment="1" applyProtection="1">
      <alignment horizontal="center"/>
    </xf>
    <xf numFmtId="9" fontId="0" fillId="0" borderId="0" xfId="5" applyFont="1" applyFill="1"/>
    <xf numFmtId="37" fontId="9" fillId="0" borderId="0" xfId="0" applyNumberFormat="1" applyFont="1" applyAlignment="1">
      <alignment wrapText="1"/>
    </xf>
    <xf numFmtId="37" fontId="9" fillId="0" borderId="1" xfId="0" applyNumberFormat="1" applyFont="1" applyBorder="1"/>
    <xf numFmtId="43" fontId="9" fillId="0" borderId="1" xfId="1" applyFont="1" applyFill="1" applyBorder="1"/>
    <xf numFmtId="37" fontId="27" fillId="0" borderId="0" xfId="0" applyNumberFormat="1" applyFont="1" applyAlignment="1">
      <alignment wrapText="1"/>
    </xf>
    <xf numFmtId="37" fontId="9" fillId="0" borderId="2" xfId="0" applyNumberFormat="1" applyFont="1" applyBorder="1" applyAlignment="1">
      <alignment horizontal="center"/>
    </xf>
    <xf numFmtId="37" fontId="9" fillId="0" borderId="2" xfId="0" applyNumberFormat="1" applyFont="1" applyBorder="1"/>
    <xf numFmtId="37" fontId="0" fillId="0" borderId="1" xfId="0" applyNumberFormat="1" applyBorder="1"/>
    <xf numFmtId="170" fontId="0" fillId="0" borderId="0" xfId="0" applyNumberFormat="1"/>
    <xf numFmtId="37" fontId="5" fillId="0" borderId="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/>
    </xf>
    <xf numFmtId="0" fontId="14" fillId="0" borderId="41" xfId="0" applyFont="1" applyBorder="1"/>
    <xf numFmtId="0" fontId="14" fillId="0" borderId="24" xfId="0" applyFont="1" applyBorder="1"/>
    <xf numFmtId="164" fontId="14" fillId="0" borderId="26" xfId="1" applyNumberFormat="1" applyFont="1" applyFill="1" applyBorder="1"/>
    <xf numFmtId="164" fontId="14" fillId="0" borderId="43" xfId="1" applyNumberFormat="1" applyFont="1" applyFill="1" applyBorder="1"/>
    <xf numFmtId="37" fontId="0" fillId="0" borderId="12" xfId="0" applyNumberFormat="1" applyBorder="1"/>
    <xf numFmtId="43" fontId="2" fillId="0" borderId="4" xfId="1" applyFont="1" applyFill="1" applyBorder="1" applyAlignment="1" applyProtection="1">
      <alignment horizontal="right"/>
    </xf>
    <xf numFmtId="39" fontId="0" fillId="0" borderId="4" xfId="0" applyNumberFormat="1" applyBorder="1"/>
    <xf numFmtId="43" fontId="14" fillId="0" borderId="0" xfId="1" applyFont="1"/>
    <xf numFmtId="0" fontId="2" fillId="0" borderId="4" xfId="1" quotePrefix="1" applyNumberFormat="1" applyFont="1" applyFill="1" applyBorder="1" applyAlignment="1" applyProtection="1">
      <alignment horizontal="center"/>
    </xf>
    <xf numFmtId="0" fontId="5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quotePrefix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6" fillId="0" borderId="0" xfId="0" applyFont="1"/>
    <xf numFmtId="37" fontId="9" fillId="0" borderId="1" xfId="0" applyNumberFormat="1" applyFont="1" applyBorder="1" applyAlignment="1">
      <alignment horizontal="center"/>
    </xf>
    <xf numFmtId="167" fontId="25" fillId="0" borderId="47" xfId="1" applyNumberFormat="1" applyFont="1" applyFill="1" applyBorder="1"/>
    <xf numFmtId="43" fontId="9" fillId="0" borderId="1" xfId="0" applyNumberFormat="1" applyFont="1" applyBorder="1"/>
    <xf numFmtId="167" fontId="2" fillId="0" borderId="5" xfId="1" applyNumberFormat="1" applyFont="1" applyFill="1" applyBorder="1" applyAlignment="1" applyProtection="1">
      <alignment horizontal="right"/>
    </xf>
    <xf numFmtId="37" fontId="9" fillId="0" borderId="4" xfId="0" applyNumberFormat="1" applyFont="1" applyBorder="1"/>
    <xf numFmtId="39" fontId="9" fillId="0" borderId="4" xfId="0" applyNumberFormat="1" applyFont="1" applyBorder="1"/>
    <xf numFmtId="37" fontId="9" fillId="0" borderId="15" xfId="0" applyNumberFormat="1" applyFont="1" applyBorder="1"/>
    <xf numFmtId="37" fontId="29" fillId="0" borderId="2" xfId="0" applyNumberFormat="1" applyFont="1" applyBorder="1"/>
    <xf numFmtId="37" fontId="26" fillId="0" borderId="2" xfId="0" applyNumberFormat="1" applyFont="1" applyBorder="1"/>
    <xf numFmtId="37" fontId="0" fillId="0" borderId="3" xfId="0" applyNumberFormat="1" applyBorder="1"/>
    <xf numFmtId="37" fontId="8" fillId="0" borderId="9" xfId="0" applyNumberFormat="1" applyFont="1" applyBorder="1" applyAlignment="1">
      <alignment horizontal="center"/>
    </xf>
    <xf numFmtId="0" fontId="17" fillId="0" borderId="0" xfId="0" applyFont="1"/>
    <xf numFmtId="37" fontId="3" fillId="0" borderId="4" xfId="0" applyNumberFormat="1" applyFont="1" applyBorder="1" applyAlignment="1">
      <alignment horizontal="left" wrapText="1"/>
    </xf>
    <xf numFmtId="2" fontId="21" fillId="0" borderId="0" xfId="0" applyNumberFormat="1" applyFont="1"/>
    <xf numFmtId="165" fontId="13" fillId="0" borderId="0" xfId="1" applyNumberFormat="1" applyFont="1" applyFill="1" applyAlignment="1" applyProtection="1">
      <alignment horizontal="center"/>
    </xf>
    <xf numFmtId="37" fontId="9" fillId="0" borderId="42" xfId="0" applyNumberFormat="1" applyFont="1" applyBorder="1"/>
    <xf numFmtId="43" fontId="0" fillId="0" borderId="42" xfId="1" applyFont="1" applyFill="1" applyBorder="1"/>
    <xf numFmtId="37" fontId="0" fillId="0" borderId="42" xfId="0" applyNumberFormat="1" applyBorder="1"/>
    <xf numFmtId="43" fontId="0" fillId="0" borderId="4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5" xfId="0" applyFont="1" applyBorder="1" applyAlignment="1">
      <alignment horizontal="center" vertical="top" wrapText="1"/>
    </xf>
    <xf numFmtId="0" fontId="2" fillId="0" borderId="31" xfId="0" applyFont="1" applyBorder="1" applyAlignment="1">
      <alignment vertical="center"/>
    </xf>
    <xf numFmtId="167" fontId="2" fillId="0" borderId="4" xfId="1" applyNumberFormat="1" applyFont="1" applyFill="1" applyBorder="1" applyAlignment="1">
      <alignment horizontal="right" vertical="center" wrapText="1"/>
    </xf>
    <xf numFmtId="165" fontId="2" fillId="0" borderId="4" xfId="1" applyNumberFormat="1" applyFont="1" applyFill="1" applyBorder="1" applyAlignment="1">
      <alignment horizontal="right" vertical="center" wrapText="1"/>
    </xf>
    <xf numFmtId="167" fontId="2" fillId="4" borderId="4" xfId="1" applyNumberFormat="1" applyFont="1" applyFill="1" applyBorder="1" applyAlignment="1">
      <alignment horizontal="right" vertical="center" wrapText="1"/>
    </xf>
    <xf numFmtId="0" fontId="2" fillId="0" borderId="40" xfId="0" applyFont="1" applyBorder="1" applyAlignment="1">
      <alignment vertical="center"/>
    </xf>
    <xf numFmtId="167" fontId="2" fillId="0" borderId="9" xfId="1" applyNumberFormat="1" applyFont="1" applyFill="1" applyBorder="1" applyAlignment="1">
      <alignment horizontal="right" vertical="center" wrapText="1"/>
    </xf>
    <xf numFmtId="167" fontId="2" fillId="4" borderId="9" xfId="1" applyNumberFormat="1" applyFont="1" applyFill="1" applyBorder="1" applyAlignment="1">
      <alignment horizontal="right" vertical="center" wrapText="1"/>
    </xf>
    <xf numFmtId="0" fontId="2" fillId="0" borderId="36" xfId="0" applyFont="1" applyBorder="1" applyAlignment="1">
      <alignment vertical="center"/>
    </xf>
    <xf numFmtId="167" fontId="6" fillId="0" borderId="37" xfId="1" applyNumberFormat="1" applyFont="1" applyFill="1" applyBorder="1" applyAlignment="1">
      <alignment horizontal="right" vertical="center" wrapText="1"/>
    </xf>
    <xf numFmtId="37" fontId="5" fillId="0" borderId="37" xfId="0" applyNumberFormat="1" applyFont="1" applyBorder="1" applyAlignment="1">
      <alignment horizontal="center" vertical="center" wrapText="1"/>
    </xf>
    <xf numFmtId="37" fontId="5" fillId="0" borderId="37" xfId="0" applyNumberFormat="1" applyFont="1" applyBorder="1" applyAlignment="1">
      <alignment horizontal="center" vertical="center"/>
    </xf>
    <xf numFmtId="37" fontId="2" fillId="0" borderId="5" xfId="0" applyNumberFormat="1" applyFont="1" applyBorder="1" applyAlignment="1">
      <alignment horizontal="right"/>
    </xf>
    <xf numFmtId="43" fontId="9" fillId="0" borderId="48" xfId="1" applyFont="1" applyFill="1" applyBorder="1"/>
    <xf numFmtId="39" fontId="2" fillId="0" borderId="0" xfId="0" applyNumberFormat="1" applyFont="1"/>
    <xf numFmtId="37" fontId="9" fillId="0" borderId="7" xfId="0" applyNumberFormat="1" applyFont="1" applyBorder="1"/>
    <xf numFmtId="0" fontId="21" fillId="0" borderId="19" xfId="0" applyFont="1" applyBorder="1"/>
    <xf numFmtId="0" fontId="21" fillId="0" borderId="30" xfId="0" applyFont="1" applyBorder="1"/>
    <xf numFmtId="39" fontId="2" fillId="0" borderId="0" xfId="1" applyNumberFormat="1" applyFont="1" applyFill="1"/>
    <xf numFmtId="37" fontId="0" fillId="0" borderId="0" xfId="0" applyNumberFormat="1" applyAlignment="1">
      <alignment wrapText="1"/>
    </xf>
    <xf numFmtId="164" fontId="14" fillId="0" borderId="30" xfId="1" applyNumberFormat="1" applyFont="1" applyBorder="1"/>
    <xf numFmtId="164" fontId="14" fillId="0" borderId="19" xfId="1" applyNumberFormat="1" applyFont="1" applyBorder="1"/>
    <xf numFmtId="174" fontId="0" fillId="0" borderId="0" xfId="0" applyNumberFormat="1"/>
    <xf numFmtId="37" fontId="5" fillId="0" borderId="0" xfId="0" applyNumberFormat="1" applyFont="1" applyAlignment="1">
      <alignment horizontal="right" wrapText="1"/>
    </xf>
    <xf numFmtId="39" fontId="2" fillId="0" borderId="0" xfId="1" applyNumberFormat="1" applyFont="1" applyFill="1" applyAlignment="1">
      <alignment horizontal="right"/>
    </xf>
    <xf numFmtId="2" fontId="14" fillId="0" borderId="20" xfId="0" applyNumberFormat="1" applyFont="1" applyBorder="1"/>
    <xf numFmtId="0" fontId="14" fillId="0" borderId="20" xfId="0" applyFont="1" applyBorder="1" applyAlignment="1">
      <alignment wrapText="1"/>
    </xf>
    <xf numFmtId="0" fontId="35" fillId="0" borderId="0" xfId="0" applyFont="1"/>
    <xf numFmtId="164" fontId="2" fillId="0" borderId="0" xfId="1" applyNumberFormat="1" applyFont="1" applyFill="1"/>
    <xf numFmtId="37" fontId="10" fillId="0" borderId="0" xfId="0" applyNumberFormat="1" applyFont="1" applyAlignment="1">
      <alignment horizontal="left" wrapText="1"/>
    </xf>
    <xf numFmtId="37" fontId="0" fillId="0" borderId="24" xfId="0" applyNumberFormat="1" applyBorder="1"/>
    <xf numFmtId="37" fontId="9" fillId="0" borderId="27" xfId="0" applyNumberFormat="1" applyFont="1" applyBorder="1"/>
    <xf numFmtId="37" fontId="0" fillId="0" borderId="25" xfId="0" applyNumberFormat="1" applyBorder="1"/>
    <xf numFmtId="37" fontId="0" fillId="0" borderId="23" xfId="0" applyNumberFormat="1" applyBorder="1"/>
    <xf numFmtId="37" fontId="0" fillId="0" borderId="43" xfId="0" applyNumberFormat="1" applyBorder="1"/>
    <xf numFmtId="37" fontId="0" fillId="0" borderId="50" xfId="0" applyNumberFormat="1" applyBorder="1"/>
    <xf numFmtId="39" fontId="5" fillId="0" borderId="0" xfId="0" applyNumberFormat="1" applyFont="1"/>
    <xf numFmtId="0" fontId="21" fillId="0" borderId="0" xfId="0" applyFont="1" applyAlignment="1">
      <alignment horizontal="center"/>
    </xf>
    <xf numFmtId="37" fontId="14" fillId="0" borderId="0" xfId="0" applyNumberFormat="1" applyFont="1"/>
    <xf numFmtId="0" fontId="21" fillId="0" borderId="4" xfId="0" applyFont="1" applyBorder="1"/>
    <xf numFmtId="164" fontId="14" fillId="0" borderId="4" xfId="0" applyNumberFormat="1" applyFont="1" applyBorder="1"/>
    <xf numFmtId="37" fontId="0" fillId="0" borderId="26" xfId="0" applyNumberFormat="1" applyBorder="1"/>
    <xf numFmtId="37" fontId="0" fillId="0" borderId="41" xfId="0" applyNumberFormat="1" applyBorder="1"/>
    <xf numFmtId="37" fontId="0" fillId="0" borderId="30" xfId="0" applyNumberFormat="1" applyBorder="1"/>
    <xf numFmtId="39" fontId="9" fillId="0" borderId="51" xfId="1" applyNumberFormat="1" applyFont="1" applyFill="1" applyBorder="1"/>
    <xf numFmtId="0" fontId="21" fillId="0" borderId="31" xfId="0" applyFont="1" applyBorder="1"/>
    <xf numFmtId="0" fontId="21" fillId="0" borderId="52" xfId="0" applyFont="1" applyBorder="1"/>
    <xf numFmtId="39" fontId="21" fillId="0" borderId="16" xfId="0" applyNumberFormat="1" applyFont="1" applyBorder="1"/>
    <xf numFmtId="39" fontId="21" fillId="0" borderId="53" xfId="0" applyNumberFormat="1" applyFont="1" applyBorder="1"/>
    <xf numFmtId="164" fontId="21" fillId="0" borderId="32" xfId="0" applyNumberFormat="1" applyFont="1" applyBorder="1"/>
    <xf numFmtId="164" fontId="14" fillId="0" borderId="12" xfId="0" applyNumberFormat="1" applyFont="1" applyBorder="1"/>
    <xf numFmtId="0" fontId="21" fillId="0" borderId="33" xfId="0" applyFont="1" applyBorder="1"/>
    <xf numFmtId="39" fontId="21" fillId="0" borderId="5" xfId="0" applyNumberFormat="1" applyFont="1" applyBorder="1"/>
    <xf numFmtId="39" fontId="21" fillId="0" borderId="44" xfId="0" applyNumberFormat="1" applyFont="1" applyBorder="1"/>
    <xf numFmtId="164" fontId="14" fillId="0" borderId="5" xfId="0" applyNumberFormat="1" applyFont="1" applyBorder="1"/>
    <xf numFmtId="164" fontId="14" fillId="0" borderId="11" xfId="0" applyNumberFormat="1" applyFont="1" applyBorder="1"/>
    <xf numFmtId="0" fontId="21" fillId="0" borderId="37" xfId="0" applyFont="1" applyBorder="1"/>
    <xf numFmtId="0" fontId="21" fillId="0" borderId="38" xfId="0" applyFont="1" applyBorder="1"/>
    <xf numFmtId="0" fontId="21" fillId="0" borderId="36" xfId="0" applyFont="1" applyBorder="1"/>
    <xf numFmtId="0" fontId="21" fillId="0" borderId="45" xfId="0" applyFont="1" applyBorder="1"/>
    <xf numFmtId="164" fontId="21" fillId="0" borderId="37" xfId="0" applyNumberFormat="1" applyFont="1" applyBorder="1"/>
    <xf numFmtId="164" fontId="21" fillId="0" borderId="45" xfId="0" applyNumberFormat="1" applyFont="1" applyBorder="1"/>
    <xf numFmtId="164" fontId="21" fillId="0" borderId="0" xfId="0" applyNumberFormat="1" applyFont="1" applyAlignment="1">
      <alignment horizontal="left" indent="1"/>
    </xf>
    <xf numFmtId="165" fontId="21" fillId="0" borderId="0" xfId="0" applyNumberFormat="1" applyFont="1" applyAlignment="1">
      <alignment horizontal="left" indent="1"/>
    </xf>
    <xf numFmtId="43" fontId="9" fillId="0" borderId="42" xfId="4" applyFont="1" applyFill="1" applyBorder="1"/>
    <xf numFmtId="171" fontId="0" fillId="0" borderId="0" xfId="0" applyNumberFormat="1"/>
    <xf numFmtId="165" fontId="2" fillId="0" borderId="12" xfId="1" quotePrefix="1" applyNumberFormat="1" applyFont="1" applyFill="1" applyBorder="1" applyAlignment="1" applyProtection="1">
      <alignment horizontal="center"/>
    </xf>
    <xf numFmtId="37" fontId="9" fillId="0" borderId="12" xfId="0" applyNumberFormat="1" applyFont="1" applyBorder="1"/>
    <xf numFmtId="39" fontId="6" fillId="0" borderId="0" xfId="0" applyNumberFormat="1" applyFont="1"/>
    <xf numFmtId="43" fontId="2" fillId="0" borderId="0" xfId="1" applyFont="1" applyFill="1"/>
    <xf numFmtId="39" fontId="35" fillId="0" borderId="0" xfId="0" applyNumberFormat="1" applyFont="1"/>
    <xf numFmtId="37" fontId="35" fillId="0" borderId="0" xfId="0" applyNumberFormat="1" applyFont="1"/>
    <xf numFmtId="37" fontId="39" fillId="0" borderId="0" xfId="0" applyNumberFormat="1" applyFont="1" applyAlignment="1">
      <alignment horizontal="center"/>
    </xf>
    <xf numFmtId="37" fontId="40" fillId="0" borderId="0" xfId="0" applyNumberFormat="1" applyFont="1" applyAlignment="1">
      <alignment horizontal="center"/>
    </xf>
    <xf numFmtId="170" fontId="35" fillId="0" borderId="0" xfId="0" applyNumberFormat="1" applyFont="1"/>
    <xf numFmtId="37" fontId="18" fillId="0" borderId="0" xfId="0" applyNumberFormat="1" applyFont="1"/>
    <xf numFmtId="39" fontId="18" fillId="0" borderId="0" xfId="0" applyNumberFormat="1" applyFont="1"/>
    <xf numFmtId="37" fontId="18" fillId="0" borderId="4" xfId="0" applyNumberFormat="1" applyFont="1" applyBorder="1"/>
    <xf numFmtId="0" fontId="18" fillId="0" borderId="0" xfId="0" applyFont="1"/>
    <xf numFmtId="37" fontId="5" fillId="0" borderId="9" xfId="0" applyNumberFormat="1" applyFont="1" applyBorder="1" applyAlignment="1">
      <alignment horizontal="center"/>
    </xf>
    <xf numFmtId="9" fontId="0" fillId="0" borderId="0" xfId="5" applyFont="1" applyFill="1" applyBorder="1"/>
    <xf numFmtId="43" fontId="0" fillId="0" borderId="4" xfId="1" applyFont="1" applyFill="1" applyBorder="1"/>
    <xf numFmtId="43" fontId="9" fillId="0" borderId="7" xfId="1" applyFont="1" applyFill="1" applyBorder="1"/>
    <xf numFmtId="165" fontId="6" fillId="0" borderId="0" xfId="1" applyNumberFormat="1" applyFont="1" applyFill="1"/>
    <xf numFmtId="176" fontId="0" fillId="0" borderId="0" xfId="0" applyNumberFormat="1"/>
    <xf numFmtId="0" fontId="16" fillId="0" borderId="11" xfId="0" applyFont="1" applyBorder="1" applyAlignment="1">
      <alignment horizontal="center" vertical="top" wrapText="1"/>
    </xf>
    <xf numFmtId="167" fontId="16" fillId="0" borderId="12" xfId="1" applyNumberFormat="1" applyFont="1" applyFill="1" applyBorder="1" applyAlignment="1">
      <alignment horizontal="right" vertical="center" wrapText="1"/>
    </xf>
    <xf numFmtId="167" fontId="16" fillId="0" borderId="10" xfId="1" applyNumberFormat="1" applyFont="1" applyFill="1" applyBorder="1" applyAlignment="1">
      <alignment horizontal="right" vertical="center" wrapText="1"/>
    </xf>
    <xf numFmtId="167" fontId="18" fillId="0" borderId="0" xfId="1" applyNumberFormat="1" applyFont="1"/>
    <xf numFmtId="167" fontId="29" fillId="0" borderId="0" xfId="1" applyNumberFormat="1" applyFont="1"/>
    <xf numFmtId="167" fontId="18" fillId="0" borderId="0" xfId="1" applyNumberFormat="1" applyFont="1" applyFill="1" applyAlignment="1"/>
    <xf numFmtId="167" fontId="29" fillId="0" borderId="0" xfId="1" applyNumberFormat="1" applyFont="1" applyAlignment="1"/>
    <xf numFmtId="164" fontId="18" fillId="0" borderId="0" xfId="1" applyNumberFormat="1" applyFont="1"/>
    <xf numFmtId="167" fontId="18" fillId="0" borderId="0" xfId="0" applyNumberFormat="1" applyFont="1"/>
    <xf numFmtId="164" fontId="18" fillId="0" borderId="0" xfId="0" applyNumberFormat="1" applyFont="1"/>
    <xf numFmtId="167" fontId="44" fillId="0" borderId="4" xfId="1" applyNumberFormat="1" applyFont="1" applyBorder="1"/>
    <xf numFmtId="37" fontId="43" fillId="0" borderId="0" xfId="0" applyNumberFormat="1" applyFont="1" applyAlignment="1">
      <alignment horizontal="right"/>
    </xf>
    <xf numFmtId="167" fontId="44" fillId="0" borderId="0" xfId="1" applyNumberFormat="1" applyFont="1" applyBorder="1"/>
    <xf numFmtId="0" fontId="25" fillId="0" borderId="0" xfId="0" applyFont="1"/>
    <xf numFmtId="167" fontId="25" fillId="0" borderId="0" xfId="1" applyNumberFormat="1" applyFont="1"/>
    <xf numFmtId="164" fontId="18" fillId="0" borderId="0" xfId="0" applyNumberFormat="1" applyFont="1" applyAlignment="1">
      <alignment wrapText="1"/>
    </xf>
    <xf numFmtId="167" fontId="45" fillId="0" borderId="0" xfId="1" applyNumberFormat="1" applyFont="1"/>
    <xf numFmtId="0" fontId="29" fillId="0" borderId="0" xfId="0" applyFont="1"/>
    <xf numFmtId="2" fontId="29" fillId="0" borderId="0" xfId="1" applyNumberFormat="1" applyFont="1" applyFill="1" applyBorder="1" applyAlignment="1">
      <alignment wrapText="1"/>
    </xf>
    <xf numFmtId="2" fontId="18" fillId="0" borderId="0" xfId="0" applyNumberFormat="1" applyFont="1"/>
    <xf numFmtId="0" fontId="2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7" fontId="43" fillId="0" borderId="4" xfId="1" applyNumberFormat="1" applyFont="1" applyFill="1" applyBorder="1"/>
    <xf numFmtId="167" fontId="25" fillId="0" borderId="4" xfId="1" applyNumberFormat="1" applyFont="1" applyFill="1" applyBorder="1"/>
    <xf numFmtId="169" fontId="29" fillId="0" borderId="0" xfId="0" applyNumberFormat="1" applyFont="1"/>
    <xf numFmtId="167" fontId="25" fillId="0" borderId="0" xfId="1" applyNumberFormat="1" applyFont="1" applyBorder="1" applyAlignment="1"/>
    <xf numFmtId="167" fontId="18" fillId="0" borderId="0" xfId="1" applyNumberFormat="1" applyFont="1" applyBorder="1" applyAlignment="1"/>
    <xf numFmtId="167" fontId="45" fillId="0" borderId="4" xfId="1" applyNumberFormat="1" applyFont="1" applyFill="1" applyBorder="1"/>
    <xf numFmtId="167" fontId="25" fillId="0" borderId="0" xfId="1" applyNumberFormat="1" applyFont="1" applyFill="1"/>
    <xf numFmtId="167" fontId="18" fillId="0" borderId="0" xfId="1" applyNumberFormat="1" applyFont="1" applyFill="1"/>
    <xf numFmtId="43" fontId="18" fillId="0" borderId="0" xfId="0" applyNumberFormat="1" applyFont="1"/>
    <xf numFmtId="167" fontId="43" fillId="0" borderId="0" xfId="1" applyNumberFormat="1" applyFont="1" applyFill="1" applyBorder="1"/>
    <xf numFmtId="167" fontId="46" fillId="0" borderId="0" xfId="1" applyNumberFormat="1" applyFont="1" applyFill="1" applyBorder="1"/>
    <xf numFmtId="167" fontId="25" fillId="0" borderId="0" xfId="0" applyNumberFormat="1" applyFont="1"/>
    <xf numFmtId="167" fontId="45" fillId="0" borderId="23" xfId="1" applyNumberFormat="1" applyFont="1" applyFill="1" applyBorder="1" applyAlignment="1">
      <alignment horizontal="center"/>
    </xf>
    <xf numFmtId="167" fontId="45" fillId="0" borderId="17" xfId="1" applyNumberFormat="1" applyFont="1" applyFill="1" applyBorder="1" applyAlignment="1">
      <alignment horizontal="center"/>
    </xf>
    <xf numFmtId="0" fontId="18" fillId="0" borderId="27" xfId="0" applyFont="1" applyBorder="1"/>
    <xf numFmtId="0" fontId="29" fillId="0" borderId="22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29" fillId="0" borderId="41" xfId="0" applyFont="1" applyBorder="1"/>
    <xf numFmtId="43" fontId="29" fillId="0" borderId="30" xfId="1" applyFont="1" applyFill="1" applyBorder="1"/>
    <xf numFmtId="167" fontId="29" fillId="0" borderId="24" xfId="0" applyNumberFormat="1" applyFont="1" applyBorder="1"/>
    <xf numFmtId="43" fontId="25" fillId="0" borderId="2" xfId="1" applyFont="1" applyFill="1" applyBorder="1"/>
    <xf numFmtId="167" fontId="18" fillId="0" borderId="24" xfId="0" applyNumberFormat="1" applyFont="1" applyBorder="1"/>
    <xf numFmtId="43" fontId="29" fillId="0" borderId="0" xfId="0" applyNumberFormat="1" applyFont="1"/>
    <xf numFmtId="167" fontId="45" fillId="0" borderId="38" xfId="1" applyNumberFormat="1" applyFont="1" applyBorder="1"/>
    <xf numFmtId="167" fontId="25" fillId="0" borderId="0" xfId="1" applyNumberFormat="1" applyFont="1" applyBorder="1"/>
    <xf numFmtId="167" fontId="18" fillId="0" borderId="0" xfId="1" applyNumberFormat="1" applyFont="1" applyBorder="1"/>
    <xf numFmtId="0" fontId="45" fillId="0" borderId="0" xfId="0" applyFont="1"/>
    <xf numFmtId="43" fontId="29" fillId="0" borderId="26" xfId="0" applyNumberFormat="1" applyFont="1" applyBorder="1"/>
    <xf numFmtId="0" fontId="29" fillId="0" borderId="24" xfId="0" applyFont="1" applyBorder="1"/>
    <xf numFmtId="167" fontId="45" fillId="0" borderId="0" xfId="1" applyNumberFormat="1" applyFont="1" applyBorder="1"/>
    <xf numFmtId="164" fontId="29" fillId="0" borderId="0" xfId="0" applyNumberFormat="1" applyFont="1"/>
    <xf numFmtId="0" fontId="29" fillId="0" borderId="0" xfId="0" applyFont="1" applyAlignment="1">
      <alignment vertical="center" wrapText="1"/>
    </xf>
    <xf numFmtId="49" fontId="49" fillId="0" borderId="0" xfId="0" applyNumberFormat="1" applyFont="1"/>
    <xf numFmtId="49" fontId="45" fillId="0" borderId="0" xfId="0" applyNumberFormat="1" applyFont="1"/>
    <xf numFmtId="0" fontId="50" fillId="0" borderId="0" xfId="6" applyFont="1" applyAlignment="1">
      <alignment wrapText="1"/>
    </xf>
    <xf numFmtId="0" fontId="23" fillId="0" borderId="0" xfId="0" applyFont="1"/>
    <xf numFmtId="43" fontId="23" fillId="0" borderId="0" xfId="0" applyNumberFormat="1" applyFont="1"/>
    <xf numFmtId="164" fontId="23" fillId="0" borderId="0" xfId="0" applyNumberFormat="1" applyFont="1"/>
    <xf numFmtId="165" fontId="6" fillId="0" borderId="0" xfId="1" applyNumberFormat="1" applyFont="1" applyFill="1" applyAlignment="1">
      <alignment horizontal="center" vertical="center"/>
    </xf>
    <xf numFmtId="9" fontId="6" fillId="0" borderId="0" xfId="5" applyFont="1" applyFill="1" applyAlignment="1">
      <alignment horizontal="center" vertical="center"/>
    </xf>
    <xf numFmtId="14" fontId="45" fillId="0" borderId="0" xfId="1" applyNumberFormat="1" applyFont="1"/>
    <xf numFmtId="0" fontId="21" fillId="0" borderId="28" xfId="0" applyFont="1" applyBorder="1"/>
    <xf numFmtId="164" fontId="14" fillId="0" borderId="26" xfId="1" applyNumberFormat="1" applyFont="1" applyBorder="1"/>
    <xf numFmtId="164" fontId="14" fillId="0" borderId="43" xfId="1" applyNumberFormat="1" applyFont="1" applyBorder="1"/>
    <xf numFmtId="0" fontId="21" fillId="0" borderId="59" xfId="0" applyFont="1" applyBorder="1"/>
    <xf numFmtId="0" fontId="14" fillId="0" borderId="36" xfId="0" applyFont="1" applyBorder="1"/>
    <xf numFmtId="43" fontId="14" fillId="0" borderId="0" xfId="0" applyNumberFormat="1" applyFont="1"/>
    <xf numFmtId="37" fontId="0" fillId="0" borderId="15" xfId="0" applyNumberFormat="1" applyBorder="1"/>
    <xf numFmtId="37" fontId="5" fillId="0" borderId="36" xfId="0" applyNumberFormat="1" applyFont="1" applyBorder="1" applyAlignment="1">
      <alignment horizontal="center" vertical="center"/>
    </xf>
    <xf numFmtId="37" fontId="43" fillId="0" borderId="4" xfId="0" applyNumberFormat="1" applyFont="1" applyBorder="1" applyAlignment="1">
      <alignment horizontal="right"/>
    </xf>
    <xf numFmtId="43" fontId="0" fillId="0" borderId="0" xfId="1" applyFont="1" applyFill="1"/>
    <xf numFmtId="43" fontId="0" fillId="0" borderId="7" xfId="1" applyFont="1" applyFill="1" applyBorder="1"/>
    <xf numFmtId="165" fontId="32" fillId="0" borderId="0" xfId="1" applyNumberFormat="1" applyFont="1" applyFill="1" applyBorder="1" applyAlignment="1">
      <alignment wrapText="1"/>
    </xf>
    <xf numFmtId="175" fontId="2" fillId="0" borderId="0" xfId="1" applyNumberFormat="1" applyFont="1" applyFill="1" applyBorder="1"/>
    <xf numFmtId="175" fontId="32" fillId="0" borderId="0" xfId="1" applyNumberFormat="1" applyFont="1" applyFill="1" applyBorder="1"/>
    <xf numFmtId="165" fontId="32" fillId="0" borderId="0" xfId="1" applyNumberFormat="1" applyFont="1" applyFill="1" applyBorder="1"/>
    <xf numFmtId="0" fontId="2" fillId="0" borderId="33" xfId="0" applyFont="1" applyBorder="1"/>
    <xf numFmtId="0" fontId="2" fillId="0" borderId="31" xfId="0" applyFont="1" applyBorder="1"/>
    <xf numFmtId="0" fontId="2" fillId="0" borderId="52" xfId="0" applyFont="1" applyBorder="1"/>
    <xf numFmtId="37" fontId="2" fillId="0" borderId="16" xfId="0" applyNumberFormat="1" applyFont="1" applyBorder="1" applyAlignment="1">
      <alignment horizontal="right"/>
    </xf>
    <xf numFmtId="37" fontId="6" fillId="0" borderId="56" xfId="0" applyNumberFormat="1" applyFont="1" applyBorder="1" applyAlignment="1">
      <alignment horizontal="center"/>
    </xf>
    <xf numFmtId="37" fontId="6" fillId="0" borderId="60" xfId="0" applyNumberFormat="1" applyFont="1" applyBorder="1" applyAlignment="1">
      <alignment horizontal="right"/>
    </xf>
    <xf numFmtId="167" fontId="45" fillId="0" borderId="21" xfId="1" applyNumberFormat="1" applyFont="1" applyFill="1" applyBorder="1" applyAlignment="1">
      <alignment vertical="center" wrapText="1"/>
    </xf>
    <xf numFmtId="167" fontId="45" fillId="0" borderId="0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167" fontId="6" fillId="0" borderId="0" xfId="1" applyNumberFormat="1" applyFont="1" applyFill="1" applyBorder="1" applyAlignment="1">
      <alignment horizontal="right" vertical="center" wrapText="1"/>
    </xf>
    <xf numFmtId="3" fontId="47" fillId="0" borderId="0" xfId="1" applyNumberFormat="1" applyFont="1" applyFill="1" applyBorder="1" applyAlignment="1">
      <alignment vertical="center"/>
    </xf>
    <xf numFmtId="3" fontId="48" fillId="0" borderId="0" xfId="1" applyNumberFormat="1" applyFont="1" applyFill="1" applyBorder="1" applyAlignment="1">
      <alignment vertical="center"/>
    </xf>
    <xf numFmtId="167" fontId="18" fillId="0" borderId="0" xfId="1" applyNumberFormat="1" applyFont="1" applyAlignment="1"/>
    <xf numFmtId="0" fontId="14" fillId="0" borderId="26" xfId="0" applyFont="1" applyBorder="1"/>
    <xf numFmtId="178" fontId="18" fillId="0" borderId="0" xfId="0" applyNumberFormat="1" applyFont="1"/>
    <xf numFmtId="165" fontId="14" fillId="0" borderId="20" xfId="1" applyNumberFormat="1" applyFont="1" applyFill="1" applyBorder="1" applyAlignment="1">
      <alignment horizontal="left" indent="2"/>
    </xf>
    <xf numFmtId="165" fontId="14" fillId="0" borderId="20" xfId="1" applyNumberFormat="1" applyFont="1" applyFill="1" applyBorder="1"/>
    <xf numFmtId="37" fontId="9" fillId="0" borderId="15" xfId="0" applyNumberFormat="1" applyFont="1" applyBorder="1" applyAlignment="1">
      <alignment horizontal="center"/>
    </xf>
    <xf numFmtId="43" fontId="9" fillId="0" borderId="42" xfId="1" applyFont="1" applyFill="1" applyBorder="1"/>
    <xf numFmtId="164" fontId="2" fillId="0" borderId="4" xfId="1" applyNumberFormat="1" applyFont="1" applyFill="1" applyBorder="1" applyAlignment="1" applyProtection="1">
      <alignment horizontal="right"/>
    </xf>
    <xf numFmtId="43" fontId="29" fillId="0" borderId="0" xfId="1" applyFont="1"/>
    <xf numFmtId="4" fontId="18" fillId="0" borderId="0" xfId="0" applyNumberFormat="1" applyFont="1"/>
    <xf numFmtId="167" fontId="23" fillId="0" borderId="0" xfId="0" applyNumberFormat="1" applyFont="1"/>
    <xf numFmtId="0" fontId="37" fillId="0" borderId="4" xfId="0" applyFont="1" applyBorder="1" applyAlignment="1">
      <alignment horizontal="center"/>
    </xf>
    <xf numFmtId="167" fontId="29" fillId="0" borderId="4" xfId="1" applyNumberFormat="1" applyFont="1" applyBorder="1" applyAlignment="1">
      <alignment horizontal="center"/>
    </xf>
    <xf numFmtId="37" fontId="16" fillId="0" borderId="4" xfId="0" applyNumberFormat="1" applyFont="1" applyBorder="1" applyAlignment="1">
      <alignment horizontal="left" vertical="center"/>
    </xf>
    <xf numFmtId="167" fontId="29" fillId="0" borderId="4" xfId="1" applyNumberFormat="1" applyFont="1" applyFill="1" applyBorder="1" applyAlignment="1">
      <alignment horizontal="center"/>
    </xf>
    <xf numFmtId="0" fontId="18" fillId="0" borderId="4" xfId="0" applyFont="1" applyBorder="1" applyAlignment="1">
      <alignment vertical="center"/>
    </xf>
    <xf numFmtId="37" fontId="44" fillId="0" borderId="4" xfId="0" applyNumberFormat="1" applyFont="1" applyBorder="1" applyAlignment="1">
      <alignment horizontal="right"/>
    </xf>
    <xf numFmtId="37" fontId="17" fillId="0" borderId="0" xfId="0" applyNumberFormat="1" applyFont="1"/>
    <xf numFmtId="167" fontId="14" fillId="0" borderId="14" xfId="1" applyNumberFormat="1" applyFont="1" applyFill="1" applyBorder="1"/>
    <xf numFmtId="167" fontId="14" fillId="0" borderId="5" xfId="1" applyNumberFormat="1" applyFont="1" applyFill="1" applyBorder="1"/>
    <xf numFmtId="167" fontId="14" fillId="0" borderId="4" xfId="1" applyNumberFormat="1" applyFont="1" applyFill="1" applyBorder="1"/>
    <xf numFmtId="167" fontId="14" fillId="0" borderId="44" xfId="1" applyNumberFormat="1" applyFont="1" applyFill="1" applyBorder="1"/>
    <xf numFmtId="167" fontId="14" fillId="0" borderId="6" xfId="1" applyNumberFormat="1" applyFont="1" applyFill="1" applyBorder="1"/>
    <xf numFmtId="167" fontId="14" fillId="0" borderId="47" xfId="1" applyNumberFormat="1" applyFont="1" applyFill="1" applyBorder="1"/>
    <xf numFmtId="167" fontId="21" fillId="0" borderId="59" xfId="1" applyNumberFormat="1" applyFont="1" applyFill="1" applyBorder="1"/>
    <xf numFmtId="167" fontId="21" fillId="0" borderId="37" xfId="1" applyNumberFormat="1" applyFont="1" applyFill="1" applyBorder="1"/>
    <xf numFmtId="167" fontId="21" fillId="0" borderId="38" xfId="1" applyNumberFormat="1" applyFont="1" applyFill="1" applyBorder="1"/>
    <xf numFmtId="167" fontId="14" fillId="0" borderId="0" xfId="0" applyNumberFormat="1" applyFont="1"/>
    <xf numFmtId="167" fontId="14" fillId="0" borderId="4" xfId="0" applyNumberFormat="1" applyFont="1" applyBorder="1"/>
    <xf numFmtId="167" fontId="21" fillId="0" borderId="16" xfId="0" applyNumberFormat="1" applyFont="1" applyBorder="1"/>
    <xf numFmtId="167" fontId="14" fillId="0" borderId="32" xfId="1" applyNumberFormat="1" applyFont="1" applyFill="1" applyBorder="1"/>
    <xf numFmtId="167" fontId="21" fillId="0" borderId="53" xfId="1" applyNumberFormat="1" applyFont="1" applyFill="1" applyBorder="1"/>
    <xf numFmtId="0" fontId="14" fillId="0" borderId="0" xfId="0" applyFont="1" applyAlignment="1">
      <alignment horizontal="right"/>
    </xf>
    <xf numFmtId="0" fontId="14" fillId="0" borderId="4" xfId="0" applyFont="1" applyBorder="1"/>
    <xf numFmtId="37" fontId="14" fillId="0" borderId="4" xfId="0" applyNumberFormat="1" applyFont="1" applyBorder="1"/>
    <xf numFmtId="37" fontId="21" fillId="0" borderId="4" xfId="0" applyNumberFormat="1" applyFont="1" applyBorder="1"/>
    <xf numFmtId="164" fontId="21" fillId="0" borderId="0" xfId="0" applyNumberFormat="1" applyFont="1"/>
    <xf numFmtId="0" fontId="21" fillId="0" borderId="46" xfId="0" applyFont="1" applyBorder="1"/>
    <xf numFmtId="164" fontId="14" fillId="0" borderId="6" xfId="0" applyNumberFormat="1" applyFont="1" applyBorder="1"/>
    <xf numFmtId="164" fontId="14" fillId="0" borderId="21" xfId="0" applyNumberFormat="1" applyFont="1" applyBorder="1"/>
    <xf numFmtId="0" fontId="14" fillId="0" borderId="62" xfId="0" applyFont="1" applyBorder="1"/>
    <xf numFmtId="167" fontId="14" fillId="0" borderId="62" xfId="1" applyNumberFormat="1" applyFont="1" applyFill="1" applyBorder="1"/>
    <xf numFmtId="37" fontId="30" fillId="0" borderId="0" xfId="0" applyNumberFormat="1" applyFont="1" applyAlignment="1">
      <alignment wrapText="1"/>
    </xf>
    <xf numFmtId="165" fontId="32" fillId="0" borderId="0" xfId="1" applyNumberFormat="1" applyFont="1" applyFill="1" applyBorder="1" applyAlignment="1">
      <alignment vertical="top" wrapText="1"/>
    </xf>
    <xf numFmtId="167" fontId="29" fillId="0" borderId="0" xfId="0" applyNumberFormat="1" applyFont="1" applyAlignment="1">
      <alignment horizontal="center" wrapText="1"/>
    </xf>
    <xf numFmtId="167" fontId="21" fillId="0" borderId="0" xfId="0" applyNumberFormat="1" applyFont="1"/>
    <xf numFmtId="167" fontId="21" fillId="0" borderId="0" xfId="1" applyNumberFormat="1" applyFont="1" applyFill="1" applyBorder="1"/>
    <xf numFmtId="37" fontId="21" fillId="0" borderId="0" xfId="0" applyNumberFormat="1" applyFont="1"/>
    <xf numFmtId="165" fontId="14" fillId="0" borderId="0" xfId="0" applyNumberFormat="1" applyFont="1"/>
    <xf numFmtId="0" fontId="21" fillId="0" borderId="4" xfId="0" applyFont="1" applyBorder="1" applyAlignment="1">
      <alignment horizontal="right"/>
    </xf>
    <xf numFmtId="37" fontId="9" fillId="0" borderId="17" xfId="0" applyNumberFormat="1" applyFont="1" applyBorder="1" applyAlignment="1">
      <alignment horizontal="center"/>
    </xf>
    <xf numFmtId="39" fontId="0" fillId="0" borderId="20" xfId="0" applyNumberFormat="1" applyBorder="1"/>
    <xf numFmtId="39" fontId="9" fillId="0" borderId="64" xfId="0" applyNumberFormat="1" applyFont="1" applyBorder="1"/>
    <xf numFmtId="0" fontId="29" fillId="0" borderId="25" xfId="0" applyFont="1" applyBorder="1"/>
    <xf numFmtId="43" fontId="29" fillId="0" borderId="23" xfId="0" applyNumberFormat="1" applyFont="1" applyBorder="1"/>
    <xf numFmtId="43" fontId="29" fillId="0" borderId="43" xfId="0" applyNumberFormat="1" applyFont="1" applyBorder="1"/>
    <xf numFmtId="167" fontId="29" fillId="0" borderId="25" xfId="0" applyNumberFormat="1" applyFont="1" applyBorder="1"/>
    <xf numFmtId="37" fontId="16" fillId="0" borderId="4" xfId="0" applyNumberFormat="1" applyFont="1" applyBorder="1" applyAlignment="1">
      <alignment horizontal="left" vertical="center" wrapText="1"/>
    </xf>
    <xf numFmtId="39" fontId="9" fillId="0" borderId="48" xfId="1" applyNumberFormat="1" applyFont="1" applyFill="1" applyBorder="1"/>
    <xf numFmtId="37" fontId="9" fillId="0" borderId="12" xfId="0" applyNumberFormat="1" applyFont="1" applyBorder="1" applyAlignment="1">
      <alignment horizontal="left"/>
    </xf>
    <xf numFmtId="37" fontId="30" fillId="0" borderId="3" xfId="0" applyNumberFormat="1" applyFont="1" applyBorder="1" applyAlignment="1">
      <alignment wrapText="1"/>
    </xf>
    <xf numFmtId="39" fontId="9" fillId="0" borderId="65" xfId="1" applyNumberFormat="1" applyFont="1" applyFill="1" applyBorder="1"/>
    <xf numFmtId="164" fontId="18" fillId="0" borderId="0" xfId="0" applyNumberFormat="1" applyFont="1" applyAlignment="1">
      <alignment vertical="center"/>
    </xf>
    <xf numFmtId="0" fontId="21" fillId="0" borderId="18" xfId="0" applyFont="1" applyBorder="1"/>
    <xf numFmtId="0" fontId="22" fillId="0" borderId="18" xfId="0" applyFont="1" applyBorder="1"/>
    <xf numFmtId="0" fontId="14" fillId="0" borderId="23" xfId="0" applyFont="1" applyBorder="1"/>
    <xf numFmtId="37" fontId="47" fillId="0" borderId="0" xfId="0" applyNumberFormat="1" applyFont="1" applyAlignment="1">
      <alignment horizontal="center" wrapText="1"/>
    </xf>
    <xf numFmtId="17" fontId="23" fillId="0" borderId="0" xfId="0" applyNumberFormat="1" applyFont="1"/>
    <xf numFmtId="49" fontId="25" fillId="0" borderId="0" xfId="1" applyNumberFormat="1" applyFont="1" applyBorder="1"/>
    <xf numFmtId="39" fontId="14" fillId="0" borderId="0" xfId="0" applyNumberFormat="1" applyFont="1"/>
    <xf numFmtId="37" fontId="0" fillId="0" borderId="21" xfId="0" applyNumberFormat="1" applyBorder="1"/>
    <xf numFmtId="0" fontId="2" fillId="0" borderId="9" xfId="0" applyFont="1" applyBorder="1" applyAlignment="1">
      <alignment horizontal="left"/>
    </xf>
    <xf numFmtId="37" fontId="3" fillId="0" borderId="13" xfId="0" applyNumberFormat="1" applyFont="1" applyBorder="1" applyAlignment="1">
      <alignment horizontal="left"/>
    </xf>
    <xf numFmtId="165" fontId="2" fillId="0" borderId="9" xfId="1" applyNumberFormat="1" applyFont="1" applyFill="1" applyBorder="1" applyAlignment="1" applyProtection="1">
      <alignment horizontal="right"/>
    </xf>
    <xf numFmtId="37" fontId="2" fillId="0" borderId="9" xfId="0" applyNumberFormat="1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165" fontId="6" fillId="0" borderId="9" xfId="1" applyNumberFormat="1" applyFont="1" applyFill="1" applyBorder="1" applyAlignment="1" applyProtection="1">
      <alignment horizontal="right"/>
    </xf>
    <xf numFmtId="37" fontId="0" fillId="0" borderId="62" xfId="0" applyNumberFormat="1" applyBorder="1"/>
    <xf numFmtId="37" fontId="9" fillId="0" borderId="11" xfId="0" applyNumberFormat="1" applyFont="1" applyBorder="1"/>
    <xf numFmtId="179" fontId="0" fillId="0" borderId="0" xfId="0" applyNumberFormat="1"/>
    <xf numFmtId="180" fontId="0" fillId="0" borderId="0" xfId="0" applyNumberFormat="1"/>
    <xf numFmtId="37" fontId="43" fillId="0" borderId="25" xfId="0" applyNumberFormat="1" applyFont="1" applyBorder="1" applyAlignment="1">
      <alignment horizontal="right"/>
    </xf>
    <xf numFmtId="4" fontId="29" fillId="0" borderId="0" xfId="0" applyNumberFormat="1" applyFont="1"/>
    <xf numFmtId="164" fontId="29" fillId="0" borderId="0" xfId="0" applyNumberFormat="1" applyFont="1" applyAlignment="1">
      <alignment horizontal="right"/>
    </xf>
    <xf numFmtId="43" fontId="23" fillId="0" borderId="4" xfId="0" applyNumberFormat="1" applyFont="1" applyBorder="1"/>
    <xf numFmtId="0" fontId="29" fillId="0" borderId="4" xfId="0" applyFont="1" applyBorder="1"/>
    <xf numFmtId="167" fontId="29" fillId="0" borderId="20" xfId="0" applyNumberFormat="1" applyFont="1" applyBorder="1"/>
    <xf numFmtId="43" fontId="29" fillId="0" borderId="20" xfId="0" applyNumberFormat="1" applyFont="1" applyBorder="1"/>
    <xf numFmtId="0" fontId="31" fillId="0" borderId="0" xfId="0" applyFont="1"/>
    <xf numFmtId="37" fontId="25" fillId="0" borderId="0" xfId="0" applyNumberFormat="1" applyFont="1" applyAlignment="1">
      <alignment horizontal="center"/>
    </xf>
    <xf numFmtId="2" fontId="14" fillId="0" borderId="18" xfId="0" applyNumberFormat="1" applyFont="1" applyBorder="1"/>
    <xf numFmtId="167" fontId="43" fillId="0" borderId="4" xfId="1" applyNumberFormat="1" applyFont="1" applyBorder="1"/>
    <xf numFmtId="37" fontId="9" fillId="0" borderId="4" xfId="0" applyNumberFormat="1" applyFont="1" applyBorder="1" applyAlignment="1">
      <alignment horizontal="center"/>
    </xf>
    <xf numFmtId="37" fontId="26" fillId="0" borderId="12" xfId="0" applyNumberFormat="1" applyFont="1" applyBorder="1"/>
    <xf numFmtId="37" fontId="26" fillId="0" borderId="1" xfId="0" applyNumberFormat="1" applyFont="1" applyBorder="1" applyAlignment="1">
      <alignment horizontal="center"/>
    </xf>
    <xf numFmtId="37" fontId="26" fillId="0" borderId="15" xfId="0" applyNumberFormat="1" applyFont="1" applyBorder="1" applyAlignment="1">
      <alignment horizontal="center"/>
    </xf>
    <xf numFmtId="4" fontId="0" fillId="0" borderId="0" xfId="0" applyNumberFormat="1" applyAlignment="1">
      <alignment vertical="top"/>
    </xf>
    <xf numFmtId="0" fontId="42" fillId="0" borderId="0" xfId="0" applyFont="1"/>
    <xf numFmtId="184" fontId="0" fillId="0" borderId="0" xfId="0" applyNumberFormat="1"/>
    <xf numFmtId="0" fontId="25" fillId="0" borderId="0" xfId="1" applyNumberFormat="1" applyFont="1"/>
    <xf numFmtId="0" fontId="18" fillId="0" borderId="0" xfId="1" applyNumberFormat="1" applyFont="1"/>
    <xf numFmtId="173" fontId="45" fillId="0" borderId="0" xfId="0" applyNumberFormat="1" applyFont="1" applyAlignment="1">
      <alignment horizontal="left" vertical="top" wrapText="1"/>
    </xf>
    <xf numFmtId="37" fontId="43" fillId="0" borderId="4" xfId="0" applyNumberFormat="1" applyFont="1" applyBorder="1" applyAlignment="1">
      <alignment horizontal="left"/>
    </xf>
    <xf numFmtId="37" fontId="6" fillId="0" borderId="69" xfId="0" applyNumberFormat="1" applyFont="1" applyBorder="1" applyAlignment="1">
      <alignment wrapText="1"/>
    </xf>
    <xf numFmtId="0" fontId="22" fillId="0" borderId="19" xfId="0" applyFont="1" applyBorder="1"/>
    <xf numFmtId="0" fontId="14" fillId="0" borderId="30" xfId="0" applyFont="1" applyBorder="1"/>
    <xf numFmtId="37" fontId="44" fillId="0" borderId="0" xfId="0" applyNumberFormat="1" applyFont="1" applyAlignment="1">
      <alignment horizontal="right"/>
    </xf>
    <xf numFmtId="164" fontId="25" fillId="0" borderId="0" xfId="1" applyNumberFormat="1" applyFont="1" applyBorder="1" applyAlignment="1"/>
    <xf numFmtId="2" fontId="0" fillId="0" borderId="0" xfId="0" applyNumberFormat="1"/>
    <xf numFmtId="37" fontId="9" fillId="0" borderId="24" xfId="0" applyNumberFormat="1" applyFont="1" applyBorder="1" applyAlignment="1">
      <alignment horizontal="center"/>
    </xf>
    <xf numFmtId="0" fontId="14" fillId="0" borderId="17" xfId="0" applyFont="1" applyBorder="1"/>
    <xf numFmtId="167" fontId="21" fillId="0" borderId="17" xfId="0" applyNumberFormat="1" applyFont="1" applyBorder="1"/>
    <xf numFmtId="43" fontId="14" fillId="0" borderId="17" xfId="0" applyNumberFormat="1" applyFont="1" applyBorder="1"/>
    <xf numFmtId="43" fontId="14" fillId="0" borderId="17" xfId="0" applyNumberFormat="1" applyFont="1" applyBorder="1" applyAlignment="1">
      <alignment horizontal="right"/>
    </xf>
    <xf numFmtId="0" fontId="57" fillId="0" borderId="0" xfId="1" applyNumberFormat="1" applyFont="1" applyBorder="1" applyAlignment="1">
      <alignment horizontal="left" vertical="top" wrapText="1"/>
    </xf>
    <xf numFmtId="0" fontId="25" fillId="0" borderId="21" xfId="1" applyNumberFormat="1" applyFont="1" applyBorder="1" applyAlignment="1">
      <alignment horizontal="left" vertical="top" wrapText="1"/>
    </xf>
    <xf numFmtId="0" fontId="25" fillId="0" borderId="0" xfId="1" applyNumberFormat="1" applyFont="1" applyAlignment="1">
      <alignment horizontal="left" vertical="top" wrapText="1"/>
    </xf>
    <xf numFmtId="37" fontId="9" fillId="0" borderId="4" xfId="0" applyNumberFormat="1" applyFont="1" applyBorder="1" applyAlignment="1">
      <alignment horizontal="left"/>
    </xf>
    <xf numFmtId="37" fontId="9" fillId="0" borderId="0" xfId="0" applyNumberFormat="1" applyFont="1" applyAlignment="1">
      <alignment horizontal="left"/>
    </xf>
    <xf numFmtId="39" fontId="9" fillId="0" borderId="0" xfId="0" applyNumberFormat="1" applyFont="1"/>
    <xf numFmtId="185" fontId="0" fillId="0" borderId="0" xfId="0" applyNumberFormat="1"/>
    <xf numFmtId="0" fontId="0" fillId="0" borderId="0" xfId="0" applyAlignment="1">
      <alignment wrapText="1"/>
    </xf>
    <xf numFmtId="37" fontId="0" fillId="0" borderId="4" xfId="0" applyNumberFormat="1" applyBorder="1" applyAlignment="1">
      <alignment horizontal="left"/>
    </xf>
    <xf numFmtId="37" fontId="0" fillId="0" borderId="4" xfId="0" applyNumberFormat="1" applyBorder="1" applyAlignment="1">
      <alignment horizontal="right"/>
    </xf>
    <xf numFmtId="0" fontId="58" fillId="0" borderId="4" xfId="0" applyFont="1" applyBorder="1"/>
    <xf numFmtId="184" fontId="35" fillId="0" borderId="0" xfId="0" applyNumberFormat="1" applyFont="1"/>
    <xf numFmtId="0" fontId="56" fillId="0" borderId="0" xfId="0" applyFont="1" applyAlignment="1">
      <alignment vertical="center"/>
    </xf>
    <xf numFmtId="13" fontId="2" fillId="0" borderId="0" xfId="1" applyNumberFormat="1" applyFont="1" applyFill="1"/>
    <xf numFmtId="37" fontId="30" fillId="0" borderId="0" xfId="0" applyNumberFormat="1" applyFont="1" applyAlignment="1">
      <alignment horizontal="right"/>
    </xf>
    <xf numFmtId="167" fontId="18" fillId="0" borderId="24" xfId="1" applyNumberFormat="1" applyFont="1" applyFill="1" applyBorder="1"/>
    <xf numFmtId="37" fontId="9" fillId="0" borderId="4" xfId="0" applyNumberFormat="1" applyFont="1" applyBorder="1" applyAlignment="1">
      <alignment horizontal="right"/>
    </xf>
    <xf numFmtId="37" fontId="9" fillId="0" borderId="25" xfId="0" applyNumberFormat="1" applyFont="1" applyBorder="1" applyAlignment="1">
      <alignment horizontal="center"/>
    </xf>
    <xf numFmtId="167" fontId="25" fillId="0" borderId="17" xfId="1" applyNumberFormat="1" applyFont="1" applyBorder="1"/>
    <xf numFmtId="37" fontId="12" fillId="0" borderId="67" xfId="0" applyNumberFormat="1" applyFont="1" applyBorder="1"/>
    <xf numFmtId="165" fontId="6" fillId="0" borderId="75" xfId="1" applyNumberFormat="1" applyFont="1" applyFill="1" applyBorder="1" applyAlignment="1" applyProtection="1">
      <alignment horizontal="right"/>
    </xf>
    <xf numFmtId="43" fontId="29" fillId="0" borderId="29" xfId="1" applyFont="1" applyFill="1" applyBorder="1"/>
    <xf numFmtId="0" fontId="61" fillId="2" borderId="0" xfId="0" applyFont="1" applyFill="1"/>
    <xf numFmtId="37" fontId="6" fillId="0" borderId="17" xfId="0" applyNumberFormat="1" applyFont="1" applyBorder="1" applyAlignment="1">
      <alignment horizontal="center" vertical="center" wrapText="1"/>
    </xf>
    <xf numFmtId="37" fontId="6" fillId="0" borderId="36" xfId="0" applyNumberFormat="1" applyFont="1" applyBorder="1" applyAlignment="1">
      <alignment horizontal="left" wrapText="1"/>
    </xf>
    <xf numFmtId="37" fontId="6" fillId="0" borderId="38" xfId="0" applyNumberFormat="1" applyFont="1" applyBorder="1" applyAlignment="1">
      <alignment vertical="center" wrapText="1"/>
    </xf>
    <xf numFmtId="0" fontId="60" fillId="0" borderId="20" xfId="0" applyFont="1" applyBorder="1"/>
    <xf numFmtId="0" fontId="62" fillId="0" borderId="0" xfId="0" applyFont="1"/>
    <xf numFmtId="0" fontId="60" fillId="0" borderId="0" xfId="0" applyFont="1"/>
    <xf numFmtId="0" fontId="62" fillId="0" borderId="17" xfId="0" applyFont="1" applyBorder="1"/>
    <xf numFmtId="0" fontId="62" fillId="0" borderId="22" xfId="0" applyFont="1" applyBorder="1"/>
    <xf numFmtId="0" fontId="60" fillId="0" borderId="20" xfId="0" applyFont="1" applyBorder="1" applyAlignment="1">
      <alignment horizontal="center" vertical="center"/>
    </xf>
    <xf numFmtId="164" fontId="60" fillId="0" borderId="0" xfId="1" applyNumberFormat="1" applyFont="1" applyBorder="1"/>
    <xf numFmtId="164" fontId="60" fillId="0" borderId="20" xfId="1" applyNumberFormat="1" applyFont="1" applyBorder="1"/>
    <xf numFmtId="0" fontId="60" fillId="0" borderId="18" xfId="0" applyFont="1" applyBorder="1" applyAlignment="1">
      <alignment horizontal="center" vertical="center"/>
    </xf>
    <xf numFmtId="0" fontId="60" fillId="0" borderId="18" xfId="0" applyFont="1" applyBorder="1"/>
    <xf numFmtId="164" fontId="60" fillId="0" borderId="23" xfId="1" applyNumberFormat="1" applyFont="1" applyBorder="1"/>
    <xf numFmtId="164" fontId="60" fillId="0" borderId="18" xfId="1" applyNumberFormat="1" applyFont="1" applyBorder="1"/>
    <xf numFmtId="37" fontId="0" fillId="2" borderId="0" xfId="0" applyNumberFormat="1" applyFill="1"/>
    <xf numFmtId="3" fontId="47" fillId="2" borderId="37" xfId="1" applyNumberFormat="1" applyFont="1" applyFill="1" applyBorder="1" applyAlignment="1">
      <alignment vertical="center"/>
    </xf>
    <xf numFmtId="0" fontId="48" fillId="0" borderId="0" xfId="0" applyFont="1"/>
    <xf numFmtId="0" fontId="28" fillId="0" borderId="0" xfId="0" applyFont="1" applyAlignment="1">
      <alignment horizontal="left" vertical="center" wrapText="1" indent="8"/>
    </xf>
    <xf numFmtId="0" fontId="56" fillId="0" borderId="4" xfId="0" applyFont="1" applyBorder="1" applyAlignment="1">
      <alignment vertical="center"/>
    </xf>
    <xf numFmtId="37" fontId="21" fillId="0" borderId="26" xfId="0" applyNumberFormat="1" applyFont="1" applyBorder="1"/>
    <xf numFmtId="43" fontId="21" fillId="0" borderId="24" xfId="0" applyNumberFormat="1" applyFont="1" applyBorder="1"/>
    <xf numFmtId="0" fontId="21" fillId="0" borderId="24" xfId="0" applyFont="1" applyBorder="1"/>
    <xf numFmtId="0" fontId="14" fillId="0" borderId="25" xfId="0" applyFont="1" applyBorder="1"/>
    <xf numFmtId="43" fontId="21" fillId="0" borderId="26" xfId="0" applyNumberFormat="1" applyFont="1" applyBorder="1"/>
    <xf numFmtId="167" fontId="21" fillId="0" borderId="26" xfId="0" applyNumberFormat="1" applyFont="1" applyBorder="1"/>
    <xf numFmtId="37" fontId="66" fillId="0" borderId="4" xfId="0" applyNumberFormat="1" applyFont="1" applyBorder="1" applyAlignment="1">
      <alignment vertical="center"/>
    </xf>
    <xf numFmtId="37" fontId="66" fillId="0" borderId="4" xfId="0" applyNumberFormat="1" applyFont="1" applyBorder="1"/>
    <xf numFmtId="37" fontId="9" fillId="0" borderId="41" xfId="0" applyNumberFormat="1" applyFont="1" applyBorder="1" applyAlignment="1">
      <alignment horizontal="center"/>
    </xf>
    <xf numFmtId="0" fontId="59" fillId="0" borderId="0" xfId="0" applyFont="1" applyAlignment="1">
      <alignment horizontal="center" vertical="center"/>
    </xf>
    <xf numFmtId="37" fontId="6" fillId="0" borderId="0" xfId="0" applyNumberFormat="1" applyFont="1" applyAlignment="1">
      <alignment horizontal="left" wrapText="1"/>
    </xf>
    <xf numFmtId="37" fontId="6" fillId="0" borderId="0" xfId="0" applyNumberFormat="1" applyFont="1" applyAlignment="1">
      <alignment vertical="center" wrapText="1"/>
    </xf>
    <xf numFmtId="37" fontId="6" fillId="0" borderId="52" xfId="0" applyNumberFormat="1" applyFont="1" applyBorder="1" applyAlignment="1">
      <alignment horizontal="left"/>
    </xf>
    <xf numFmtId="37" fontId="6" fillId="0" borderId="68" xfId="0" applyNumberFormat="1" applyFont="1" applyBorder="1"/>
    <xf numFmtId="37" fontId="6" fillId="0" borderId="5" xfId="0" applyNumberFormat="1" applyFont="1" applyBorder="1" applyAlignment="1">
      <alignment horizontal="center" vertical="center" wrapText="1"/>
    </xf>
    <xf numFmtId="37" fontId="6" fillId="0" borderId="5" xfId="0" applyNumberFormat="1" applyFont="1" applyBorder="1" applyAlignment="1">
      <alignment horizontal="center" vertical="center"/>
    </xf>
    <xf numFmtId="167" fontId="5" fillId="0" borderId="5" xfId="1" applyNumberFormat="1" applyFont="1" applyFill="1" applyBorder="1" applyAlignment="1">
      <alignment horizontal="center" vertical="center"/>
    </xf>
    <xf numFmtId="0" fontId="52" fillId="0" borderId="5" xfId="0" applyFont="1" applyBorder="1" applyAlignment="1">
      <alignment horizontal="center"/>
    </xf>
    <xf numFmtId="167" fontId="51" fillId="0" borderId="5" xfId="1" applyNumberFormat="1" applyFont="1" applyBorder="1" applyAlignment="1">
      <alignment horizontal="center"/>
    </xf>
    <xf numFmtId="37" fontId="6" fillId="0" borderId="76" xfId="0" applyNumberFormat="1" applyFont="1" applyBorder="1" applyAlignment="1">
      <alignment vertical="center"/>
    </xf>
    <xf numFmtId="37" fontId="6" fillId="0" borderId="72" xfId="0" applyNumberFormat="1" applyFont="1" applyBorder="1" applyAlignment="1">
      <alignment horizontal="right"/>
    </xf>
    <xf numFmtId="37" fontId="6" fillId="0" borderId="31" xfId="0" applyNumberFormat="1" applyFont="1" applyBorder="1" applyAlignment="1">
      <alignment vertical="center"/>
    </xf>
    <xf numFmtId="167" fontId="21" fillId="0" borderId="76" xfId="1" applyNumberFormat="1" applyFont="1" applyFill="1" applyBorder="1" applyAlignment="1">
      <alignment horizontal="right"/>
    </xf>
    <xf numFmtId="167" fontId="21" fillId="0" borderId="31" xfId="1" applyNumberFormat="1" applyFont="1" applyFill="1" applyBorder="1" applyAlignment="1">
      <alignment horizontal="right"/>
    </xf>
    <xf numFmtId="167" fontId="21" fillId="0" borderId="31" xfId="1" applyNumberFormat="1" applyFont="1" applyFill="1" applyBorder="1"/>
    <xf numFmtId="167" fontId="18" fillId="0" borderId="20" xfId="1" applyNumberFormat="1" applyFont="1" applyFill="1" applyBorder="1"/>
    <xf numFmtId="37" fontId="12" fillId="0" borderId="72" xfId="0" applyNumberFormat="1" applyFont="1" applyBorder="1"/>
    <xf numFmtId="186" fontId="25" fillId="0" borderId="0" xfId="1" applyNumberFormat="1" applyFont="1" applyAlignment="1">
      <alignment horizontal="left" vertical="top" wrapText="1"/>
    </xf>
    <xf numFmtId="167" fontId="54" fillId="0" borderId="0" xfId="1" applyNumberFormat="1" applyFont="1" applyFill="1"/>
    <xf numFmtId="167" fontId="44" fillId="0" borderId="0" xfId="1" applyNumberFormat="1" applyFont="1" applyFill="1" applyBorder="1"/>
    <xf numFmtId="167" fontId="21" fillId="0" borderId="67" xfId="1" applyNumberFormat="1" applyFont="1" applyBorder="1" applyAlignment="1">
      <alignment horizontal="right"/>
    </xf>
    <xf numFmtId="167" fontId="21" fillId="0" borderId="72" xfId="1" applyNumberFormat="1" applyFont="1" applyBorder="1" applyAlignment="1">
      <alignment horizontal="right"/>
    </xf>
    <xf numFmtId="167" fontId="14" fillId="0" borderId="4" xfId="1" applyNumberFormat="1" applyFont="1" applyBorder="1" applyAlignment="1">
      <alignment horizontal="right"/>
    </xf>
    <xf numFmtId="167" fontId="14" fillId="0" borderId="32" xfId="1" applyNumberFormat="1" applyFont="1" applyBorder="1" applyAlignment="1">
      <alignment horizontal="right"/>
    </xf>
    <xf numFmtId="167" fontId="21" fillId="0" borderId="4" xfId="1" applyNumberFormat="1" applyFont="1" applyBorder="1" applyAlignment="1">
      <alignment horizontal="right"/>
    </xf>
    <xf numFmtId="167" fontId="21" fillId="0" borderId="4" xfId="1" applyNumberFormat="1" applyFont="1" applyBorder="1"/>
    <xf numFmtId="167" fontId="21" fillId="0" borderId="32" xfId="1" applyNumberFormat="1" applyFont="1" applyBorder="1"/>
    <xf numFmtId="4" fontId="68" fillId="0" borderId="0" xfId="0" applyNumberFormat="1" applyFont="1" applyAlignment="1">
      <alignment horizontal="right" vertical="top"/>
    </xf>
    <xf numFmtId="0" fontId="9" fillId="0" borderId="4" xfId="0" applyFont="1" applyBorder="1" applyAlignment="1">
      <alignment horizontal="center" vertical="center"/>
    </xf>
    <xf numFmtId="43" fontId="19" fillId="0" borderId="4" xfId="1" applyFont="1" applyBorder="1"/>
    <xf numFmtId="0" fontId="14" fillId="0" borderId="20" xfId="0" applyFont="1" applyBorder="1" applyAlignment="1">
      <alignment horizontal="left" indent="10"/>
    </xf>
    <xf numFmtId="0" fontId="14" fillId="0" borderId="0" xfId="0" applyFont="1" applyAlignment="1">
      <alignment wrapText="1"/>
    </xf>
    <xf numFmtId="39" fontId="2" fillId="0" borderId="0" xfId="1" applyNumberFormat="1" applyFont="1" applyFill="1" applyBorder="1"/>
    <xf numFmtId="37" fontId="2" fillId="0" borderId="4" xfId="0" quotePrefix="1" applyNumberFormat="1" applyFont="1" applyBorder="1" applyAlignment="1">
      <alignment horizontal="center" vertical="center"/>
    </xf>
    <xf numFmtId="37" fontId="2" fillId="0" borderId="4" xfId="0" applyNumberFormat="1" applyFont="1" applyBorder="1" applyAlignment="1">
      <alignment horizontal="center" vertical="center"/>
    </xf>
    <xf numFmtId="0" fontId="6" fillId="0" borderId="7" xfId="0" applyFont="1" applyBorder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/>
    <xf numFmtId="0" fontId="3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37" fontId="6" fillId="0" borderId="3" xfId="0" applyNumberFormat="1" applyFont="1" applyBorder="1" applyAlignment="1">
      <alignment horizontal="right"/>
    </xf>
    <xf numFmtId="39" fontId="6" fillId="0" borderId="3" xfId="1" applyNumberFormat="1" applyFont="1" applyFill="1" applyBorder="1"/>
    <xf numFmtId="167" fontId="25" fillId="0" borderId="20" xfId="1" applyNumberFormat="1" applyFont="1" applyFill="1" applyBorder="1"/>
    <xf numFmtId="4" fontId="72" fillId="0" borderId="0" xfId="0" applyNumberFormat="1" applyFont="1"/>
    <xf numFmtId="43" fontId="29" fillId="0" borderId="4" xfId="0" applyNumberFormat="1" applyFont="1" applyBorder="1"/>
    <xf numFmtId="0" fontId="65" fillId="0" borderId="4" xfId="11" applyFont="1" applyBorder="1" applyAlignment="1">
      <alignment horizontal="left" vertical="center"/>
    </xf>
    <xf numFmtId="0" fontId="65" fillId="0" borderId="4" xfId="11" applyFont="1" applyBorder="1" applyAlignment="1">
      <alignment horizontal="right" vertical="center"/>
    </xf>
    <xf numFmtId="0" fontId="14" fillId="0" borderId="20" xfId="0" applyFont="1" applyBorder="1" applyAlignment="1">
      <alignment horizontal="left" indent="9"/>
    </xf>
    <xf numFmtId="39" fontId="2" fillId="0" borderId="4" xfId="0" applyNumberFormat="1" applyFont="1" applyBorder="1" applyAlignment="1">
      <alignment horizontal="right"/>
    </xf>
    <xf numFmtId="37" fontId="2" fillId="0" borderId="0" xfId="0" applyNumberFormat="1" applyFont="1" applyAlignment="1">
      <alignment horizontal="center"/>
    </xf>
    <xf numFmtId="39" fontId="36" fillId="0" borderId="0" xfId="1" applyNumberFormat="1" applyFont="1" applyFill="1" applyBorder="1"/>
    <xf numFmtId="0" fontId="19" fillId="0" borderId="0" xfId="0" applyFont="1"/>
    <xf numFmtId="167" fontId="29" fillId="0" borderId="0" xfId="1" applyNumberFormat="1" applyFont="1" applyBorder="1" applyAlignment="1">
      <alignment horizontal="center"/>
    </xf>
    <xf numFmtId="14" fontId="0" fillId="0" borderId="0" xfId="0" applyNumberFormat="1"/>
    <xf numFmtId="37" fontId="45" fillId="0" borderId="37" xfId="0" applyNumberFormat="1" applyFont="1" applyBorder="1" applyAlignment="1">
      <alignment horizontal="center"/>
    </xf>
    <xf numFmtId="37" fontId="45" fillId="0" borderId="38" xfId="0" applyNumberFormat="1" applyFont="1" applyBorder="1" applyAlignment="1">
      <alignment horizontal="center"/>
    </xf>
    <xf numFmtId="37" fontId="25" fillId="0" borderId="15" xfId="0" applyNumberFormat="1" applyFont="1" applyBorder="1" applyAlignment="1">
      <alignment horizontal="left"/>
    </xf>
    <xf numFmtId="37" fontId="25" fillId="0" borderId="15" xfId="0" applyNumberFormat="1" applyFont="1" applyBorder="1" applyAlignment="1">
      <alignment wrapText="1"/>
    </xf>
    <xf numFmtId="37" fontId="31" fillId="0" borderId="0" xfId="0" applyNumberFormat="1" applyFont="1" applyAlignment="1">
      <alignment wrapText="1"/>
    </xf>
    <xf numFmtId="167" fontId="18" fillId="0" borderId="4" xfId="1" applyNumberFormat="1" applyFont="1" applyFill="1" applyBorder="1"/>
    <xf numFmtId="0" fontId="88" fillId="0" borderId="0" xfId="0" applyFont="1"/>
    <xf numFmtId="187" fontId="87" fillId="0" borderId="0" xfId="0" applyNumberFormat="1" applyFont="1" applyAlignment="1">
      <alignment vertical="top" wrapText="1" readingOrder="1"/>
    </xf>
    <xf numFmtId="164" fontId="2" fillId="0" borderId="5" xfId="1" quotePrefix="1" applyNumberFormat="1" applyFont="1" applyFill="1" applyBorder="1" applyAlignment="1" applyProtection="1">
      <alignment horizontal="center"/>
    </xf>
    <xf numFmtId="43" fontId="2" fillId="0" borderId="7" xfId="2" applyFont="1" applyFill="1" applyBorder="1" applyAlignment="1" applyProtection="1">
      <alignment horizontal="right"/>
    </xf>
    <xf numFmtId="0" fontId="45" fillId="0" borderId="0" xfId="0" applyFont="1" applyAlignment="1">
      <alignment horizontal="right"/>
    </xf>
    <xf numFmtId="43" fontId="0" fillId="0" borderId="4" xfId="1" applyFont="1" applyBorder="1"/>
    <xf numFmtId="43" fontId="9" fillId="0" borderId="4" xfId="1" applyFont="1" applyBorder="1"/>
    <xf numFmtId="0" fontId="9" fillId="0" borderId="4" xfId="0" applyFont="1" applyBorder="1" applyAlignment="1">
      <alignment vertical="center"/>
    </xf>
    <xf numFmtId="3" fontId="29" fillId="0" borderId="4" xfId="0" applyNumberFormat="1" applyFont="1" applyBorder="1"/>
    <xf numFmtId="0" fontId="9" fillId="0" borderId="4" xfId="0" applyFont="1" applyBorder="1" applyAlignment="1">
      <alignment wrapText="1"/>
    </xf>
    <xf numFmtId="0" fontId="19" fillId="0" borderId="4" xfId="0" applyFont="1" applyBorder="1" applyAlignment="1">
      <alignment wrapText="1"/>
    </xf>
    <xf numFmtId="14" fontId="19" fillId="0" borderId="4" xfId="0" applyNumberFormat="1" applyFont="1" applyBorder="1"/>
    <xf numFmtId="0" fontId="0" fillId="0" borderId="4" xfId="0" applyBorder="1"/>
    <xf numFmtId="14" fontId="0" fillId="0" borderId="4" xfId="0" applyNumberFormat="1" applyBorder="1" applyAlignment="1">
      <alignment wrapText="1"/>
    </xf>
    <xf numFmtId="37" fontId="70" fillId="0" borderId="0" xfId="0" applyNumberFormat="1" applyFont="1" applyAlignment="1">
      <alignment vertical="center"/>
    </xf>
    <xf numFmtId="167" fontId="71" fillId="0" borderId="0" xfId="1" applyNumberFormat="1" applyFont="1" applyBorder="1" applyAlignment="1">
      <alignment vertical="center" wrapText="1"/>
    </xf>
    <xf numFmtId="43" fontId="28" fillId="0" borderId="0" xfId="0" applyNumberFormat="1" applyFont="1"/>
    <xf numFmtId="0" fontId="25" fillId="0" borderId="0" xfId="1" applyNumberFormat="1" applyFont="1" applyFill="1"/>
    <xf numFmtId="0" fontId="14" fillId="0" borderId="20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20" xfId="0" applyFont="1" applyBorder="1" applyAlignment="1">
      <alignment horizontal="left"/>
    </xf>
    <xf numFmtId="49" fontId="0" fillId="0" borderId="4" xfId="0" applyNumberFormat="1" applyBorder="1"/>
    <xf numFmtId="167" fontId="43" fillId="2" borderId="4" xfId="1" applyNumberFormat="1" applyFont="1" applyFill="1" applyBorder="1"/>
    <xf numFmtId="183" fontId="0" fillId="0" borderId="0" xfId="0" applyNumberFormat="1"/>
    <xf numFmtId="37" fontId="20" fillId="0" borderId="1" xfId="0" applyNumberFormat="1" applyFont="1" applyBorder="1" applyAlignment="1">
      <alignment horizontal="left"/>
    </xf>
    <xf numFmtId="0" fontId="58" fillId="0" borderId="4" xfId="0" applyFont="1" applyBorder="1" applyAlignment="1">
      <alignment vertical="center"/>
    </xf>
    <xf numFmtId="0" fontId="70" fillId="0" borderId="0" xfId="0" applyFont="1" applyAlignment="1">
      <alignment wrapText="1"/>
    </xf>
    <xf numFmtId="0" fontId="70" fillId="0" borderId="0" xfId="0" applyFont="1" applyAlignment="1">
      <alignment vertical="center" wrapText="1"/>
    </xf>
    <xf numFmtId="0" fontId="91" fillId="0" borderId="0" xfId="0" applyFont="1" applyAlignment="1">
      <alignment vertical="center" wrapText="1"/>
    </xf>
    <xf numFmtId="164" fontId="54" fillId="0" borderId="0" xfId="0" applyNumberFormat="1" applyFont="1"/>
    <xf numFmtId="168" fontId="0" fillId="0" borderId="0" xfId="0" applyNumberFormat="1"/>
    <xf numFmtId="0" fontId="9" fillId="0" borderId="22" xfId="0" applyFont="1" applyBorder="1" applyAlignment="1">
      <alignment horizontal="center"/>
    </xf>
    <xf numFmtId="37" fontId="9" fillId="0" borderId="28" xfId="0" applyNumberFormat="1" applyFont="1" applyBorder="1"/>
    <xf numFmtId="37" fontId="9" fillId="0" borderId="22" xfId="0" applyNumberFormat="1" applyFont="1" applyBorder="1"/>
    <xf numFmtId="166" fontId="35" fillId="0" borderId="0" xfId="0" applyNumberFormat="1" applyFont="1"/>
    <xf numFmtId="39" fontId="19" fillId="0" borderId="0" xfId="0" applyNumberFormat="1" applyFont="1"/>
    <xf numFmtId="37" fontId="9" fillId="0" borderId="4" xfId="0" applyNumberFormat="1" applyFont="1" applyBorder="1" applyAlignment="1">
      <alignment wrapText="1"/>
    </xf>
    <xf numFmtId="37" fontId="0" fillId="0" borderId="5" xfId="0" applyNumberFormat="1" applyBorder="1"/>
    <xf numFmtId="37" fontId="2" fillId="0" borderId="9" xfId="0" applyNumberFormat="1" applyFont="1" applyBorder="1" applyAlignment="1">
      <alignment horizontal="center"/>
    </xf>
    <xf numFmtId="189" fontId="0" fillId="0" borderId="0" xfId="0" applyNumberFormat="1"/>
    <xf numFmtId="167" fontId="29" fillId="0" borderId="17" xfId="1" applyNumberFormat="1" applyFont="1" applyFill="1" applyBorder="1"/>
    <xf numFmtId="167" fontId="25" fillId="0" borderId="0" xfId="1" applyNumberFormat="1" applyFont="1" applyAlignment="1">
      <alignment horizontal="left" vertical="top" wrapText="1"/>
    </xf>
    <xf numFmtId="172" fontId="0" fillId="0" borderId="0" xfId="0" applyNumberFormat="1"/>
    <xf numFmtId="0" fontId="2" fillId="0" borderId="0" xfId="0" applyFont="1"/>
    <xf numFmtId="39" fontId="9" fillId="0" borderId="1" xfId="0" applyNumberFormat="1" applyFont="1" applyBorder="1" applyAlignment="1">
      <alignment horizontal="center"/>
    </xf>
    <xf numFmtId="39" fontId="9" fillId="0" borderId="0" xfId="0" applyNumberFormat="1" applyFont="1" applyAlignment="1">
      <alignment horizontal="right"/>
    </xf>
    <xf numFmtId="37" fontId="9" fillId="0" borderId="21" xfId="0" applyNumberFormat="1" applyFont="1" applyBorder="1"/>
    <xf numFmtId="39" fontId="9" fillId="0" borderId="1" xfId="0" applyNumberFormat="1" applyFont="1" applyBorder="1"/>
    <xf numFmtId="39" fontId="17" fillId="0" borderId="4" xfId="1" applyNumberFormat="1" applyFont="1" applyFill="1" applyBorder="1"/>
    <xf numFmtId="37" fontId="6" fillId="0" borderId="53" xfId="0" applyNumberFormat="1" applyFont="1" applyBorder="1" applyAlignment="1">
      <alignment horizontal="right"/>
    </xf>
    <xf numFmtId="39" fontId="6" fillId="0" borderId="4" xfId="2" applyNumberFormat="1" applyFont="1" applyFill="1" applyBorder="1" applyAlignment="1"/>
    <xf numFmtId="4" fontId="6" fillId="0" borderId="4" xfId="1" applyNumberFormat="1" applyFont="1" applyFill="1" applyBorder="1"/>
    <xf numFmtId="4" fontId="6" fillId="0" borderId="4" xfId="0" applyNumberFormat="1" applyFont="1" applyBorder="1"/>
    <xf numFmtId="39" fontId="93" fillId="0" borderId="0" xfId="0" applyNumberFormat="1" applyFont="1"/>
    <xf numFmtId="167" fontId="44" fillId="0" borderId="53" xfId="1" applyNumberFormat="1" applyFont="1" applyFill="1" applyBorder="1"/>
    <xf numFmtId="0" fontId="61" fillId="0" borderId="0" xfId="0" applyFont="1" applyAlignment="1">
      <alignment vertical="center" wrapText="1"/>
    </xf>
    <xf numFmtId="0" fontId="14" fillId="0" borderId="20" xfId="0" applyFont="1" applyBorder="1" applyAlignment="1">
      <alignment horizontal="left" indent="12"/>
    </xf>
    <xf numFmtId="0" fontId="94" fillId="0" borderId="0" xfId="0" applyFont="1"/>
    <xf numFmtId="37" fontId="14" fillId="0" borderId="20" xfId="0" applyNumberFormat="1" applyFont="1" applyBorder="1"/>
    <xf numFmtId="0" fontId="14" fillId="0" borderId="20" xfId="0" applyFont="1" applyBorder="1" applyAlignment="1">
      <alignment horizontal="left" indent="1"/>
    </xf>
    <xf numFmtId="0" fontId="14" fillId="0" borderId="20" xfId="0" applyFont="1" applyBorder="1" applyAlignment="1">
      <alignment horizontal="left" indent="20"/>
    </xf>
    <xf numFmtId="169" fontId="14" fillId="0" borderId="20" xfId="1" applyNumberFormat="1" applyFont="1" applyFill="1" applyBorder="1"/>
    <xf numFmtId="0" fontId="14" fillId="0" borderId="20" xfId="0" applyFont="1" applyBorder="1" applyAlignment="1">
      <alignment horizontal="left" indent="11"/>
    </xf>
    <xf numFmtId="0" fontId="14" fillId="0" borderId="24" xfId="0" applyFont="1" applyBorder="1" applyAlignment="1">
      <alignment horizontal="left" indent="11"/>
    </xf>
    <xf numFmtId="164" fontId="14" fillId="0" borderId="20" xfId="1" applyNumberFormat="1" applyFont="1" applyFill="1" applyBorder="1" applyAlignment="1">
      <alignment horizontal="left" indent="2"/>
    </xf>
    <xf numFmtId="37" fontId="14" fillId="0" borderId="18" xfId="0" applyNumberFormat="1" applyFont="1" applyBorder="1"/>
    <xf numFmtId="0" fontId="14" fillId="0" borderId="0" xfId="0" applyFont="1" applyAlignment="1">
      <alignment horizontal="center" vertical="center"/>
    </xf>
    <xf numFmtId="39" fontId="5" fillId="0" borderId="4" xfId="0" applyNumberFormat="1" applyFont="1" applyBorder="1"/>
    <xf numFmtId="0" fontId="5" fillId="0" borderId="5" xfId="0" applyFont="1" applyBorder="1" applyAlignment="1">
      <alignment horizontal="center"/>
    </xf>
    <xf numFmtId="37" fontId="3" fillId="0" borderId="5" xfId="0" applyNumberFormat="1" applyFont="1" applyBorder="1" applyAlignment="1">
      <alignment horizontal="left"/>
    </xf>
    <xf numFmtId="37" fontId="6" fillId="0" borderId="28" xfId="0" applyNumberFormat="1" applyFont="1" applyBorder="1" applyAlignment="1">
      <alignment horizontal="center" vertical="center" wrapText="1"/>
    </xf>
    <xf numFmtId="167" fontId="16" fillId="0" borderId="4" xfId="1" applyNumberFormat="1" applyFont="1" applyFill="1" applyBorder="1" applyAlignment="1" applyProtection="1">
      <alignment horizontal="right"/>
    </xf>
    <xf numFmtId="0" fontId="11" fillId="0" borderId="0" xfId="0" applyFont="1" applyAlignment="1">
      <alignment vertical="center"/>
    </xf>
    <xf numFmtId="0" fontId="95" fillId="0" borderId="26" xfId="0" applyFont="1" applyBorder="1" applyAlignment="1">
      <alignment horizontal="left" vertical="center"/>
    </xf>
    <xf numFmtId="43" fontId="25" fillId="0" borderId="0" xfId="1" applyFont="1" applyAlignment="1">
      <alignment horizontal="left" vertical="top" wrapText="1"/>
    </xf>
    <xf numFmtId="167" fontId="25" fillId="0" borderId="21" xfId="1" applyNumberFormat="1" applyFont="1" applyBorder="1" applyAlignment="1">
      <alignment horizontal="left" vertical="top" wrapText="1"/>
    </xf>
    <xf numFmtId="167" fontId="25" fillId="0" borderId="20" xfId="1" applyNumberFormat="1" applyFont="1" applyFill="1" applyBorder="1" applyAlignment="1"/>
    <xf numFmtId="0" fontId="28" fillId="0" borderId="30" xfId="0" applyFont="1" applyBorder="1" applyAlignment="1">
      <alignment wrapText="1"/>
    </xf>
    <xf numFmtId="0" fontId="28" fillId="0" borderId="0" xfId="0" applyFont="1" applyAlignment="1">
      <alignment wrapText="1"/>
    </xf>
    <xf numFmtId="37" fontId="2" fillId="0" borderId="4" xfId="0" quotePrefix="1" applyNumberFormat="1" applyFont="1" applyBorder="1" applyAlignment="1">
      <alignment horizontal="left" indent="2"/>
    </xf>
    <xf numFmtId="43" fontId="18" fillId="0" borderId="0" xfId="1" applyFont="1"/>
    <xf numFmtId="164" fontId="25" fillId="0" borderId="0" xfId="0" applyNumberFormat="1" applyFont="1"/>
    <xf numFmtId="43" fontId="18" fillId="0" borderId="2" xfId="1" applyFont="1" applyBorder="1"/>
    <xf numFmtId="43" fontId="18" fillId="0" borderId="29" xfId="1" applyFont="1" applyBorder="1"/>
    <xf numFmtId="43" fontId="29" fillId="0" borderId="26" xfId="1" applyFont="1" applyBorder="1"/>
    <xf numFmtId="43" fontId="18" fillId="0" borderId="26" xfId="1" applyFont="1" applyBorder="1"/>
    <xf numFmtId="43" fontId="29" fillId="0" borderId="42" xfId="1" applyFont="1" applyBorder="1"/>
    <xf numFmtId="39" fontId="9" fillId="0" borderId="4" xfId="0" applyNumberFormat="1" applyFont="1" applyBorder="1" applyAlignment="1">
      <alignment vertical="center"/>
    </xf>
    <xf numFmtId="43" fontId="96" fillId="0" borderId="4" xfId="1" applyFont="1" applyBorder="1"/>
    <xf numFmtId="0" fontId="29" fillId="0" borderId="0" xfId="0" applyFont="1" applyAlignment="1">
      <alignment horizontal="center" vertical="center"/>
    </xf>
    <xf numFmtId="167" fontId="28" fillId="0" borderId="0" xfId="1" applyNumberFormat="1" applyFont="1"/>
    <xf numFmtId="39" fontId="93" fillId="0" borderId="20" xfId="0" applyNumberFormat="1" applyFont="1" applyBorder="1"/>
    <xf numFmtId="3" fontId="41" fillId="0" borderId="0" xfId="0" applyNumberFormat="1" applyFont="1"/>
    <xf numFmtId="43" fontId="21" fillId="0" borderId="0" xfId="0" applyNumberFormat="1" applyFont="1"/>
    <xf numFmtId="0" fontId="25" fillId="0" borderId="17" xfId="0" applyFont="1" applyBorder="1" applyAlignment="1">
      <alignment horizontal="center"/>
    </xf>
    <xf numFmtId="167" fontId="25" fillId="0" borderId="20" xfId="0" applyNumberFormat="1" applyFont="1" applyBorder="1"/>
    <xf numFmtId="2" fontId="14" fillId="0" borderId="50" xfId="0" applyNumberFormat="1" applyFont="1" applyBorder="1"/>
    <xf numFmtId="2" fontId="14" fillId="0" borderId="26" xfId="0" applyNumberFormat="1" applyFont="1" applyBorder="1"/>
    <xf numFmtId="2" fontId="14" fillId="0" borderId="43" xfId="0" applyNumberFormat="1" applyFont="1" applyBorder="1"/>
    <xf numFmtId="2" fontId="14" fillId="0" borderId="19" xfId="0" applyNumberFormat="1" applyFont="1" applyBorder="1"/>
    <xf numFmtId="37" fontId="19" fillId="0" borderId="0" xfId="0" applyNumberFormat="1" applyFont="1" applyAlignment="1">
      <alignment vertical="center" wrapText="1"/>
    </xf>
    <xf numFmtId="0" fontId="14" fillId="0" borderId="20" xfId="0" applyFont="1" applyBorder="1" applyAlignment="1">
      <alignment horizontal="right"/>
    </xf>
    <xf numFmtId="167" fontId="54" fillId="0" borderId="0" xfId="1" applyNumberFormat="1" applyFont="1" applyBorder="1" applyAlignment="1">
      <alignment vertical="center" wrapText="1"/>
    </xf>
    <xf numFmtId="191" fontId="0" fillId="0" borderId="0" xfId="0" applyNumberFormat="1"/>
    <xf numFmtId="192" fontId="2" fillId="0" borderId="0" xfId="1" applyNumberFormat="1" applyFont="1" applyFill="1" applyBorder="1"/>
    <xf numFmtId="164" fontId="6" fillId="0" borderId="0" xfId="1" applyNumberFormat="1" applyFont="1" applyFill="1" applyBorder="1" applyProtection="1"/>
    <xf numFmtId="165" fontId="16" fillId="0" borderId="4" xfId="1" applyNumberFormat="1" applyFont="1" applyFill="1" applyBorder="1" applyAlignment="1" applyProtection="1">
      <alignment horizontal="right"/>
    </xf>
    <xf numFmtId="37" fontId="62" fillId="0" borderId="24" xfId="0" applyNumberFormat="1" applyFont="1" applyBorder="1" applyAlignment="1">
      <alignment horizontal="left"/>
    </xf>
    <xf numFmtId="37" fontId="62" fillId="0" borderId="26" xfId="0" applyNumberFormat="1" applyFont="1" applyBorder="1" applyAlignment="1">
      <alignment horizontal="left"/>
    </xf>
    <xf numFmtId="37" fontId="24" fillId="0" borderId="5" xfId="0" applyNumberFormat="1" applyFont="1" applyBorder="1" applyAlignment="1">
      <alignment horizontal="right"/>
    </xf>
    <xf numFmtId="37" fontId="2" fillId="0" borderId="11" xfId="0" applyNumberFormat="1" applyFont="1" applyBorder="1" applyAlignment="1">
      <alignment horizontal="right"/>
    </xf>
    <xf numFmtId="37" fontId="24" fillId="0" borderId="4" xfId="0" applyNumberFormat="1" applyFont="1" applyBorder="1" applyAlignment="1">
      <alignment horizontal="right"/>
    </xf>
    <xf numFmtId="37" fontId="2" fillId="0" borderId="12" xfId="0" applyNumberFormat="1" applyFont="1" applyBorder="1" applyAlignment="1">
      <alignment horizontal="right"/>
    </xf>
    <xf numFmtId="37" fontId="12" fillId="0" borderId="16" xfId="0" applyNumberFormat="1" applyFont="1" applyBorder="1" applyAlignment="1">
      <alignment horizontal="right"/>
    </xf>
    <xf numFmtId="37" fontId="12" fillId="0" borderId="53" xfId="0" applyNumberFormat="1" applyFont="1" applyBorder="1" applyAlignment="1">
      <alignment horizontal="right"/>
    </xf>
    <xf numFmtId="37" fontId="43" fillId="0" borderId="57" xfId="0" applyNumberFormat="1" applyFont="1" applyBorder="1"/>
    <xf numFmtId="37" fontId="44" fillId="0" borderId="70" xfId="0" applyNumberFormat="1" applyFont="1" applyBorder="1"/>
    <xf numFmtId="37" fontId="44" fillId="0" borderId="23" xfId="0" applyNumberFormat="1" applyFont="1" applyBorder="1"/>
    <xf numFmtId="14" fontId="0" fillId="0" borderId="0" xfId="0" applyNumberFormat="1" applyAlignment="1">
      <alignment wrapText="1"/>
    </xf>
    <xf numFmtId="43" fontId="70" fillId="0" borderId="0" xfId="0" applyNumberFormat="1" applyFont="1" applyAlignment="1">
      <alignment vertical="center" wrapText="1"/>
    </xf>
    <xf numFmtId="0" fontId="103" fillId="0" borderId="0" xfId="0" applyFont="1" applyAlignment="1">
      <alignment vertical="center"/>
    </xf>
    <xf numFmtId="0" fontId="21" fillId="0" borderId="23" xfId="0" applyFont="1" applyBorder="1"/>
    <xf numFmtId="2" fontId="21" fillId="0" borderId="20" xfId="0" applyNumberFormat="1" applyFont="1" applyBorder="1"/>
    <xf numFmtId="2" fontId="21" fillId="0" borderId="18" xfId="0" applyNumberFormat="1" applyFont="1" applyBorder="1"/>
    <xf numFmtId="0" fontId="14" fillId="0" borderId="18" xfId="0" applyFont="1" applyBorder="1" applyAlignment="1">
      <alignment wrapText="1"/>
    </xf>
    <xf numFmtId="2" fontId="14" fillId="0" borderId="30" xfId="0" applyNumberFormat="1" applyFont="1" applyBorder="1"/>
    <xf numFmtId="2" fontId="14" fillId="0" borderId="23" xfId="0" applyNumberFormat="1" applyFont="1" applyBorder="1"/>
    <xf numFmtId="0" fontId="14" fillId="0" borderId="19" xfId="0" applyFont="1" applyBorder="1" applyAlignment="1">
      <alignment vertical="center"/>
    </xf>
    <xf numFmtId="0" fontId="56" fillId="0" borderId="10" xfId="0" applyFont="1" applyBorder="1" applyAlignment="1">
      <alignment vertical="center"/>
    </xf>
    <xf numFmtId="0" fontId="56" fillId="0" borderId="21" xfId="0" applyFont="1" applyBorder="1" applyAlignment="1">
      <alignment vertical="center"/>
    </xf>
    <xf numFmtId="37" fontId="28" fillId="0" borderId="0" xfId="0" applyNumberFormat="1" applyFont="1" applyAlignment="1">
      <alignment vertical="center" wrapText="1"/>
    </xf>
    <xf numFmtId="43" fontId="9" fillId="0" borderId="4" xfId="1" applyFont="1" applyFill="1" applyBorder="1"/>
    <xf numFmtId="37" fontId="30" fillId="0" borderId="0" xfId="0" applyNumberFormat="1" applyFont="1" applyAlignment="1">
      <alignment vertical="center" wrapText="1"/>
    </xf>
    <xf numFmtId="43" fontId="0" fillId="0" borderId="0" xfId="1" applyFont="1" applyBorder="1"/>
    <xf numFmtId="0" fontId="9" fillId="0" borderId="31" xfId="0" applyFont="1" applyBorder="1" applyAlignment="1">
      <alignment vertical="center"/>
    </xf>
    <xf numFmtId="0" fontId="9" fillId="0" borderId="32" xfId="0" applyFont="1" applyBorder="1" applyAlignment="1">
      <alignment horizontal="center" vertical="center"/>
    </xf>
    <xf numFmtId="14" fontId="9" fillId="0" borderId="31" xfId="0" applyNumberFormat="1" applyFont="1" applyBorder="1"/>
    <xf numFmtId="43" fontId="9" fillId="0" borderId="32" xfId="1" applyFont="1" applyBorder="1"/>
    <xf numFmtId="0" fontId="19" fillId="0" borderId="31" xfId="0" applyFont="1" applyBorder="1"/>
    <xf numFmtId="43" fontId="19" fillId="0" borderId="32" xfId="1" applyFont="1" applyBorder="1"/>
    <xf numFmtId="0" fontId="0" fillId="0" borderId="31" xfId="0" applyBorder="1"/>
    <xf numFmtId="43" fontId="0" fillId="0" borderId="32" xfId="1" applyFont="1" applyBorder="1"/>
    <xf numFmtId="43" fontId="9" fillId="0" borderId="16" xfId="1" applyFont="1" applyBorder="1"/>
    <xf numFmtId="43" fontId="9" fillId="0" borderId="53" xfId="1" applyFont="1" applyBorder="1"/>
    <xf numFmtId="167" fontId="25" fillId="0" borderId="0" xfId="1" applyNumberFormat="1" applyFont="1" applyFill="1" applyBorder="1" applyAlignment="1">
      <alignment horizontal="right"/>
    </xf>
    <xf numFmtId="43" fontId="70" fillId="0" borderId="0" xfId="0" applyNumberFormat="1" applyFont="1" applyAlignment="1">
      <alignment wrapText="1"/>
    </xf>
    <xf numFmtId="4" fontId="23" fillId="0" borderId="0" xfId="0" applyNumberFormat="1" applyFont="1"/>
    <xf numFmtId="37" fontId="10" fillId="0" borderId="4" xfId="0" applyNumberFormat="1" applyFont="1" applyBorder="1"/>
    <xf numFmtId="0" fontId="56" fillId="0" borderId="24" xfId="0" applyFont="1" applyBorder="1" applyAlignment="1">
      <alignment vertical="center"/>
    </xf>
    <xf numFmtId="37" fontId="9" fillId="0" borderId="5" xfId="0" applyNumberFormat="1" applyFont="1" applyBorder="1"/>
    <xf numFmtId="37" fontId="0" fillId="0" borderId="6" xfId="0" applyNumberFormat="1" applyBorder="1"/>
    <xf numFmtId="37" fontId="9" fillId="0" borderId="6" xfId="0" applyNumberFormat="1" applyFont="1" applyBorder="1"/>
    <xf numFmtId="39" fontId="9" fillId="0" borderId="5" xfId="0" applyNumberFormat="1" applyFont="1" applyBorder="1"/>
    <xf numFmtId="37" fontId="9" fillId="0" borderId="0" xfId="0" applyNumberFormat="1" applyFont="1" applyAlignment="1">
      <alignment horizontal="center"/>
    </xf>
    <xf numFmtId="37" fontId="9" fillId="0" borderId="24" xfId="0" applyNumberFormat="1" applyFont="1" applyBorder="1"/>
    <xf numFmtId="37" fontId="9" fillId="0" borderId="26" xfId="0" applyNumberFormat="1" applyFont="1" applyBorder="1" applyAlignment="1">
      <alignment horizontal="center"/>
    </xf>
    <xf numFmtId="167" fontId="25" fillId="0" borderId="15" xfId="0" applyNumberFormat="1" applyFont="1" applyBorder="1"/>
    <xf numFmtId="37" fontId="0" fillId="0" borderId="9" xfId="0" applyNumberFormat="1" applyBorder="1"/>
    <xf numFmtId="165" fontId="2" fillId="36" borderId="4" xfId="1" applyNumberFormat="1" applyFont="1" applyFill="1" applyBorder="1" applyAlignment="1" applyProtection="1">
      <alignment horizontal="right"/>
    </xf>
    <xf numFmtId="37" fontId="15" fillId="0" borderId="24" xfId="0" applyNumberFormat="1" applyFont="1" applyBorder="1" applyAlignment="1">
      <alignment horizontal="left"/>
    </xf>
    <xf numFmtId="37" fontId="9" fillId="0" borderId="14" xfId="0" applyNumberFormat="1" applyFont="1" applyBorder="1"/>
    <xf numFmtId="43" fontId="107" fillId="3" borderId="4" xfId="1" applyFont="1" applyFill="1" applyBorder="1"/>
    <xf numFmtId="43" fontId="107" fillId="0" borderId="4" xfId="1" applyFont="1" applyBorder="1"/>
    <xf numFmtId="2" fontId="29" fillId="0" borderId="0" xfId="0" applyNumberFormat="1" applyFont="1"/>
    <xf numFmtId="0" fontId="29" fillId="0" borderId="24" xfId="0" applyFont="1" applyBorder="1" applyAlignment="1">
      <alignment horizontal="right"/>
    </xf>
    <xf numFmtId="43" fontId="1" fillId="0" borderId="4" xfId="1" applyFont="1" applyFill="1" applyBorder="1" applyAlignment="1">
      <alignment horizontal="center" vertical="center"/>
    </xf>
    <xf numFmtId="43" fontId="45" fillId="0" borderId="21" xfId="1" applyFont="1" applyFill="1" applyBorder="1" applyAlignment="1">
      <alignment vertical="center" wrapText="1"/>
    </xf>
    <xf numFmtId="37" fontId="6" fillId="0" borderId="9" xfId="0" applyNumberFormat="1" applyFont="1" applyBorder="1"/>
    <xf numFmtId="167" fontId="25" fillId="0" borderId="0" xfId="1" applyNumberFormat="1" applyFont="1" applyBorder="1" applyAlignment="1">
      <alignment horizontal="left" vertical="top" wrapText="1"/>
    </xf>
    <xf numFmtId="0" fontId="30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37" fontId="25" fillId="0" borderId="0" xfId="0" applyNumberFormat="1" applyFont="1"/>
    <xf numFmtId="37" fontId="18" fillId="2" borderId="4" xfId="0" applyNumberFormat="1" applyFont="1" applyFill="1" applyBorder="1"/>
    <xf numFmtId="190" fontId="92" fillId="0" borderId="0" xfId="0" applyNumberFormat="1" applyFont="1" applyAlignment="1">
      <alignment vertical="top" wrapText="1" readingOrder="1"/>
    </xf>
    <xf numFmtId="43" fontId="96" fillId="2" borderId="4" xfId="1" applyFont="1" applyFill="1" applyBorder="1"/>
    <xf numFmtId="0" fontId="18" fillId="0" borderId="4" xfId="0" applyFont="1" applyBorder="1"/>
    <xf numFmtId="37" fontId="2" fillId="0" borderId="9" xfId="0" applyNumberFormat="1" applyFont="1" applyBorder="1"/>
    <xf numFmtId="0" fontId="109" fillId="0" borderId="20" xfId="0" applyFont="1" applyBorder="1"/>
    <xf numFmtId="43" fontId="45" fillId="0" borderId="0" xfId="1" applyFont="1" applyFill="1" applyBorder="1" applyAlignment="1">
      <alignment vertical="center" wrapText="1"/>
    </xf>
    <xf numFmtId="0" fontId="14" fillId="2" borderId="20" xfId="0" applyFont="1" applyFill="1" applyBorder="1" applyAlignment="1">
      <alignment horizontal="center"/>
    </xf>
    <xf numFmtId="39" fontId="3" fillId="0" borderId="1" xfId="0" applyNumberFormat="1" applyFont="1" applyBorder="1" applyAlignment="1">
      <alignment horizontal="left"/>
    </xf>
    <xf numFmtId="43" fontId="1" fillId="0" borderId="4" xfId="1" applyFont="1" applyFill="1" applyBorder="1"/>
    <xf numFmtId="0" fontId="99" fillId="0" borderId="0" xfId="0" applyFont="1" applyAlignment="1">
      <alignment vertical="center"/>
    </xf>
    <xf numFmtId="167" fontId="97" fillId="0" borderId="0" xfId="1" applyNumberFormat="1" applyFont="1" applyFill="1" applyBorder="1" applyAlignment="1">
      <alignment vertical="center" wrapText="1"/>
    </xf>
    <xf numFmtId="4" fontId="55" fillId="0" borderId="66" xfId="0" applyNumberFormat="1" applyFont="1" applyBorder="1" applyAlignment="1">
      <alignment horizontal="right" vertical="top" wrapText="1"/>
    </xf>
    <xf numFmtId="0" fontId="55" fillId="0" borderId="66" xfId="0" applyFont="1" applyBorder="1" applyAlignment="1">
      <alignment horizontal="right" vertical="top" wrapText="1"/>
    </xf>
    <xf numFmtId="43" fontId="25" fillId="0" borderId="47" xfId="1" applyFont="1" applyFill="1" applyBorder="1"/>
    <xf numFmtId="43" fontId="25" fillId="0" borderId="0" xfId="1" applyFont="1" applyFill="1"/>
    <xf numFmtId="37" fontId="31" fillId="0" borderId="0" xfId="0" applyNumberFormat="1" applyFont="1"/>
    <xf numFmtId="0" fontId="66" fillId="0" borderId="0" xfId="0" applyFont="1" applyAlignment="1">
      <alignment vertical="center" wrapText="1"/>
    </xf>
    <xf numFmtId="164" fontId="14" fillId="0" borderId="0" xfId="1" applyNumberFormat="1" applyFont="1" applyFill="1" applyBorder="1" applyAlignment="1">
      <alignment vertical="center" wrapText="1"/>
    </xf>
    <xf numFmtId="0" fontId="100" fillId="0" borderId="0" xfId="0" applyFont="1" applyAlignment="1">
      <alignment vertical="center" wrapText="1"/>
    </xf>
    <xf numFmtId="43" fontId="21" fillId="0" borderId="17" xfId="0" applyNumberFormat="1" applyFont="1" applyBorder="1"/>
    <xf numFmtId="193" fontId="0" fillId="0" borderId="0" xfId="0" applyNumberFormat="1"/>
    <xf numFmtId="164" fontId="111" fillId="0" borderId="0" xfId="1" applyNumberFormat="1" applyFont="1" applyFill="1" applyBorder="1" applyAlignment="1">
      <alignment vertical="center" wrapText="1"/>
    </xf>
    <xf numFmtId="0" fontId="113" fillId="0" borderId="20" xfId="0" applyFont="1" applyBorder="1"/>
    <xf numFmtId="164" fontId="113" fillId="0" borderId="0" xfId="1" applyNumberFormat="1" applyFont="1" applyFill="1" applyBorder="1"/>
    <xf numFmtId="164" fontId="113" fillId="0" borderId="20" xfId="1" applyNumberFormat="1" applyFont="1" applyFill="1" applyBorder="1"/>
    <xf numFmtId="165" fontId="14" fillId="0" borderId="0" xfId="1" applyNumberFormat="1" applyFont="1" applyFill="1" applyBorder="1"/>
    <xf numFmtId="164" fontId="21" fillId="0" borderId="0" xfId="1" applyNumberFormat="1" applyFont="1" applyFill="1" applyBorder="1" applyAlignment="1">
      <alignment vertical="center" wrapText="1"/>
    </xf>
    <xf numFmtId="0" fontId="14" fillId="0" borderId="20" xfId="0" applyFont="1" applyBorder="1" applyAlignment="1">
      <alignment horizontal="left" indent="15"/>
    </xf>
    <xf numFmtId="39" fontId="6" fillId="0" borderId="4" xfId="1" applyNumberFormat="1" applyFont="1" applyFill="1" applyBorder="1" applyAlignment="1"/>
    <xf numFmtId="177" fontId="0" fillId="0" borderId="0" xfId="0" applyNumberFormat="1"/>
    <xf numFmtId="165" fontId="31" fillId="0" borderId="0" xfId="1" applyNumberFormat="1" applyFont="1" applyFill="1" applyAlignment="1"/>
    <xf numFmtId="37" fontId="30" fillId="0" borderId="4" xfId="0" applyNumberFormat="1" applyFont="1" applyBorder="1" applyAlignment="1">
      <alignment wrapText="1"/>
    </xf>
    <xf numFmtId="167" fontId="18" fillId="2" borderId="4" xfId="1" applyNumberFormat="1" applyFont="1" applyFill="1" applyBorder="1"/>
    <xf numFmtId="174" fontId="2" fillId="0" borderId="0" xfId="0" applyNumberFormat="1" applyFont="1"/>
    <xf numFmtId="2" fontId="9" fillId="0" borderId="32" xfId="0" applyNumberFormat="1" applyFont="1" applyBorder="1" applyAlignment="1">
      <alignment horizontal="center" vertical="center"/>
    </xf>
    <xf numFmtId="167" fontId="112" fillId="0" borderId="0" xfId="1" applyNumberFormat="1" applyFont="1" applyFill="1" applyBorder="1" applyAlignment="1">
      <alignment vertical="center" wrapText="1"/>
    </xf>
    <xf numFmtId="37" fontId="6" fillId="0" borderId="32" xfId="0" applyNumberFormat="1" applyFont="1" applyBorder="1" applyAlignment="1">
      <alignment horizontal="right"/>
    </xf>
    <xf numFmtId="3" fontId="47" fillId="0" borderId="37" xfId="1" applyNumberFormat="1" applyFont="1" applyFill="1" applyBorder="1" applyAlignment="1">
      <alignment vertical="center"/>
    </xf>
    <xf numFmtId="0" fontId="14" fillId="0" borderId="23" xfId="0" applyFont="1" applyBorder="1" applyAlignment="1">
      <alignment vertical="center"/>
    </xf>
    <xf numFmtId="0" fontId="14" fillId="0" borderId="0" xfId="0" applyFont="1" applyAlignment="1">
      <alignment horizontal="left"/>
    </xf>
    <xf numFmtId="37" fontId="115" fillId="0" borderId="0" xfId="0" applyNumberFormat="1" applyFont="1"/>
    <xf numFmtId="37" fontId="117" fillId="0" borderId="0" xfId="0" applyNumberFormat="1" applyFont="1" applyAlignment="1">
      <alignment vertical="center"/>
    </xf>
    <xf numFmtId="37" fontId="116" fillId="0" borderId="0" xfId="0" applyNumberFormat="1" applyFont="1"/>
    <xf numFmtId="37" fontId="9" fillId="0" borderId="4" xfId="0" applyNumberFormat="1" applyFont="1" applyBorder="1" applyAlignment="1">
      <alignment horizontal="center" vertical="center" wrapText="1"/>
    </xf>
    <xf numFmtId="37" fontId="118" fillId="0" borderId="2" xfId="0" applyNumberFormat="1" applyFont="1" applyBorder="1"/>
    <xf numFmtId="37" fontId="119" fillId="0" borderId="0" xfId="0" applyNumberFormat="1" applyFont="1"/>
    <xf numFmtId="39" fontId="119" fillId="0" borderId="4" xfId="0" applyNumberFormat="1" applyFont="1" applyBorder="1"/>
    <xf numFmtId="37" fontId="119" fillId="0" borderId="1" xfId="0" applyNumberFormat="1" applyFont="1" applyBorder="1" applyAlignment="1">
      <alignment horizontal="left"/>
    </xf>
    <xf numFmtId="39" fontId="120" fillId="0" borderId="4" xfId="0" applyNumberFormat="1" applyFont="1" applyBorder="1"/>
    <xf numFmtId="39" fontId="118" fillId="0" borderId="4" xfId="0" applyNumberFormat="1" applyFont="1" applyBorder="1"/>
    <xf numFmtId="39" fontId="118" fillId="0" borderId="4" xfId="1" applyNumberFormat="1" applyFont="1" applyFill="1" applyBorder="1"/>
    <xf numFmtId="37" fontId="118" fillId="0" borderId="0" xfId="0" applyNumberFormat="1" applyFont="1" applyAlignment="1">
      <alignment horizontal="right"/>
    </xf>
    <xf numFmtId="39" fontId="118" fillId="0" borderId="0" xfId="1" applyNumberFormat="1" applyFont="1" applyFill="1" applyBorder="1"/>
    <xf numFmtId="37" fontId="118" fillId="0" borderId="0" xfId="0" applyNumberFormat="1" applyFont="1"/>
    <xf numFmtId="167" fontId="118" fillId="0" borderId="4" xfId="1" applyNumberFormat="1" applyFont="1" applyFill="1" applyBorder="1"/>
    <xf numFmtId="167" fontId="119" fillId="0" borderId="4" xfId="1" applyNumberFormat="1" applyFont="1" applyFill="1" applyBorder="1"/>
    <xf numFmtId="37" fontId="121" fillId="0" borderId="0" xfId="0" applyNumberFormat="1" applyFont="1"/>
    <xf numFmtId="0" fontId="9" fillId="0" borderId="1" xfId="0" applyFont="1" applyBorder="1"/>
    <xf numFmtId="0" fontId="105" fillId="0" borderId="0" xfId="0" applyFont="1" applyAlignment="1">
      <alignment vertical="center"/>
    </xf>
    <xf numFmtId="39" fontId="9" fillId="0" borderId="42" xfId="1" applyNumberFormat="1" applyFont="1" applyFill="1" applyBorder="1"/>
    <xf numFmtId="1" fontId="119" fillId="0" borderId="4" xfId="0" quotePrefix="1" applyNumberFormat="1" applyFont="1" applyBorder="1" applyAlignment="1">
      <alignment horizontal="center"/>
    </xf>
    <xf numFmtId="37" fontId="119" fillId="0" borderId="4" xfId="0" applyNumberFormat="1" applyFont="1" applyBorder="1" applyAlignment="1">
      <alignment horizontal="left"/>
    </xf>
    <xf numFmtId="165" fontId="119" fillId="0" borderId="4" xfId="1" quotePrefix="1" applyNumberFormat="1" applyFont="1" applyFill="1" applyBorder="1" applyAlignment="1" applyProtection="1">
      <alignment horizontal="center"/>
    </xf>
    <xf numFmtId="165" fontId="119" fillId="0" borderId="4" xfId="1" applyNumberFormat="1" applyFont="1" applyFill="1" applyBorder="1" applyAlignment="1" applyProtection="1">
      <alignment horizontal="right"/>
    </xf>
    <xf numFmtId="164" fontId="119" fillId="0" borderId="4" xfId="1" quotePrefix="1" applyNumberFormat="1" applyFont="1" applyFill="1" applyBorder="1" applyAlignment="1" applyProtection="1">
      <alignment horizontal="center"/>
    </xf>
    <xf numFmtId="49" fontId="119" fillId="0" borderId="4" xfId="1" quotePrefix="1" applyNumberFormat="1" applyFont="1" applyFill="1" applyBorder="1" applyAlignment="1" applyProtection="1">
      <alignment horizontal="center"/>
    </xf>
    <xf numFmtId="37" fontId="119" fillId="0" borderId="9" xfId="0" applyNumberFormat="1" applyFont="1" applyBorder="1" applyAlignment="1">
      <alignment horizontal="left"/>
    </xf>
    <xf numFmtId="37" fontId="119" fillId="0" borderId="13" xfId="0" applyNumberFormat="1" applyFont="1" applyBorder="1" applyAlignment="1">
      <alignment horizontal="left"/>
    </xf>
    <xf numFmtId="165" fontId="119" fillId="0" borderId="9" xfId="1" applyNumberFormat="1" applyFont="1" applyFill="1" applyBorder="1" applyAlignment="1" applyProtection="1">
      <alignment horizontal="right"/>
    </xf>
    <xf numFmtId="37" fontId="118" fillId="0" borderId="7" xfId="0" applyNumberFormat="1" applyFont="1" applyBorder="1"/>
    <xf numFmtId="37" fontId="118" fillId="0" borderId="8" xfId="0" applyNumberFormat="1" applyFont="1" applyBorder="1" applyAlignment="1">
      <alignment horizontal="right"/>
    </xf>
    <xf numFmtId="165" fontId="118" fillId="0" borderId="7" xfId="1" applyNumberFormat="1" applyFont="1" applyFill="1" applyBorder="1" applyAlignment="1" applyProtection="1">
      <alignment horizontal="right"/>
    </xf>
    <xf numFmtId="37" fontId="118" fillId="0" borderId="5" xfId="0" applyNumberFormat="1" applyFont="1" applyBorder="1" applyAlignment="1">
      <alignment horizontal="center"/>
    </xf>
    <xf numFmtId="37" fontId="119" fillId="0" borderId="2" xfId="0" applyNumberFormat="1" applyFont="1" applyBorder="1" applyAlignment="1">
      <alignment horizontal="right"/>
    </xf>
    <xf numFmtId="165" fontId="119" fillId="0" borderId="6" xfId="1" applyNumberFormat="1" applyFont="1" applyFill="1" applyBorder="1" applyAlignment="1" applyProtection="1">
      <alignment horizontal="right"/>
    </xf>
    <xf numFmtId="37" fontId="119" fillId="0" borderId="5" xfId="0" applyNumberFormat="1" applyFont="1" applyBorder="1"/>
    <xf numFmtId="165" fontId="118" fillId="0" borderId="4" xfId="1" applyNumberFormat="1" applyFont="1" applyFill="1" applyBorder="1" applyAlignment="1" applyProtection="1">
      <alignment horizontal="right"/>
    </xf>
    <xf numFmtId="167" fontId="114" fillId="0" borderId="0" xfId="1" applyNumberFormat="1" applyFont="1" applyFill="1" applyBorder="1" applyAlignment="1">
      <alignment vertical="center" wrapText="1"/>
    </xf>
    <xf numFmtId="167" fontId="28" fillId="0" borderId="0" xfId="1" applyNumberFormat="1" applyFont="1" applyFill="1" applyBorder="1" applyAlignment="1">
      <alignment vertical="center" wrapText="1"/>
    </xf>
    <xf numFmtId="43" fontId="18" fillId="0" borderId="4" xfId="0" applyNumberFormat="1" applyFont="1" applyBorder="1"/>
    <xf numFmtId="3" fontId="18" fillId="0" borderId="4" xfId="0" applyNumberFormat="1" applyFont="1" applyBorder="1"/>
    <xf numFmtId="4" fontId="18" fillId="0" borderId="4" xfId="0" applyNumberFormat="1" applyFont="1" applyBorder="1"/>
    <xf numFmtId="0" fontId="9" fillId="0" borderId="5" xfId="0" applyFont="1" applyBorder="1" applyAlignment="1">
      <alignment vertical="center"/>
    </xf>
    <xf numFmtId="3" fontId="29" fillId="0" borderId="5" xfId="0" applyNumberFormat="1" applyFont="1" applyBorder="1"/>
    <xf numFmtId="43" fontId="29" fillId="0" borderId="5" xfId="0" applyNumberFormat="1" applyFont="1" applyBorder="1"/>
    <xf numFmtId="0" fontId="29" fillId="0" borderId="5" xfId="0" applyFont="1" applyBorder="1"/>
    <xf numFmtId="0" fontId="9" fillId="0" borderId="5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14" fontId="9" fillId="0" borderId="9" xfId="0" applyNumberFormat="1" applyFont="1" applyBorder="1"/>
    <xf numFmtId="0" fontId="9" fillId="0" borderId="9" xfId="0" applyFont="1" applyBorder="1"/>
    <xf numFmtId="0" fontId="9" fillId="0" borderId="9" xfId="0" applyFont="1" applyBorder="1" applyAlignment="1">
      <alignment vertical="center"/>
    </xf>
    <xf numFmtId="43" fontId="9" fillId="0" borderId="9" xfId="1" applyFont="1" applyFill="1" applyBorder="1"/>
    <xf numFmtId="167" fontId="18" fillId="0" borderId="33" xfId="1" applyNumberFormat="1" applyFont="1" applyBorder="1"/>
    <xf numFmtId="49" fontId="42" fillId="0" borderId="31" xfId="11" applyNumberFormat="1" applyBorder="1"/>
    <xf numFmtId="167" fontId="112" fillId="0" borderId="40" xfId="1" applyNumberFormat="1" applyFont="1" applyFill="1" applyBorder="1" applyAlignment="1">
      <alignment vertical="center" wrapText="1"/>
    </xf>
    <xf numFmtId="43" fontId="9" fillId="0" borderId="86" xfId="1" applyFont="1" applyFill="1" applyBorder="1"/>
    <xf numFmtId="14" fontId="0" fillId="0" borderId="24" xfId="0" applyNumberFormat="1" applyBorder="1"/>
    <xf numFmtId="0" fontId="18" fillId="0" borderId="4" xfId="0" applyFont="1" applyBorder="1" applyAlignment="1">
      <alignment horizontal="right" vertical="center"/>
    </xf>
    <xf numFmtId="0" fontId="123" fillId="0" borderId="0" xfId="0" applyFont="1" applyAlignment="1">
      <alignment vertical="center"/>
    </xf>
    <xf numFmtId="39" fontId="6" fillId="0" borderId="0" xfId="0" applyNumberFormat="1" applyFont="1" applyAlignment="1">
      <alignment horizontal="right" wrapText="1"/>
    </xf>
    <xf numFmtId="167" fontId="2" fillId="2" borderId="4" xfId="1" applyNumberFormat="1" applyFont="1" applyFill="1" applyBorder="1" applyAlignment="1">
      <alignment horizontal="right" vertical="center" wrapText="1"/>
    </xf>
    <xf numFmtId="0" fontId="14" fillId="0" borderId="19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94" fillId="0" borderId="0" xfId="0" applyFont="1" applyAlignment="1">
      <alignment wrapText="1"/>
    </xf>
    <xf numFmtId="0" fontId="106" fillId="0" borderId="4" xfId="0" applyFont="1" applyBorder="1" applyAlignment="1">
      <alignment vertical="center"/>
    </xf>
    <xf numFmtId="182" fontId="106" fillId="0" borderId="4" xfId="0" applyNumberFormat="1" applyFont="1" applyBorder="1" applyAlignment="1">
      <alignment vertical="center"/>
    </xf>
    <xf numFmtId="181" fontId="106" fillId="0" borderId="4" xfId="0" applyNumberFormat="1" applyFont="1" applyBorder="1" applyAlignment="1">
      <alignment horizontal="right" vertical="center"/>
    </xf>
    <xf numFmtId="0" fontId="105" fillId="0" borderId="4" xfId="0" applyFont="1" applyBorder="1" applyAlignment="1">
      <alignment vertical="center"/>
    </xf>
    <xf numFmtId="182" fontId="105" fillId="0" borderId="4" xfId="0" applyNumberFormat="1" applyFont="1" applyBorder="1" applyAlignment="1">
      <alignment vertical="center"/>
    </xf>
    <xf numFmtId="165" fontId="31" fillId="0" borderId="0" xfId="1" applyNumberFormat="1" applyFont="1" applyFill="1" applyBorder="1" applyAlignment="1"/>
    <xf numFmtId="167" fontId="18" fillId="0" borderId="5" xfId="1" applyNumberFormat="1" applyFont="1" applyFill="1" applyBorder="1"/>
    <xf numFmtId="167" fontId="29" fillId="0" borderId="32" xfId="1" applyNumberFormat="1" applyFont="1" applyFill="1" applyBorder="1"/>
    <xf numFmtId="167" fontId="18" fillId="0" borderId="16" xfId="1" applyNumberFormat="1" applyFont="1" applyFill="1" applyBorder="1"/>
    <xf numFmtId="167" fontId="29" fillId="0" borderId="53" xfId="1" applyNumberFormat="1" applyFont="1" applyFill="1" applyBorder="1"/>
    <xf numFmtId="164" fontId="55" fillId="0" borderId="0" xfId="0" applyNumberFormat="1" applyFont="1"/>
    <xf numFmtId="3" fontId="48" fillId="2" borderId="45" xfId="1" applyNumberFormat="1" applyFont="1" applyFill="1" applyBorder="1" applyAlignment="1">
      <alignment vertical="center"/>
    </xf>
    <xf numFmtId="37" fontId="2" fillId="0" borderId="4" xfId="0" applyNumberFormat="1" applyFont="1" applyBorder="1" applyAlignment="1">
      <alignment vertical="center"/>
    </xf>
    <xf numFmtId="37" fontId="63" fillId="2" borderId="4" xfId="0" applyNumberFormat="1" applyFont="1" applyFill="1" applyBorder="1"/>
    <xf numFmtId="167" fontId="53" fillId="0" borderId="4" xfId="1" applyNumberFormat="1" applyFont="1" applyBorder="1" applyAlignment="1">
      <alignment vertical="center"/>
    </xf>
    <xf numFmtId="37" fontId="45" fillId="0" borderId="44" xfId="1" applyNumberFormat="1" applyFont="1" applyBorder="1"/>
    <xf numFmtId="37" fontId="45" fillId="0" borderId="32" xfId="1" applyNumberFormat="1" applyFont="1" applyBorder="1"/>
    <xf numFmtId="37" fontId="2" fillId="0" borderId="16" xfId="0" applyNumberFormat="1" applyFont="1" applyBorder="1"/>
    <xf numFmtId="37" fontId="45" fillId="0" borderId="53" xfId="1" applyNumberFormat="1" applyFont="1" applyBorder="1"/>
    <xf numFmtId="37" fontId="45" fillId="0" borderId="61" xfId="1" applyNumberFormat="1" applyFont="1" applyBorder="1"/>
    <xf numFmtId="37" fontId="45" fillId="0" borderId="0" xfId="1" applyNumberFormat="1" applyFont="1" applyBorder="1"/>
    <xf numFmtId="1" fontId="18" fillId="0" borderId="0" xfId="0" applyNumberFormat="1" applyFont="1"/>
    <xf numFmtId="0" fontId="65" fillId="0" borderId="31" xfId="11" applyFont="1" applyBorder="1" applyAlignment="1">
      <alignment horizontal="left" vertical="center"/>
    </xf>
    <xf numFmtId="0" fontId="65" fillId="0" borderId="32" xfId="11" applyFont="1" applyBorder="1" applyAlignment="1">
      <alignment horizontal="right" vertical="center"/>
    </xf>
    <xf numFmtId="181" fontId="106" fillId="0" borderId="32" xfId="0" applyNumberFormat="1" applyFont="1" applyBorder="1" applyAlignment="1">
      <alignment horizontal="right" vertical="center"/>
    </xf>
    <xf numFmtId="194" fontId="18" fillId="2" borderId="4" xfId="0" applyNumberFormat="1" applyFont="1" applyFill="1" applyBorder="1"/>
    <xf numFmtId="167" fontId="25" fillId="2" borderId="0" xfId="1" applyNumberFormat="1" applyFont="1" applyFill="1"/>
    <xf numFmtId="164" fontId="126" fillId="0" borderId="0" xfId="1" applyNumberFormat="1" applyFont="1" applyFill="1" applyBorder="1" applyAlignment="1">
      <alignment vertical="center" wrapText="1"/>
    </xf>
    <xf numFmtId="168" fontId="18" fillId="2" borderId="4" xfId="0" applyNumberFormat="1" applyFont="1" applyFill="1" applyBorder="1"/>
    <xf numFmtId="0" fontId="108" fillId="0" borderId="0" xfId="0" applyFont="1" applyAlignment="1">
      <alignment vertical="center" wrapText="1"/>
    </xf>
    <xf numFmtId="2" fontId="14" fillId="0" borderId="20" xfId="0" applyNumberFormat="1" applyFont="1" applyBorder="1" applyAlignment="1">
      <alignment horizontal="center"/>
    </xf>
    <xf numFmtId="2" fontId="14" fillId="0" borderId="26" xfId="0" applyNumberFormat="1" applyFont="1" applyBorder="1" applyAlignment="1">
      <alignment horizontal="center"/>
    </xf>
    <xf numFmtId="164" fontId="2" fillId="0" borderId="9" xfId="1" applyNumberFormat="1" applyFont="1" applyFill="1" applyBorder="1" applyAlignment="1" applyProtection="1">
      <alignment horizontal="right"/>
    </xf>
    <xf numFmtId="164" fontId="6" fillId="0" borderId="7" xfId="1" applyNumberFormat="1" applyFont="1" applyFill="1" applyBorder="1" applyAlignment="1" applyProtection="1">
      <alignment horizontal="right"/>
    </xf>
    <xf numFmtId="164" fontId="63" fillId="0" borderId="4" xfId="1" applyNumberFormat="1" applyFont="1" applyFill="1" applyBorder="1" applyAlignment="1" applyProtection="1">
      <alignment horizontal="right"/>
    </xf>
    <xf numFmtId="39" fontId="93" fillId="0" borderId="0" xfId="83" applyNumberFormat="1" applyFont="1"/>
    <xf numFmtId="37" fontId="63" fillId="2" borderId="9" xfId="0" applyNumberFormat="1" applyFont="1" applyFill="1" applyBorder="1"/>
    <xf numFmtId="177" fontId="112" fillId="0" borderId="0" xfId="0" applyNumberFormat="1" applyFont="1" applyAlignment="1">
      <alignment vertical="center" wrapText="1"/>
    </xf>
    <xf numFmtId="0" fontId="112" fillId="0" borderId="0" xfId="0" applyFont="1" applyAlignment="1">
      <alignment vertical="center" wrapText="1"/>
    </xf>
    <xf numFmtId="37" fontId="5" fillId="0" borderId="76" xfId="0" applyNumberFormat="1" applyFont="1" applyBorder="1" applyAlignment="1">
      <alignment horizontal="center" vertical="center"/>
    </xf>
    <xf numFmtId="37" fontId="5" fillId="0" borderId="67" xfId="0" applyNumberFormat="1" applyFont="1" applyBorder="1" applyAlignment="1">
      <alignment horizontal="center" vertical="center"/>
    </xf>
    <xf numFmtId="37" fontId="8" fillId="0" borderId="67" xfId="0" applyNumberFormat="1" applyFont="1" applyBorder="1" applyAlignment="1">
      <alignment horizontal="center" vertical="center" wrapText="1"/>
    </xf>
    <xf numFmtId="195" fontId="18" fillId="0" borderId="0" xfId="1" applyNumberFormat="1" applyFont="1"/>
    <xf numFmtId="37" fontId="124" fillId="0" borderId="0" xfId="0" applyNumberFormat="1" applyFont="1" applyAlignment="1">
      <alignment vertical="center" wrapText="1"/>
    </xf>
    <xf numFmtId="167" fontId="18" fillId="0" borderId="0" xfId="0" applyNumberFormat="1" applyFont="1" applyAlignment="1">
      <alignment horizontal="left" indent="2"/>
    </xf>
    <xf numFmtId="2" fontId="38" fillId="0" borderId="0" xfId="1" applyNumberFormat="1" applyFont="1" applyFill="1" applyBorder="1" applyAlignment="1">
      <alignment vertical="center" wrapText="1"/>
    </xf>
    <xf numFmtId="2" fontId="114" fillId="0" borderId="0" xfId="1" applyNumberFormat="1" applyFont="1" applyFill="1" applyBorder="1" applyAlignment="1">
      <alignment vertical="center" wrapText="1"/>
    </xf>
    <xf numFmtId="2" fontId="14" fillId="0" borderId="18" xfId="0" applyNumberFormat="1" applyFont="1" applyBorder="1" applyAlignment="1">
      <alignment horizontal="center"/>
    </xf>
    <xf numFmtId="43" fontId="2" fillId="0" borderId="6" xfId="1" applyFont="1" applyFill="1" applyBorder="1" applyAlignment="1" applyProtection="1">
      <alignment horizontal="right"/>
    </xf>
    <xf numFmtId="167" fontId="29" fillId="0" borderId="26" xfId="0" applyNumberFormat="1" applyFont="1" applyBorder="1"/>
    <xf numFmtId="49" fontId="128" fillId="0" borderId="31" xfId="11" applyNumberFormat="1" applyFont="1" applyBorder="1"/>
    <xf numFmtId="0" fontId="18" fillId="0" borderId="4" xfId="0" applyFont="1" applyBorder="1" applyAlignment="1">
      <alignment horizontal="center" vertical="center"/>
    </xf>
    <xf numFmtId="2" fontId="18" fillId="0" borderId="32" xfId="0" applyNumberFormat="1" applyFont="1" applyBorder="1" applyAlignment="1">
      <alignment horizontal="center" vertical="center"/>
    </xf>
    <xf numFmtId="2" fontId="18" fillId="0" borderId="4" xfId="0" applyNumberFormat="1" applyFont="1" applyBorder="1"/>
    <xf numFmtId="43" fontId="29" fillId="0" borderId="17" xfId="1" applyFont="1" applyFill="1" applyBorder="1"/>
    <xf numFmtId="39" fontId="54" fillId="0" borderId="0" xfId="1" applyNumberFormat="1" applyFont="1"/>
    <xf numFmtId="37" fontId="93" fillId="0" borderId="4" xfId="0" applyNumberFormat="1" applyFont="1" applyBorder="1"/>
    <xf numFmtId="39" fontId="93" fillId="0" borderId="4" xfId="0" applyNumberFormat="1" applyFont="1" applyBorder="1"/>
    <xf numFmtId="43" fontId="2" fillId="0" borderId="4" xfId="1" quotePrefix="1" applyFont="1" applyFill="1" applyBorder="1" applyAlignment="1" applyProtection="1">
      <alignment horizontal="center"/>
    </xf>
    <xf numFmtId="43" fontId="119" fillId="0" borderId="4" xfId="1" quotePrefix="1" applyFont="1" applyFill="1" applyBorder="1" applyAlignment="1" applyProtection="1">
      <alignment horizontal="center"/>
    </xf>
    <xf numFmtId="43" fontId="18" fillId="0" borderId="4" xfId="1" applyFont="1" applyFill="1" applyBorder="1"/>
    <xf numFmtId="43" fontId="0" fillId="0" borderId="0" xfId="1" applyFont="1"/>
    <xf numFmtId="167" fontId="25" fillId="0" borderId="4" xfId="0" applyNumberFormat="1" applyFont="1" applyBorder="1"/>
    <xf numFmtId="37" fontId="63" fillId="0" borderId="3" xfId="0" applyNumberFormat="1" applyFont="1" applyBorder="1" applyAlignment="1">
      <alignment wrapText="1"/>
    </xf>
    <xf numFmtId="37" fontId="63" fillId="0" borderId="0" xfId="0" applyNumberFormat="1" applyFont="1" applyAlignment="1">
      <alignment wrapText="1"/>
    </xf>
    <xf numFmtId="0" fontId="0" fillId="0" borderId="0" xfId="0" applyAlignment="1">
      <alignment horizontal="left" vertical="top"/>
    </xf>
    <xf numFmtId="37" fontId="63" fillId="0" borderId="0" xfId="0" applyNumberFormat="1" applyFont="1"/>
    <xf numFmtId="39" fontId="31" fillId="0" borderId="3" xfId="1" applyNumberFormat="1" applyFont="1" applyFill="1" applyBorder="1"/>
    <xf numFmtId="37" fontId="129" fillId="0" borderId="0" xfId="0" applyNumberFormat="1" applyFont="1"/>
    <xf numFmtId="0" fontId="68" fillId="0" borderId="0" xfId="0" applyFont="1" applyAlignment="1">
      <alignment horizontal="right" vertical="top" wrapText="1"/>
    </xf>
    <xf numFmtId="4" fontId="68" fillId="0" borderId="0" xfId="0" applyNumberFormat="1" applyFont="1" applyAlignment="1">
      <alignment horizontal="right" vertical="top" wrapText="1"/>
    </xf>
    <xf numFmtId="196" fontId="68" fillId="0" borderId="0" xfId="0" applyNumberFormat="1" applyFont="1" applyAlignment="1">
      <alignment horizontal="right" vertical="top" wrapText="1"/>
    </xf>
    <xf numFmtId="164" fontId="14" fillId="0" borderId="50" xfId="1" applyNumberFormat="1" applyFont="1" applyFill="1" applyBorder="1"/>
    <xf numFmtId="182" fontId="30" fillId="0" borderId="0" xfId="0" applyNumberFormat="1" applyFont="1" applyAlignment="1">
      <alignment wrapText="1"/>
    </xf>
    <xf numFmtId="198" fontId="30" fillId="0" borderId="0" xfId="0" applyNumberFormat="1" applyFont="1" applyAlignment="1">
      <alignment wrapText="1"/>
    </xf>
    <xf numFmtId="0" fontId="68" fillId="0" borderId="0" xfId="0" applyFont="1" applyAlignment="1">
      <alignment horizontal="center" vertical="top" wrapText="1"/>
    </xf>
    <xf numFmtId="197" fontId="68" fillId="0" borderId="0" xfId="0" applyNumberFormat="1" applyFont="1" applyAlignment="1">
      <alignment horizontal="center" vertical="top" wrapText="1"/>
    </xf>
    <xf numFmtId="37" fontId="0" fillId="37" borderId="0" xfId="0" applyNumberFormat="1" applyFill="1"/>
    <xf numFmtId="182" fontId="0" fillId="0" borderId="0" xfId="0" applyNumberFormat="1" applyAlignment="1">
      <alignment horizontal="left" vertical="top"/>
    </xf>
    <xf numFmtId="164" fontId="29" fillId="0" borderId="0" xfId="1" applyNumberFormat="1" applyFont="1"/>
    <xf numFmtId="43" fontId="44" fillId="0" borderId="16" xfId="1" applyFont="1" applyFill="1" applyBorder="1"/>
    <xf numFmtId="167" fontId="45" fillId="0" borderId="0" xfId="1" applyNumberFormat="1" applyFont="1" applyFill="1"/>
    <xf numFmtId="167" fontId="45" fillId="0" borderId="0" xfId="1" applyNumberFormat="1" applyFont="1" applyFill="1" applyBorder="1"/>
    <xf numFmtId="37" fontId="131" fillId="0" borderId="0" xfId="0" applyNumberFormat="1" applyFont="1" applyAlignment="1">
      <alignment vertical="center" wrapText="1"/>
    </xf>
    <xf numFmtId="0" fontId="122" fillId="0" borderId="0" xfId="0" applyFont="1" applyAlignment="1">
      <alignment wrapText="1"/>
    </xf>
    <xf numFmtId="0" fontId="132" fillId="0" borderId="0" xfId="0" applyFont="1" applyAlignment="1">
      <alignment vertical="top" wrapText="1"/>
    </xf>
    <xf numFmtId="2" fontId="28" fillId="0" borderId="0" xfId="1" applyNumberFormat="1" applyFont="1" applyFill="1" applyBorder="1" applyAlignment="1">
      <alignment vertical="center" wrapText="1"/>
    </xf>
    <xf numFmtId="0" fontId="110" fillId="0" borderId="0" xfId="0" applyFont="1" applyAlignment="1">
      <alignment vertical="center" wrapText="1"/>
    </xf>
    <xf numFmtId="0" fontId="14" fillId="0" borderId="24" xfId="0" applyFont="1" applyBorder="1" applyAlignment="1">
      <alignment horizontal="center"/>
    </xf>
    <xf numFmtId="0" fontId="14" fillId="0" borderId="24" xfId="0" applyFont="1" applyBorder="1" applyAlignment="1">
      <alignment horizontal="center" vertical="center"/>
    </xf>
    <xf numFmtId="0" fontId="108" fillId="0" borderId="24" xfId="0" applyFont="1" applyBorder="1" applyAlignment="1">
      <alignment vertical="center" wrapText="1"/>
    </xf>
    <xf numFmtId="2" fontId="21" fillId="0" borderId="19" xfId="0" applyNumberFormat="1" applyFont="1" applyBorder="1"/>
    <xf numFmtId="0" fontId="21" fillId="0" borderId="20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43" fontId="29" fillId="0" borderId="4" xfId="1" applyFont="1" applyFill="1" applyBorder="1" applyAlignment="1">
      <alignment horizontal="center"/>
    </xf>
    <xf numFmtId="164" fontId="14" fillId="0" borderId="0" xfId="1" applyNumberFormat="1" applyFont="1" applyFill="1" applyBorder="1" applyAlignment="1">
      <alignment wrapText="1"/>
    </xf>
    <xf numFmtId="37" fontId="135" fillId="0" borderId="0" xfId="0" applyNumberFormat="1" applyFont="1"/>
    <xf numFmtId="187" fontId="89" fillId="0" borderId="0" xfId="0" applyNumberFormat="1" applyFont="1" applyAlignment="1">
      <alignment vertical="top" wrapText="1" readingOrder="1"/>
    </xf>
    <xf numFmtId="0" fontId="90" fillId="0" borderId="0" xfId="0" applyFont="1" applyAlignment="1">
      <alignment readingOrder="1"/>
    </xf>
    <xf numFmtId="37" fontId="30" fillId="0" borderId="41" xfId="0" applyNumberFormat="1" applyFont="1" applyBorder="1" applyAlignment="1">
      <alignment wrapText="1"/>
    </xf>
    <xf numFmtId="37" fontId="30" fillId="0" borderId="30" xfId="0" applyNumberFormat="1" applyFont="1" applyBorder="1" applyAlignment="1">
      <alignment wrapText="1"/>
    </xf>
    <xf numFmtId="37" fontId="30" fillId="0" borderId="50" xfId="0" applyNumberFormat="1" applyFont="1" applyBorder="1" applyAlignment="1">
      <alignment wrapText="1"/>
    </xf>
    <xf numFmtId="37" fontId="30" fillId="0" borderId="25" xfId="0" applyNumberFormat="1" applyFont="1" applyBorder="1" applyAlignment="1">
      <alignment wrapText="1"/>
    </xf>
    <xf numFmtId="37" fontId="30" fillId="0" borderId="23" xfId="0" applyNumberFormat="1" applyFont="1" applyBorder="1" applyAlignment="1">
      <alignment wrapText="1"/>
    </xf>
    <xf numFmtId="37" fontId="30" fillId="0" borderId="43" xfId="0" applyNumberFormat="1" applyFont="1" applyBorder="1" applyAlignment="1">
      <alignment wrapText="1"/>
    </xf>
    <xf numFmtId="37" fontId="9" fillId="0" borderId="36" xfId="0" applyNumberFormat="1" applyFont="1" applyBorder="1"/>
    <xf numFmtId="37" fontId="9" fillId="0" borderId="38" xfId="0" applyNumberFormat="1" applyFont="1" applyBorder="1"/>
    <xf numFmtId="0" fontId="9" fillId="0" borderId="4" xfId="0" applyFont="1" applyBorder="1" applyAlignment="1">
      <alignment horizontal="center"/>
    </xf>
    <xf numFmtId="4" fontId="0" fillId="0" borderId="0" xfId="1" applyNumberFormat="1" applyFont="1" applyFill="1"/>
    <xf numFmtId="43" fontId="1" fillId="0" borderId="4" xfId="1" applyFont="1" applyBorder="1"/>
    <xf numFmtId="0" fontId="101" fillId="0" borderId="4" xfId="0" applyFont="1" applyBorder="1" applyAlignment="1">
      <alignment vertical="center"/>
    </xf>
    <xf numFmtId="37" fontId="3" fillId="0" borderId="4" xfId="0" applyNumberFormat="1" applyFont="1" applyBorder="1" applyAlignment="1">
      <alignment horizontal="left" vertical="top" wrapText="1"/>
    </xf>
    <xf numFmtId="37" fontId="5" fillId="0" borderId="0" xfId="0" applyNumberFormat="1" applyFont="1" applyAlignment="1">
      <alignment horizontal="right" vertical="center"/>
    </xf>
    <xf numFmtId="170" fontId="63" fillId="0" borderId="0" xfId="0" applyNumberFormat="1" applyFont="1"/>
    <xf numFmtId="39" fontId="5" fillId="0" borderId="0" xfId="0" applyNumberFormat="1" applyFont="1" applyAlignment="1">
      <alignment horizontal="right" wrapText="1"/>
    </xf>
    <xf numFmtId="167" fontId="29" fillId="0" borderId="52" xfId="0" applyNumberFormat="1" applyFont="1" applyBorder="1" applyAlignment="1">
      <alignment horizontal="center" wrapText="1"/>
    </xf>
    <xf numFmtId="167" fontId="29" fillId="0" borderId="16" xfId="0" applyNumberFormat="1" applyFont="1" applyBorder="1" applyAlignment="1">
      <alignment horizontal="center" wrapText="1"/>
    </xf>
    <xf numFmtId="167" fontId="29" fillId="0" borderId="53" xfId="0" applyNumberFormat="1" applyFont="1" applyBorder="1" applyAlignment="1">
      <alignment horizontal="center" wrapText="1"/>
    </xf>
    <xf numFmtId="167" fontId="18" fillId="0" borderId="5" xfId="0" applyNumberFormat="1" applyFont="1" applyBorder="1" applyAlignment="1">
      <alignment horizontal="left" wrapText="1"/>
    </xf>
    <xf numFmtId="0" fontId="28" fillId="0" borderId="4" xfId="0" applyFont="1" applyBorder="1"/>
    <xf numFmtId="43" fontId="54" fillId="0" borderId="4" xfId="0" applyNumberFormat="1" applyFont="1" applyBorder="1" applyAlignment="1">
      <alignment horizontal="center" wrapText="1"/>
    </xf>
    <xf numFmtId="43" fontId="54" fillId="0" borderId="5" xfId="0" applyNumberFormat="1" applyFont="1" applyBorder="1" applyAlignment="1">
      <alignment horizontal="center" wrapText="1"/>
    </xf>
    <xf numFmtId="43" fontId="29" fillId="0" borderId="50" xfId="1" applyFont="1" applyFill="1" applyBorder="1"/>
    <xf numFmtId="0" fontId="45" fillId="0" borderId="0" xfId="0" applyFont="1" applyAlignment="1">
      <alignment horizontal="left"/>
    </xf>
    <xf numFmtId="43" fontId="18" fillId="0" borderId="2" xfId="1" applyFont="1" applyFill="1" applyBorder="1" applyAlignment="1"/>
    <xf numFmtId="1" fontId="65" fillId="0" borderId="31" xfId="11" applyNumberFormat="1" applyFont="1" applyBorder="1" applyAlignment="1">
      <alignment horizontal="right" vertical="center"/>
    </xf>
    <xf numFmtId="1" fontId="65" fillId="0" borderId="40" xfId="11" applyNumberFormat="1" applyFont="1" applyBorder="1" applyAlignment="1">
      <alignment horizontal="right" vertical="center"/>
    </xf>
    <xf numFmtId="0" fontId="65" fillId="0" borderId="56" xfId="11" applyFont="1" applyBorder="1" applyAlignment="1">
      <alignment horizontal="right" vertical="center"/>
    </xf>
    <xf numFmtId="37" fontId="25" fillId="0" borderId="23" xfId="0" applyNumberFormat="1" applyFont="1" applyBorder="1" applyAlignment="1">
      <alignment horizontal="center"/>
    </xf>
    <xf numFmtId="0" fontId="25" fillId="0" borderId="23" xfId="0" applyFont="1" applyBorder="1" applyAlignment="1">
      <alignment horizontal="center"/>
    </xf>
    <xf numFmtId="173" fontId="25" fillId="0" borderId="0" xfId="0" applyNumberFormat="1" applyFont="1"/>
    <xf numFmtId="39" fontId="25" fillId="0" borderId="23" xfId="0" applyNumberFormat="1" applyFont="1" applyBorder="1" applyAlignment="1">
      <alignment horizontal="center"/>
    </xf>
    <xf numFmtId="181" fontId="64" fillId="0" borderId="4" xfId="0" applyNumberFormat="1" applyFont="1" applyBorder="1" applyAlignment="1">
      <alignment horizontal="right" vertical="center"/>
    </xf>
    <xf numFmtId="0" fontId="64" fillId="0" borderId="4" xfId="0" applyFont="1" applyBorder="1" applyAlignment="1">
      <alignment vertical="center"/>
    </xf>
    <xf numFmtId="39" fontId="6" fillId="0" borderId="0" xfId="1" applyNumberFormat="1" applyFont="1" applyFill="1" applyBorder="1"/>
    <xf numFmtId="0" fontId="114" fillId="0" borderId="0" xfId="0" applyFont="1" applyAlignment="1">
      <alignment vertical="top" wrapText="1"/>
    </xf>
    <xf numFmtId="167" fontId="38" fillId="0" borderId="0" xfId="1" applyNumberFormat="1" applyFont="1" applyFill="1" applyBorder="1" applyAlignment="1">
      <alignment vertical="center" wrapText="1"/>
    </xf>
    <xf numFmtId="37" fontId="133" fillId="0" borderId="0" xfId="0" applyNumberFormat="1" applyFont="1" applyAlignment="1">
      <alignment vertical="center" wrapText="1"/>
    </xf>
    <xf numFmtId="37" fontId="6" fillId="0" borderId="0" xfId="0" applyNumberFormat="1" applyFont="1" applyAlignment="1">
      <alignment wrapText="1"/>
    </xf>
    <xf numFmtId="167" fontId="29" fillId="0" borderId="0" xfId="1" applyNumberFormat="1" applyFont="1" applyFill="1" applyBorder="1"/>
    <xf numFmtId="167" fontId="25" fillId="0" borderId="0" xfId="1" applyNumberFormat="1" applyFont="1" applyFill="1" applyBorder="1"/>
    <xf numFmtId="0" fontId="18" fillId="0" borderId="0" xfId="0" applyFont="1" applyAlignment="1">
      <alignment horizontal="center"/>
    </xf>
    <xf numFmtId="43" fontId="18" fillId="0" borderId="0" xfId="1" applyFont="1" applyFill="1" applyBorder="1" applyAlignment="1">
      <alignment horizontal="center"/>
    </xf>
    <xf numFmtId="43" fontId="29" fillId="0" borderId="0" xfId="1" applyFont="1" applyFill="1" applyBorder="1" applyAlignment="1">
      <alignment horizontal="center"/>
    </xf>
    <xf numFmtId="0" fontId="28" fillId="0" borderId="0" xfId="0" applyFont="1" applyAlignment="1">
      <alignment vertical="top" wrapText="1"/>
    </xf>
    <xf numFmtId="43" fontId="25" fillId="0" borderId="4" xfId="1" applyFont="1" applyFill="1" applyBorder="1"/>
    <xf numFmtId="43" fontId="54" fillId="0" borderId="4" xfId="1" applyFont="1" applyFill="1" applyBorder="1"/>
    <xf numFmtId="43" fontId="43" fillId="0" borderId="4" xfId="1" applyFont="1" applyFill="1" applyBorder="1"/>
    <xf numFmtId="43" fontId="43" fillId="2" borderId="4" xfId="1" applyFont="1" applyFill="1" applyBorder="1"/>
    <xf numFmtId="39" fontId="6" fillId="0" borderId="4" xfId="0" applyNumberFormat="1" applyFont="1" applyBorder="1" applyAlignment="1">
      <alignment horizontal="right"/>
    </xf>
    <xf numFmtId="0" fontId="62" fillId="0" borderId="0" xfId="0" applyFont="1" applyAlignment="1">
      <alignment vertical="center" wrapText="1"/>
    </xf>
    <xf numFmtId="164" fontId="21" fillId="0" borderId="24" xfId="1" applyNumberFormat="1" applyFont="1" applyFill="1" applyBorder="1" applyAlignment="1">
      <alignment wrapText="1"/>
    </xf>
    <xf numFmtId="43" fontId="53" fillId="0" borderId="4" xfId="1" applyFont="1" applyFill="1" applyBorder="1" applyAlignment="1">
      <alignment vertical="center"/>
    </xf>
    <xf numFmtId="43" fontId="53" fillId="0" borderId="4" xfId="1" applyFont="1" applyBorder="1" applyAlignment="1">
      <alignment vertical="center"/>
    </xf>
    <xf numFmtId="0" fontId="30" fillId="0" borderId="0" xfId="0" applyFont="1" applyAlignment="1">
      <alignment wrapText="1"/>
    </xf>
    <xf numFmtId="39" fontId="2" fillId="0" borderId="15" xfId="0" applyNumberFormat="1" applyFont="1" applyBorder="1"/>
    <xf numFmtId="37" fontId="3" fillId="0" borderId="9" xfId="0" applyNumberFormat="1" applyFont="1" applyBorder="1" applyAlignment="1">
      <alignment horizontal="right"/>
    </xf>
    <xf numFmtId="37" fontId="3" fillId="0" borderId="4" xfId="0" applyNumberFormat="1" applyFont="1" applyBorder="1" applyAlignment="1">
      <alignment horizontal="right"/>
    </xf>
    <xf numFmtId="39" fontId="17" fillId="0" borderId="4" xfId="0" applyNumberFormat="1" applyFont="1" applyBorder="1"/>
    <xf numFmtId="37" fontId="54" fillId="0" borderId="0" xfId="0" applyNumberFormat="1" applyFont="1"/>
    <xf numFmtId="37" fontId="3" fillId="0" borderId="4" xfId="0" applyNumberFormat="1" applyFont="1" applyBorder="1" applyAlignment="1">
      <alignment horizontal="left" vertical="top"/>
    </xf>
    <xf numFmtId="0" fontId="0" fillId="0" borderId="2" xfId="0" applyBorder="1"/>
    <xf numFmtId="0" fontId="0" fillId="0" borderId="1" xfId="0" applyBorder="1"/>
    <xf numFmtId="199" fontId="2" fillId="0" borderId="0" xfId="0" applyNumberFormat="1" applyFont="1"/>
    <xf numFmtId="37" fontId="2" fillId="0" borderId="5" xfId="0" applyNumberFormat="1" applyFont="1" applyBorder="1" applyAlignment="1">
      <alignment horizontal="left"/>
    </xf>
    <xf numFmtId="164" fontId="118" fillId="0" borderId="7" xfId="1" applyNumberFormat="1" applyFont="1" applyFill="1" applyBorder="1" applyAlignment="1" applyProtection="1">
      <alignment horizontal="right"/>
    </xf>
    <xf numFmtId="167" fontId="48" fillId="0" borderId="0" xfId="1" applyNumberFormat="1" applyFont="1" applyBorder="1"/>
    <xf numFmtId="37" fontId="25" fillId="0" borderId="20" xfId="0" applyNumberFormat="1" applyFont="1" applyBorder="1"/>
    <xf numFmtId="177" fontId="25" fillId="0" borderId="17" xfId="0" applyNumberFormat="1" applyFont="1" applyBorder="1"/>
    <xf numFmtId="173" fontId="25" fillId="0" borderId="17" xfId="0" applyNumberFormat="1" applyFont="1" applyBorder="1"/>
    <xf numFmtId="37" fontId="7" fillId="0" borderId="0" xfId="0" applyNumberFormat="1" applyFont="1" applyAlignment="1">
      <alignment wrapText="1"/>
    </xf>
    <xf numFmtId="37" fontId="2" fillId="0" borderId="32" xfId="0" applyNumberFormat="1" applyFont="1" applyBorder="1"/>
    <xf numFmtId="37" fontId="63" fillId="2" borderId="32" xfId="0" applyNumberFormat="1" applyFont="1" applyFill="1" applyBorder="1"/>
    <xf numFmtId="37" fontId="6" fillId="0" borderId="31" xfId="0" applyNumberFormat="1" applyFont="1" applyBorder="1" applyAlignment="1">
      <alignment horizontal="left"/>
    </xf>
    <xf numFmtId="37" fontId="6" fillId="0" borderId="86" xfId="0" applyNumberFormat="1" applyFont="1" applyBorder="1"/>
    <xf numFmtId="37" fontId="25" fillId="0" borderId="69" xfId="0" applyNumberFormat="1" applyFont="1" applyBorder="1" applyAlignment="1">
      <alignment horizontal="left"/>
    </xf>
    <xf numFmtId="37" fontId="2" fillId="0" borderId="44" xfId="0" applyNumberFormat="1" applyFont="1" applyBorder="1"/>
    <xf numFmtId="37" fontId="25" fillId="0" borderId="69" xfId="0" applyNumberFormat="1" applyFont="1" applyBorder="1" applyAlignment="1">
      <alignment wrapText="1"/>
    </xf>
    <xf numFmtId="37" fontId="54" fillId="0" borderId="69" xfId="0" applyNumberFormat="1" applyFont="1" applyBorder="1" applyAlignment="1">
      <alignment wrapText="1"/>
    </xf>
    <xf numFmtId="37" fontId="2" fillId="0" borderId="32" xfId="0" applyNumberFormat="1" applyFont="1" applyBorder="1" applyAlignment="1">
      <alignment vertical="center"/>
    </xf>
    <xf numFmtId="167" fontId="43" fillId="0" borderId="32" xfId="1" applyNumberFormat="1" applyFont="1" applyBorder="1"/>
    <xf numFmtId="0" fontId="29" fillId="0" borderId="26" xfId="0" applyFont="1" applyBorder="1"/>
    <xf numFmtId="167" fontId="43" fillId="0" borderId="16" xfId="1" applyNumberFormat="1" applyFont="1" applyBorder="1"/>
    <xf numFmtId="167" fontId="43" fillId="0" borderId="53" xfId="1" applyNumberFormat="1" applyFont="1" applyBorder="1"/>
    <xf numFmtId="0" fontId="137" fillId="0" borderId="0" xfId="0" applyFont="1"/>
    <xf numFmtId="177" fontId="138" fillId="0" borderId="0" xfId="0" applyNumberFormat="1" applyFont="1" applyAlignment="1">
      <alignment vertical="center"/>
    </xf>
    <xf numFmtId="39" fontId="16" fillId="0" borderId="4" xfId="0" applyNumberFormat="1" applyFont="1" applyBorder="1" applyAlignment="1">
      <alignment horizontal="right"/>
    </xf>
    <xf numFmtId="0" fontId="21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1" fillId="0" borderId="24" xfId="0" applyFont="1" applyBorder="1" applyAlignment="1">
      <alignment wrapText="1"/>
    </xf>
    <xf numFmtId="0" fontId="61" fillId="0" borderId="0" xfId="0" applyFont="1" applyAlignment="1">
      <alignment wrapText="1"/>
    </xf>
    <xf numFmtId="0" fontId="102" fillId="0" borderId="0" xfId="0" applyFont="1" applyAlignment="1">
      <alignment wrapText="1"/>
    </xf>
    <xf numFmtId="0" fontId="21" fillId="0" borderId="24" xfId="0" applyFont="1" applyBorder="1" applyAlignment="1">
      <alignment vertical="center" wrapText="1"/>
    </xf>
    <xf numFmtId="0" fontId="21" fillId="0" borderId="0" xfId="0" applyFont="1" applyBorder="1" applyAlignment="1">
      <alignment vertical="center" wrapText="1"/>
    </xf>
    <xf numFmtId="164" fontId="21" fillId="0" borderId="0" xfId="1" applyNumberFormat="1" applyFont="1" applyFill="1" applyBorder="1" applyAlignment="1">
      <alignment wrapText="1"/>
    </xf>
    <xf numFmtId="43" fontId="14" fillId="0" borderId="4" xfId="1" applyNumberFormat="1" applyFont="1" applyFill="1" applyBorder="1"/>
    <xf numFmtId="43" fontId="119" fillId="0" borderId="9" xfId="1" applyFont="1" applyFill="1" applyBorder="1" applyAlignment="1" applyProtection="1">
      <alignment horizontal="right"/>
    </xf>
    <xf numFmtId="181" fontId="56" fillId="0" borderId="0" xfId="0" applyNumberFormat="1" applyFont="1" applyAlignment="1">
      <alignment horizontal="right" vertical="center"/>
    </xf>
    <xf numFmtId="37" fontId="0" fillId="0" borderId="4" xfId="0" applyNumberFormat="1" applyFont="1" applyBorder="1"/>
    <xf numFmtId="0" fontId="2" fillId="0" borderId="4" xfId="0" applyFont="1" applyFill="1" applyBorder="1" applyAlignment="1">
      <alignment horizontal="center"/>
    </xf>
    <xf numFmtId="37" fontId="3" fillId="0" borderId="4" xfId="0" applyNumberFormat="1" applyFont="1" applyFill="1" applyBorder="1" applyAlignment="1">
      <alignment horizontal="left"/>
    </xf>
    <xf numFmtId="3" fontId="60" fillId="0" borderId="0" xfId="0" applyNumberFormat="1" applyFont="1" applyFill="1"/>
    <xf numFmtId="37" fontId="0" fillId="0" borderId="4" xfId="0" applyNumberFormat="1" applyFill="1" applyBorder="1"/>
    <xf numFmtId="37" fontId="0" fillId="0" borderId="0" xfId="0" applyNumberFormat="1" applyFill="1"/>
    <xf numFmtId="37" fontId="30" fillId="0" borderId="0" xfId="0" applyNumberFormat="1" applyFont="1" applyAlignment="1">
      <alignment vertical="top" wrapText="1"/>
    </xf>
    <xf numFmtId="37" fontId="9" fillId="0" borderId="0" xfId="0" applyNumberFormat="1" applyFont="1" applyBorder="1" applyAlignment="1">
      <alignment horizontal="left"/>
    </xf>
    <xf numFmtId="37" fontId="9" fillId="0" borderId="0" xfId="0" applyNumberFormat="1" applyFont="1" applyBorder="1"/>
    <xf numFmtId="39" fontId="9" fillId="0" borderId="0" xfId="0" applyNumberFormat="1" applyFont="1" applyBorder="1"/>
    <xf numFmtId="37" fontId="3" fillId="0" borderId="4" xfId="0" applyNumberFormat="1" applyFont="1" applyBorder="1" applyAlignment="1">
      <alignment horizontal="left"/>
    </xf>
    <xf numFmtId="37" fontId="0" fillId="0" borderId="4" xfId="0" applyNumberFormat="1" applyBorder="1"/>
    <xf numFmtId="37" fontId="93" fillId="0" borderId="0" xfId="0" applyNumberFormat="1" applyFont="1"/>
    <xf numFmtId="37" fontId="0" fillId="0" borderId="4" xfId="0" applyNumberFormat="1" applyBorder="1"/>
    <xf numFmtId="37" fontId="9" fillId="0" borderId="4" xfId="0" applyNumberFormat="1" applyFont="1" applyBorder="1" applyAlignment="1">
      <alignment horizontal="center" vertical="center" wrapText="1"/>
    </xf>
    <xf numFmtId="165" fontId="2" fillId="0" borderId="12" xfId="1" applyNumberFormat="1" applyFont="1" applyFill="1" applyBorder="1" applyAlignment="1" applyProtection="1">
      <alignment horizontal="right"/>
    </xf>
    <xf numFmtId="165" fontId="6" fillId="0" borderId="12" xfId="1" applyNumberFormat="1" applyFont="1" applyFill="1" applyBorder="1" applyProtection="1"/>
    <xf numFmtId="165" fontId="2" fillId="0" borderId="4" xfId="1" applyNumberFormat="1" applyFont="1" applyFill="1" applyBorder="1"/>
    <xf numFmtId="169" fontId="2" fillId="0" borderId="4" xfId="1" applyNumberFormat="1" applyFont="1" applyFill="1" applyBorder="1" applyAlignment="1" applyProtection="1">
      <alignment horizontal="right"/>
    </xf>
    <xf numFmtId="164" fontId="2" fillId="0" borderId="4" xfId="1" applyNumberFormat="1" applyFont="1" applyFill="1" applyBorder="1"/>
    <xf numFmtId="188" fontId="67" fillId="0" borderId="4" xfId="0" applyNumberFormat="1" applyFont="1" applyBorder="1" applyAlignment="1">
      <alignment vertical="top" wrapText="1" readingOrder="1"/>
    </xf>
    <xf numFmtId="165" fontId="2" fillId="0" borderId="4" xfId="1" applyNumberFormat="1" applyFont="1" applyFill="1" applyBorder="1" applyProtection="1"/>
    <xf numFmtId="37" fontId="9" fillId="0" borderId="15" xfId="0" applyNumberFormat="1" applyFont="1" applyBorder="1" applyAlignment="1">
      <alignment horizontal="center" vertical="center" wrapText="1"/>
    </xf>
    <xf numFmtId="167" fontId="18" fillId="0" borderId="72" xfId="1" applyNumberFormat="1" applyFont="1" applyBorder="1"/>
    <xf numFmtId="167" fontId="28" fillId="0" borderId="32" xfId="1" applyNumberFormat="1" applyFont="1" applyFill="1" applyBorder="1"/>
    <xf numFmtId="0" fontId="28" fillId="0" borderId="0" xfId="0" applyFont="1" applyBorder="1" applyAlignment="1">
      <alignment horizontal="center" vertical="center" wrapText="1"/>
    </xf>
    <xf numFmtId="2" fontId="115" fillId="0" borderId="0" xfId="1" applyNumberFormat="1" applyFont="1" applyFill="1" applyBorder="1" applyAlignment="1">
      <alignment vertical="center" wrapText="1"/>
    </xf>
    <xf numFmtId="43" fontId="140" fillId="0" borderId="0" xfId="1" applyFont="1" applyFill="1" applyBorder="1" applyAlignment="1">
      <alignment horizontal="left" vertical="top" wrapText="1"/>
    </xf>
    <xf numFmtId="177" fontId="25" fillId="0" borderId="0" xfId="0" applyNumberFormat="1" applyFont="1" applyBorder="1"/>
    <xf numFmtId="49" fontId="42" fillId="0" borderId="40" xfId="11" applyNumberFormat="1" applyBorder="1"/>
    <xf numFmtId="0" fontId="0" fillId="0" borderId="9" xfId="0" applyBorder="1"/>
    <xf numFmtId="3" fontId="18" fillId="0" borderId="9" xfId="0" applyNumberFormat="1" applyFont="1" applyBorder="1"/>
    <xf numFmtId="43" fontId="18" fillId="0" borderId="9" xfId="0" applyNumberFormat="1" applyFont="1" applyBorder="1"/>
    <xf numFmtId="0" fontId="18" fillId="0" borderId="9" xfId="0" applyFont="1" applyBorder="1"/>
    <xf numFmtId="0" fontId="18" fillId="0" borderId="9" xfId="0" applyFont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2" fontId="9" fillId="0" borderId="86" xfId="0" applyNumberFormat="1" applyFont="1" applyBorder="1" applyAlignment="1">
      <alignment horizontal="center" vertical="center"/>
    </xf>
    <xf numFmtId="43" fontId="18" fillId="0" borderId="4" xfId="0" applyNumberFormat="1" applyFont="1" applyFill="1" applyBorder="1" applyAlignment="1">
      <alignment horizontal="center" wrapText="1"/>
    </xf>
    <xf numFmtId="43" fontId="54" fillId="0" borderId="4" xfId="0" applyNumberFormat="1" applyFont="1" applyFill="1" applyBorder="1" applyAlignment="1">
      <alignment horizontal="center" wrapText="1"/>
    </xf>
    <xf numFmtId="4" fontId="28" fillId="0" borderId="0" xfId="0" applyNumberFormat="1" applyFont="1"/>
    <xf numFmtId="167" fontId="18" fillId="0" borderId="24" xfId="0" applyNumberFormat="1" applyFont="1" applyFill="1" applyBorder="1"/>
    <xf numFmtId="43" fontId="18" fillId="0" borderId="2" xfId="1" applyFont="1" applyFill="1" applyBorder="1"/>
    <xf numFmtId="43" fontId="18" fillId="0" borderId="29" xfId="1" applyFont="1" applyFill="1" applyBorder="1"/>
    <xf numFmtId="167" fontId="29" fillId="0" borderId="24" xfId="0" applyNumberFormat="1" applyFont="1" applyFill="1" applyBorder="1"/>
    <xf numFmtId="43" fontId="29" fillId="0" borderId="0" xfId="1" applyFont="1" applyFill="1"/>
    <xf numFmtId="43" fontId="29" fillId="0" borderId="30" xfId="0" applyNumberFormat="1" applyFont="1" applyFill="1" applyBorder="1"/>
    <xf numFmtId="43" fontId="29" fillId="0" borderId="50" xfId="0" applyNumberFormat="1" applyFont="1" applyFill="1" applyBorder="1"/>
    <xf numFmtId="43" fontId="29" fillId="0" borderId="0" xfId="0" applyNumberFormat="1" applyFont="1" applyFill="1"/>
    <xf numFmtId="43" fontId="29" fillId="0" borderId="26" xfId="0" applyNumberFormat="1" applyFont="1" applyFill="1" applyBorder="1"/>
    <xf numFmtId="43" fontId="18" fillId="0" borderId="5" xfId="0" applyNumberFormat="1" applyFont="1" applyFill="1" applyBorder="1" applyAlignment="1">
      <alignment horizontal="center" wrapText="1"/>
    </xf>
    <xf numFmtId="167" fontId="18" fillId="0" borderId="5" xfId="0" applyNumberFormat="1" applyFont="1" applyFill="1" applyBorder="1" applyAlignment="1">
      <alignment horizontal="center" wrapText="1"/>
    </xf>
    <xf numFmtId="43" fontId="6" fillId="0" borderId="0" xfId="1" applyNumberFormat="1" applyFont="1" applyFill="1" applyBorder="1" applyAlignment="1">
      <alignment horizontal="right" vertical="center" wrapText="1"/>
    </xf>
    <xf numFmtId="37" fontId="108" fillId="0" borderId="0" xfId="0" applyNumberFormat="1" applyFont="1"/>
    <xf numFmtId="0" fontId="14" fillId="0" borderId="20" xfId="0" applyFont="1" applyFill="1" applyBorder="1" applyAlignment="1">
      <alignment horizontal="center"/>
    </xf>
    <xf numFmtId="0" fontId="14" fillId="0" borderId="24" xfId="0" applyFont="1" applyFill="1" applyBorder="1"/>
    <xf numFmtId="0" fontId="14" fillId="0" borderId="0" xfId="0" applyFont="1" applyFill="1"/>
    <xf numFmtId="167" fontId="21" fillId="0" borderId="52" xfId="1" applyNumberFormat="1" applyFont="1" applyFill="1" applyBorder="1" applyAlignment="1">
      <alignment horizontal="right"/>
    </xf>
    <xf numFmtId="37" fontId="21" fillId="0" borderId="0" xfId="0" applyNumberFormat="1" applyFont="1" applyFill="1"/>
    <xf numFmtId="0" fontId="14" fillId="0" borderId="17" xfId="0" applyFont="1" applyFill="1" applyBorder="1"/>
    <xf numFmtId="43" fontId="14" fillId="0" borderId="0" xfId="0" applyNumberFormat="1" applyFont="1" applyFill="1" applyAlignment="1">
      <alignment horizontal="right"/>
    </xf>
    <xf numFmtId="37" fontId="21" fillId="0" borderId="26" xfId="0" applyNumberFormat="1" applyFont="1" applyFill="1" applyBorder="1"/>
    <xf numFmtId="43" fontId="14" fillId="0" borderId="0" xfId="0" applyNumberFormat="1" applyFont="1" applyFill="1"/>
    <xf numFmtId="43" fontId="14" fillId="0" borderId="17" xfId="0" applyNumberFormat="1" applyFont="1" applyFill="1" applyBorder="1"/>
    <xf numFmtId="0" fontId="21" fillId="0" borderId="17" xfId="0" applyFont="1" applyFill="1" applyBorder="1"/>
    <xf numFmtId="0" fontId="14" fillId="0" borderId="28" xfId="0" applyFont="1" applyFill="1" applyBorder="1"/>
    <xf numFmtId="0" fontId="21" fillId="0" borderId="0" xfId="0" applyFont="1" applyFill="1"/>
    <xf numFmtId="167" fontId="14" fillId="0" borderId="17" xfId="0" applyNumberFormat="1" applyFont="1" applyFill="1" applyBorder="1"/>
    <xf numFmtId="43" fontId="14" fillId="0" borderId="27" xfId="0" applyNumberFormat="1" applyFont="1" applyFill="1" applyBorder="1"/>
    <xf numFmtId="167" fontId="21" fillId="0" borderId="76" xfId="1" applyNumberFormat="1" applyFont="1" applyFill="1" applyBorder="1" applyAlignment="1">
      <alignment horizontal="center"/>
    </xf>
    <xf numFmtId="164" fontId="14" fillId="0" borderId="67" xfId="0" applyNumberFormat="1" applyFont="1" applyFill="1" applyBorder="1" applyAlignment="1">
      <alignment horizontal="right"/>
    </xf>
    <xf numFmtId="164" fontId="14" fillId="0" borderId="72" xfId="0" applyNumberFormat="1" applyFont="1" applyFill="1" applyBorder="1" applyAlignment="1">
      <alignment horizontal="right"/>
    </xf>
    <xf numFmtId="164" fontId="14" fillId="0" borderId="4" xfId="0" applyNumberFormat="1" applyFont="1" applyFill="1" applyBorder="1"/>
    <xf numFmtId="164" fontId="14" fillId="0" borderId="32" xfId="0" applyNumberFormat="1" applyFont="1" applyFill="1" applyBorder="1"/>
    <xf numFmtId="0" fontId="14" fillId="0" borderId="18" xfId="0" applyFont="1" applyFill="1" applyBorder="1" applyAlignment="1">
      <alignment horizontal="center"/>
    </xf>
    <xf numFmtId="0" fontId="14" fillId="0" borderId="18" xfId="0" applyFont="1" applyFill="1" applyBorder="1"/>
    <xf numFmtId="43" fontId="21" fillId="0" borderId="0" xfId="0" applyNumberFormat="1" applyFont="1" applyFill="1" applyAlignment="1">
      <alignment vertical="center" wrapText="1"/>
    </xf>
    <xf numFmtId="0" fontId="21" fillId="0" borderId="0" xfId="0" applyFont="1" applyFill="1" applyAlignment="1">
      <alignment vertical="center" wrapText="1"/>
    </xf>
    <xf numFmtId="0" fontId="21" fillId="0" borderId="31" xfId="0" applyFont="1" applyFill="1" applyBorder="1"/>
    <xf numFmtId="167" fontId="21" fillId="0" borderId="4" xfId="0" applyNumberFormat="1" applyFont="1" applyFill="1" applyBorder="1"/>
    <xf numFmtId="167" fontId="21" fillId="0" borderId="32" xfId="0" applyNumberFormat="1" applyFont="1" applyFill="1" applyBorder="1"/>
    <xf numFmtId="0" fontId="14" fillId="0" borderId="41" xfId="0" applyFont="1" applyFill="1" applyBorder="1" applyAlignment="1">
      <alignment horizontal="center"/>
    </xf>
    <xf numFmtId="0" fontId="14" fillId="0" borderId="19" xfId="0" applyFont="1" applyFill="1" applyBorder="1"/>
    <xf numFmtId="0" fontId="21" fillId="0" borderId="52" xfId="0" applyFont="1" applyFill="1" applyBorder="1"/>
    <xf numFmtId="1" fontId="61" fillId="0" borderId="16" xfId="0" applyNumberFormat="1" applyFont="1" applyFill="1" applyBorder="1" applyAlignment="1">
      <alignment horizontal="right"/>
    </xf>
    <xf numFmtId="37" fontId="61" fillId="0" borderId="16" xfId="0" applyNumberFormat="1" applyFont="1" applyFill="1" applyBorder="1"/>
    <xf numFmtId="0" fontId="14" fillId="0" borderId="24" xfId="0" applyFont="1" applyFill="1" applyBorder="1" applyAlignment="1">
      <alignment horizontal="center"/>
    </xf>
    <xf numFmtId="0" fontId="14" fillId="0" borderId="20" xfId="0" applyFont="1" applyFill="1" applyBorder="1"/>
    <xf numFmtId="0" fontId="21" fillId="0" borderId="0" xfId="0" applyFont="1" applyFill="1" applyBorder="1"/>
    <xf numFmtId="1" fontId="61" fillId="0" borderId="0" xfId="0" applyNumberFormat="1" applyFont="1" applyFill="1" applyBorder="1" applyAlignment="1">
      <alignment horizontal="right"/>
    </xf>
    <xf numFmtId="37" fontId="61" fillId="0" borderId="0" xfId="0" applyNumberFormat="1" applyFont="1" applyFill="1" applyBorder="1"/>
    <xf numFmtId="0" fontId="14" fillId="0" borderId="20" xfId="0" applyFont="1" applyFill="1" applyBorder="1" applyAlignment="1">
      <alignment vertical="center"/>
    </xf>
    <xf numFmtId="0" fontId="14" fillId="0" borderId="25" xfId="0" applyFont="1" applyFill="1" applyBorder="1"/>
    <xf numFmtId="0" fontId="14" fillId="0" borderId="18" xfId="0" applyFont="1" applyFill="1" applyBorder="1" applyAlignment="1">
      <alignment vertical="center"/>
    </xf>
    <xf numFmtId="2" fontId="14" fillId="0" borderId="0" xfId="0" applyNumberFormat="1" applyFont="1" applyFill="1"/>
    <xf numFmtId="0" fontId="14" fillId="0" borderId="20" xfId="0" applyFont="1" applyFill="1" applyBorder="1" applyAlignment="1">
      <alignment horizontal="left" indent="11"/>
    </xf>
    <xf numFmtId="0" fontId="14" fillId="0" borderId="24" xfId="0" applyFont="1" applyFill="1" applyBorder="1" applyAlignment="1">
      <alignment horizontal="left" indent="11"/>
    </xf>
    <xf numFmtId="43" fontId="14" fillId="38" borderId="16" xfId="0" applyNumberFormat="1" applyFont="1" applyFill="1" applyBorder="1" applyAlignment="1">
      <alignment horizontal="right"/>
    </xf>
    <xf numFmtId="43" fontId="14" fillId="38" borderId="53" xfId="0" applyNumberFormat="1" applyFont="1" applyFill="1" applyBorder="1" applyAlignment="1">
      <alignment horizontal="right"/>
    </xf>
    <xf numFmtId="167" fontId="14" fillId="0" borderId="12" xfId="1" applyNumberFormat="1" applyFont="1" applyBorder="1" applyAlignment="1">
      <alignment horizontal="right"/>
    </xf>
    <xf numFmtId="167" fontId="14" fillId="0" borderId="87" xfId="1" applyNumberFormat="1" applyFont="1" applyBorder="1" applyAlignment="1">
      <alignment horizontal="right"/>
    </xf>
    <xf numFmtId="39" fontId="14" fillId="0" borderId="20" xfId="0" applyNumberFormat="1" applyFont="1" applyFill="1" applyBorder="1"/>
    <xf numFmtId="37" fontId="3" fillId="0" borderId="4" xfId="0" applyNumberFormat="1" applyFont="1" applyBorder="1" applyAlignment="1">
      <alignment horizontal="left"/>
    </xf>
    <xf numFmtId="37" fontId="0" fillId="0" borderId="4" xfId="0" applyNumberFormat="1" applyBorder="1"/>
    <xf numFmtId="37" fontId="119" fillId="0" borderId="4" xfId="0" applyNumberFormat="1" applyFont="1" applyFill="1" applyBorder="1" applyAlignment="1">
      <alignment horizontal="center"/>
    </xf>
    <xf numFmtId="37" fontId="119" fillId="0" borderId="4" xfId="0" applyNumberFormat="1" applyFont="1" applyFill="1" applyBorder="1" applyAlignment="1">
      <alignment horizontal="left"/>
    </xf>
    <xf numFmtId="37" fontId="119" fillId="0" borderId="4" xfId="0" quotePrefix="1" applyNumberFormat="1" applyFont="1" applyFill="1" applyBorder="1" applyAlignment="1">
      <alignment horizontal="center"/>
    </xf>
    <xf numFmtId="0" fontId="119" fillId="0" borderId="4" xfId="0" quotePrefix="1" applyFont="1" applyFill="1" applyBorder="1" applyAlignment="1">
      <alignment horizontal="center"/>
    </xf>
    <xf numFmtId="37" fontId="2" fillId="0" borderId="4" xfId="0" quotePrefix="1" applyNumberFormat="1" applyFont="1" applyFill="1" applyBorder="1" applyAlignment="1">
      <alignment horizontal="center"/>
    </xf>
    <xf numFmtId="37" fontId="118" fillId="0" borderId="4" xfId="0" applyNumberFormat="1" applyFont="1" applyFill="1" applyBorder="1" applyAlignment="1">
      <alignment horizontal="center"/>
    </xf>
    <xf numFmtId="200" fontId="25" fillId="0" borderId="20" xfId="1" applyNumberFormat="1" applyFont="1" applyFill="1" applyBorder="1" applyAlignment="1">
      <alignment horizontal="right"/>
    </xf>
    <xf numFmtId="37" fontId="9" fillId="0" borderId="3" xfId="0" applyNumberFormat="1" applyFont="1" applyBorder="1" applyAlignment="1">
      <alignment horizontal="center"/>
    </xf>
    <xf numFmtId="4" fontId="29" fillId="0" borderId="0" xfId="0" applyNumberFormat="1" applyFont="1" applyFill="1"/>
    <xf numFmtId="164" fontId="28" fillId="0" borderId="0" xfId="0" applyNumberFormat="1" applyFont="1"/>
    <xf numFmtId="4" fontId="141" fillId="0" borderId="0" xfId="0" applyNumberFormat="1" applyFont="1"/>
    <xf numFmtId="0" fontId="28" fillId="0" borderId="0" xfId="0" applyFont="1"/>
    <xf numFmtId="43" fontId="18" fillId="0" borderId="0" xfId="0" applyNumberFormat="1" applyFont="1" applyFill="1" applyAlignment="1">
      <alignment horizontal="left" indent="2"/>
    </xf>
    <xf numFmtId="39" fontId="25" fillId="0" borderId="2" xfId="0" applyNumberFormat="1" applyFont="1" applyFill="1" applyBorder="1"/>
    <xf numFmtId="164" fontId="29" fillId="0" borderId="0" xfId="0" applyNumberFormat="1" applyFont="1" applyFill="1"/>
    <xf numFmtId="164" fontId="29" fillId="0" borderId="26" xfId="0" applyNumberFormat="1" applyFont="1" applyFill="1" applyBorder="1"/>
    <xf numFmtId="43" fontId="29" fillId="0" borderId="26" xfId="1" applyFont="1" applyFill="1" applyBorder="1"/>
    <xf numFmtId="37" fontId="0" fillId="0" borderId="2" xfId="0" applyNumberFormat="1" applyBorder="1" applyAlignment="1">
      <alignment horizontal="right"/>
    </xf>
    <xf numFmtId="37" fontId="0" fillId="0" borderId="3" xfId="0" applyNumberFormat="1" applyBorder="1" applyAlignment="1">
      <alignment horizontal="right"/>
    </xf>
    <xf numFmtId="37" fontId="0" fillId="0" borderId="4" xfId="0" applyNumberFormat="1" applyFont="1" applyBorder="1" applyAlignment="1">
      <alignment horizontal="center"/>
    </xf>
    <xf numFmtId="37" fontId="2" fillId="0" borderId="4" xfId="0" applyNumberFormat="1" applyFont="1" applyBorder="1" applyAlignment="1">
      <alignment horizontal="left" vertical="center" wrapText="1"/>
    </xf>
    <xf numFmtId="0" fontId="14" fillId="0" borderId="0" xfId="0" applyFont="1" applyBorder="1"/>
    <xf numFmtId="176" fontId="18" fillId="0" borderId="0" xfId="0" applyNumberFormat="1" applyFont="1"/>
    <xf numFmtId="37" fontId="0" fillId="0" borderId="21" xfId="0" applyNumberFormat="1" applyBorder="1" applyAlignment="1">
      <alignment wrapText="1"/>
    </xf>
    <xf numFmtId="176" fontId="0" fillId="0" borderId="21" xfId="0" applyNumberFormat="1" applyBorder="1" applyAlignment="1">
      <alignment wrapText="1"/>
    </xf>
    <xf numFmtId="173" fontId="0" fillId="0" borderId="0" xfId="0" applyNumberFormat="1"/>
    <xf numFmtId="37" fontId="3" fillId="0" borderId="4" xfId="0" applyNumberFormat="1" applyFont="1" applyBorder="1" applyAlignment="1">
      <alignment horizontal="left"/>
    </xf>
    <xf numFmtId="165" fontId="2" fillId="0" borderId="4" xfId="1" quotePrefix="1" applyNumberFormat="1" applyFont="1" applyBorder="1" applyAlignment="1">
      <alignment horizontal="center"/>
    </xf>
    <xf numFmtId="43" fontId="2" fillId="0" borderId="4" xfId="1" quotePrefix="1" applyFont="1" applyBorder="1" applyAlignment="1">
      <alignment horizontal="center"/>
    </xf>
    <xf numFmtId="43" fontId="2" fillId="2" borderId="4" xfId="1" quotePrefix="1" applyFont="1" applyFill="1" applyBorder="1" applyAlignment="1">
      <alignment horizontal="center"/>
    </xf>
    <xf numFmtId="43" fontId="2" fillId="0" borderId="4" xfId="1" quotePrefix="1" applyFont="1" applyFill="1" applyBorder="1" applyAlignment="1">
      <alignment horizontal="center"/>
    </xf>
    <xf numFmtId="165" fontId="2" fillId="0" borderId="4" xfId="1" applyNumberFormat="1" applyFont="1" applyFill="1" applyBorder="1" applyAlignment="1">
      <alignment horizontal="right"/>
    </xf>
    <xf numFmtId="165" fontId="2" fillId="0" borderId="4" xfId="1" applyNumberFormat="1" applyFont="1" applyBorder="1" applyAlignment="1">
      <alignment horizontal="right"/>
    </xf>
    <xf numFmtId="37" fontId="104" fillId="0" borderId="41" xfId="0" applyNumberFormat="1" applyFont="1" applyBorder="1" applyAlignment="1">
      <alignment horizontal="center" vertical="center"/>
    </xf>
    <xf numFmtId="37" fontId="104" fillId="0" borderId="30" xfId="0" applyNumberFormat="1" applyFont="1" applyBorder="1" applyAlignment="1">
      <alignment horizontal="center" vertical="center"/>
    </xf>
    <xf numFmtId="37" fontId="104" fillId="0" borderId="50" xfId="0" applyNumberFormat="1" applyFont="1" applyBorder="1" applyAlignment="1">
      <alignment horizontal="center" vertical="center"/>
    </xf>
    <xf numFmtId="165" fontId="2" fillId="0" borderId="4" xfId="4" quotePrefix="1" applyNumberFormat="1" applyFont="1" applyBorder="1" applyAlignment="1">
      <alignment horizontal="center"/>
    </xf>
    <xf numFmtId="37" fontId="3" fillId="0" borderId="4" xfId="0" applyNumberFormat="1" applyFont="1" applyBorder="1" applyAlignment="1">
      <alignment horizontal="left" vertical="center" wrapText="1"/>
    </xf>
    <xf numFmtId="37" fontId="115" fillId="0" borderId="0" xfId="0" applyNumberFormat="1" applyFont="1" applyBorder="1" applyAlignment="1">
      <alignment vertical="center" wrapText="1"/>
    </xf>
    <xf numFmtId="37" fontId="0" fillId="0" borderId="4" xfId="0" applyNumberFormat="1" applyBorder="1"/>
    <xf numFmtId="37" fontId="30" fillId="0" borderId="0" xfId="0" applyNumberFormat="1" applyFont="1" applyBorder="1" applyAlignment="1">
      <alignment vertical="center" wrapText="1"/>
    </xf>
    <xf numFmtId="201" fontId="0" fillId="0" borderId="0" xfId="0" applyNumberFormat="1"/>
    <xf numFmtId="167" fontId="25" fillId="0" borderId="32" xfId="0" applyNumberFormat="1" applyFont="1" applyBorder="1"/>
    <xf numFmtId="12" fontId="25" fillId="0" borderId="21" xfId="1" applyNumberFormat="1" applyFont="1" applyFill="1" applyBorder="1" applyAlignment="1">
      <alignment vertical="center"/>
    </xf>
    <xf numFmtId="37" fontId="9" fillId="0" borderId="4" xfId="0" applyNumberFormat="1" applyFont="1" applyBorder="1" applyAlignment="1">
      <alignment horizontal="center"/>
    </xf>
    <xf numFmtId="37" fontId="9" fillId="0" borderId="4" xfId="0" applyNumberFormat="1" applyFont="1" applyBorder="1" applyAlignment="1">
      <alignment horizontal="right"/>
    </xf>
    <xf numFmtId="37" fontId="3" fillId="0" borderId="4" xfId="0" applyNumberFormat="1" applyFont="1" applyBorder="1" applyAlignment="1">
      <alignment horizontal="left"/>
    </xf>
    <xf numFmtId="37" fontId="6" fillId="0" borderId="4" xfId="0" applyNumberFormat="1" applyFont="1" applyBorder="1" applyAlignment="1">
      <alignment horizontal="right"/>
    </xf>
    <xf numFmtId="37" fontId="5" fillId="0" borderId="10" xfId="0" applyNumberFormat="1" applyFont="1" applyBorder="1" applyAlignment="1">
      <alignment horizontal="center" vertical="center" wrapText="1"/>
    </xf>
    <xf numFmtId="37" fontId="5" fillId="0" borderId="3" xfId="0" applyNumberFormat="1" applyFont="1" applyBorder="1" applyAlignment="1">
      <alignment horizontal="center" vertical="center" wrapText="1"/>
    </xf>
    <xf numFmtId="37" fontId="5" fillId="0" borderId="13" xfId="0" applyNumberFormat="1" applyFont="1" applyBorder="1" applyAlignment="1">
      <alignment horizontal="center" vertical="center" wrapText="1"/>
    </xf>
    <xf numFmtId="37" fontId="5" fillId="0" borderId="11" xfId="0" applyNumberFormat="1" applyFont="1" applyBorder="1" applyAlignment="1">
      <alignment horizontal="center" vertical="center" wrapText="1"/>
    </xf>
    <xf numFmtId="37" fontId="5" fillId="0" borderId="2" xfId="0" applyNumberFormat="1" applyFont="1" applyBorder="1" applyAlignment="1">
      <alignment horizontal="center" vertical="center" wrapText="1"/>
    </xf>
    <xf numFmtId="37" fontId="5" fillId="0" borderId="14" xfId="0" applyNumberFormat="1" applyFont="1" applyBorder="1" applyAlignment="1">
      <alignment horizontal="center" vertical="center" wrapText="1"/>
    </xf>
    <xf numFmtId="37" fontId="0" fillId="0" borderId="4" xfId="0" applyNumberFormat="1" applyBorder="1"/>
    <xf numFmtId="37" fontId="0" fillId="0" borderId="12" xfId="0" applyNumberFormat="1" applyBorder="1"/>
    <xf numFmtId="37" fontId="0" fillId="0" borderId="1" xfId="0" applyNumberFormat="1" applyBorder="1"/>
    <xf numFmtId="37" fontId="0" fillId="0" borderId="15" xfId="0" applyNumberFormat="1" applyBorder="1"/>
    <xf numFmtId="37" fontId="5" fillId="0" borderId="0" xfId="0" applyNumberFormat="1" applyFont="1" applyAlignment="1">
      <alignment horizontal="center"/>
    </xf>
    <xf numFmtId="37" fontId="6" fillId="0" borderId="0" xfId="0" applyNumberFormat="1" applyFont="1" applyAlignment="1">
      <alignment horizontal="center"/>
    </xf>
    <xf numFmtId="37" fontId="6" fillId="0" borderId="2" xfId="0" applyNumberFormat="1" applyFont="1" applyBorder="1" applyAlignment="1">
      <alignment horizontal="center"/>
    </xf>
    <xf numFmtId="37" fontId="5" fillId="0" borderId="9" xfId="0" applyNumberFormat="1" applyFont="1" applyBorder="1" applyAlignment="1">
      <alignment horizontal="center" vertical="center"/>
    </xf>
    <xf numFmtId="37" fontId="5" fillId="0" borderId="5" xfId="0" applyNumberFormat="1" applyFont="1" applyBorder="1" applyAlignment="1">
      <alignment horizontal="center" vertical="center"/>
    </xf>
    <xf numFmtId="37" fontId="9" fillId="0" borderId="4" xfId="0" applyNumberFormat="1" applyFont="1" applyBorder="1" applyAlignment="1">
      <alignment horizontal="center" wrapText="1"/>
    </xf>
    <xf numFmtId="37" fontId="5" fillId="0" borderId="9" xfId="0" applyNumberFormat="1" applyFont="1" applyBorder="1" applyAlignment="1">
      <alignment horizontal="center" wrapText="1"/>
    </xf>
    <xf numFmtId="37" fontId="5" fillId="0" borderId="5" xfId="0" applyNumberFormat="1" applyFont="1" applyBorder="1" applyAlignment="1">
      <alignment horizontal="center" wrapText="1"/>
    </xf>
    <xf numFmtId="37" fontId="5" fillId="0" borderId="4" xfId="0" applyNumberFormat="1" applyFont="1" applyBorder="1" applyAlignment="1">
      <alignment horizontal="center" vertical="center"/>
    </xf>
    <xf numFmtId="37" fontId="9" fillId="0" borderId="12" xfId="0" applyNumberFormat="1" applyFont="1" applyBorder="1" applyAlignment="1">
      <alignment horizontal="center"/>
    </xf>
    <xf numFmtId="37" fontId="9" fillId="0" borderId="1" xfId="0" applyNumberFormat="1" applyFont="1" applyBorder="1" applyAlignment="1">
      <alignment horizontal="center"/>
    </xf>
    <xf numFmtId="37" fontId="9" fillId="0" borderId="15" xfId="0" applyNumberFormat="1" applyFont="1" applyBorder="1" applyAlignment="1">
      <alignment horizontal="center"/>
    </xf>
    <xf numFmtId="37" fontId="9" fillId="0" borderId="4" xfId="0" applyNumberFormat="1" applyFont="1" applyBorder="1" applyAlignment="1">
      <alignment horizontal="center" vertical="center" wrapText="1"/>
    </xf>
    <xf numFmtId="37" fontId="3" fillId="0" borderId="12" xfId="0" applyNumberFormat="1" applyFont="1" applyBorder="1" applyAlignment="1">
      <alignment horizontal="left"/>
    </xf>
    <xf numFmtId="37" fontId="3" fillId="0" borderId="1" xfId="0" applyNumberFormat="1" applyFont="1" applyBorder="1" applyAlignment="1">
      <alignment horizontal="left"/>
    </xf>
    <xf numFmtId="37" fontId="3" fillId="0" borderId="15" xfId="0" applyNumberFormat="1" applyFont="1" applyBorder="1" applyAlignment="1">
      <alignment horizontal="left"/>
    </xf>
    <xf numFmtId="37" fontId="5" fillId="0" borderId="10" xfId="0" applyNumberFormat="1" applyFont="1" applyBorder="1" applyAlignment="1">
      <alignment horizontal="center" vertical="center"/>
    </xf>
    <xf numFmtId="37" fontId="5" fillId="0" borderId="3" xfId="0" applyNumberFormat="1" applyFont="1" applyBorder="1" applyAlignment="1">
      <alignment horizontal="center" vertical="center"/>
    </xf>
    <xf numFmtId="37" fontId="5" fillId="0" borderId="13" xfId="0" applyNumberFormat="1" applyFont="1" applyBorder="1" applyAlignment="1">
      <alignment horizontal="center" vertical="center"/>
    </xf>
    <xf numFmtId="37" fontId="5" fillId="0" borderId="11" xfId="0" applyNumberFormat="1" applyFont="1" applyBorder="1" applyAlignment="1">
      <alignment horizontal="center" vertical="center"/>
    </xf>
    <xf numFmtId="37" fontId="5" fillId="0" borderId="2" xfId="0" applyNumberFormat="1" applyFont="1" applyBorder="1" applyAlignment="1">
      <alignment horizontal="center" vertical="center"/>
    </xf>
    <xf numFmtId="37" fontId="5" fillId="0" borderId="14" xfId="0" applyNumberFormat="1" applyFont="1" applyBorder="1" applyAlignment="1">
      <alignment horizontal="center" vertical="center"/>
    </xf>
    <xf numFmtId="37" fontId="6" fillId="0" borderId="12" xfId="0" applyNumberFormat="1" applyFont="1" applyBorder="1" applyAlignment="1">
      <alignment horizontal="right"/>
    </xf>
    <xf numFmtId="37" fontId="6" fillId="0" borderId="1" xfId="0" applyNumberFormat="1" applyFont="1" applyBorder="1" applyAlignment="1">
      <alignment horizontal="right"/>
    </xf>
    <xf numFmtId="37" fontId="6" fillId="0" borderId="15" xfId="0" applyNumberFormat="1" applyFont="1" applyBorder="1" applyAlignment="1">
      <alignment horizontal="right"/>
    </xf>
    <xf numFmtId="37" fontId="5" fillId="0" borderId="9" xfId="0" applyNumberFormat="1" applyFont="1" applyBorder="1" applyAlignment="1">
      <alignment horizontal="center" vertical="center" wrapText="1"/>
    </xf>
    <xf numFmtId="37" fontId="5" fillId="0" borderId="5" xfId="0" applyNumberFormat="1" applyFont="1" applyBorder="1" applyAlignment="1">
      <alignment horizontal="center" vertical="center" wrapText="1"/>
    </xf>
    <xf numFmtId="37" fontId="28" fillId="0" borderId="41" xfId="0" applyNumberFormat="1" applyFont="1" applyBorder="1" applyAlignment="1">
      <alignment horizontal="center" wrapText="1"/>
    </xf>
    <xf numFmtId="37" fontId="28" fillId="0" borderId="30" xfId="0" applyNumberFormat="1" applyFont="1" applyBorder="1" applyAlignment="1">
      <alignment horizontal="center" wrapText="1"/>
    </xf>
    <xf numFmtId="37" fontId="28" fillId="0" borderId="50" xfId="0" applyNumberFormat="1" applyFont="1" applyBorder="1" applyAlignment="1">
      <alignment horizontal="center" wrapText="1"/>
    </xf>
    <xf numFmtId="37" fontId="28" fillId="0" borderId="25" xfId="0" applyNumberFormat="1" applyFont="1" applyBorder="1" applyAlignment="1">
      <alignment horizontal="center" wrapText="1"/>
    </xf>
    <xf numFmtId="37" fontId="28" fillId="0" borderId="23" xfId="0" applyNumberFormat="1" applyFont="1" applyBorder="1" applyAlignment="1">
      <alignment horizontal="center" wrapText="1"/>
    </xf>
    <xf numFmtId="37" fontId="28" fillId="0" borderId="43" xfId="0" applyNumberFormat="1" applyFont="1" applyBorder="1" applyAlignment="1">
      <alignment horizontal="center" wrapText="1"/>
    </xf>
    <xf numFmtId="39" fontId="9" fillId="0" borderId="4" xfId="0" applyNumberFormat="1" applyFont="1" applyBorder="1" applyAlignment="1">
      <alignment horizontal="center" wrapText="1"/>
    </xf>
    <xf numFmtId="0" fontId="130" fillId="0" borderId="0" xfId="0" applyFont="1" applyAlignment="1">
      <alignment horizontal="left" vertical="top"/>
    </xf>
    <xf numFmtId="4" fontId="68" fillId="0" borderId="0" xfId="0" applyNumberFormat="1" applyFont="1" applyAlignment="1">
      <alignment horizontal="right" vertical="top" wrapText="1"/>
    </xf>
    <xf numFmtId="0" fontId="68" fillId="0" borderId="0" xfId="0" applyFont="1" applyAlignment="1">
      <alignment horizontal="left" vertical="top"/>
    </xf>
    <xf numFmtId="0" fontId="68" fillId="0" borderId="0" xfId="0" applyFont="1" applyAlignment="1">
      <alignment horizontal="right" vertical="top" wrapText="1"/>
    </xf>
    <xf numFmtId="39" fontId="71" fillId="0" borderId="21" xfId="0" applyNumberFormat="1" applyFont="1" applyBorder="1" applyAlignment="1">
      <alignment horizontal="center"/>
    </xf>
    <xf numFmtId="39" fontId="71" fillId="0" borderId="0" xfId="0" applyNumberFormat="1" applyFont="1" applyAlignment="1">
      <alignment horizontal="center"/>
    </xf>
    <xf numFmtId="39" fontId="9" fillId="0" borderId="4" xfId="0" applyNumberFormat="1" applyFont="1" applyBorder="1" applyAlignment="1">
      <alignment horizontal="center" vertical="top" wrapText="1"/>
    </xf>
    <xf numFmtId="37" fontId="17" fillId="0" borderId="0" xfId="0" applyNumberFormat="1" applyFont="1" applyAlignment="1">
      <alignment horizontal="center"/>
    </xf>
    <xf numFmtId="37" fontId="115" fillId="0" borderId="41" xfId="0" applyNumberFormat="1" applyFont="1" applyBorder="1" applyAlignment="1">
      <alignment horizontal="center" vertical="center" wrapText="1"/>
    </xf>
    <xf numFmtId="37" fontId="115" fillId="0" borderId="30" xfId="0" applyNumberFormat="1" applyFont="1" applyBorder="1" applyAlignment="1">
      <alignment horizontal="center" vertical="center" wrapText="1"/>
    </xf>
    <xf numFmtId="37" fontId="115" fillId="0" borderId="50" xfId="0" applyNumberFormat="1" applyFont="1" applyBorder="1" applyAlignment="1">
      <alignment horizontal="center" vertical="center" wrapText="1"/>
    </xf>
    <xf numFmtId="37" fontId="115" fillId="0" borderId="25" xfId="0" applyNumberFormat="1" applyFont="1" applyBorder="1" applyAlignment="1">
      <alignment horizontal="center" vertical="center" wrapText="1"/>
    </xf>
    <xf numFmtId="37" fontId="115" fillId="0" borderId="23" xfId="0" applyNumberFormat="1" applyFont="1" applyBorder="1" applyAlignment="1">
      <alignment horizontal="center" vertical="center" wrapText="1"/>
    </xf>
    <xf numFmtId="37" fontId="115" fillId="0" borderId="43" xfId="0" applyNumberFormat="1" applyFont="1" applyBorder="1" applyAlignment="1">
      <alignment horizontal="center" vertical="center" wrapText="1"/>
    </xf>
    <xf numFmtId="37" fontId="30" fillId="0" borderId="41" xfId="0" applyNumberFormat="1" applyFont="1" applyBorder="1" applyAlignment="1">
      <alignment horizontal="center" wrapText="1"/>
    </xf>
    <xf numFmtId="37" fontId="30" fillId="0" borderId="30" xfId="0" applyNumberFormat="1" applyFont="1" applyBorder="1" applyAlignment="1">
      <alignment horizontal="center" wrapText="1"/>
    </xf>
    <xf numFmtId="37" fontId="30" fillId="0" borderId="50" xfId="0" applyNumberFormat="1" applyFont="1" applyBorder="1" applyAlignment="1">
      <alignment horizontal="center" wrapText="1"/>
    </xf>
    <xf numFmtId="37" fontId="30" fillId="0" borderId="25" xfId="0" applyNumberFormat="1" applyFont="1" applyBorder="1" applyAlignment="1">
      <alignment horizontal="center" wrapText="1"/>
    </xf>
    <xf numFmtId="37" fontId="30" fillId="0" borderId="23" xfId="0" applyNumberFormat="1" applyFont="1" applyBorder="1" applyAlignment="1">
      <alignment horizontal="center" wrapText="1"/>
    </xf>
    <xf numFmtId="37" fontId="30" fillId="0" borderId="43" xfId="0" applyNumberFormat="1" applyFont="1" applyBorder="1" applyAlignment="1">
      <alignment horizontal="center" wrapText="1"/>
    </xf>
    <xf numFmtId="0" fontId="68" fillId="0" borderId="0" xfId="0" applyFont="1" applyAlignment="1">
      <alignment horizontal="left" vertical="top" wrapText="1"/>
    </xf>
    <xf numFmtId="4" fontId="68" fillId="0" borderId="0" xfId="0" applyNumberFormat="1" applyFont="1" applyAlignment="1">
      <alignment horizontal="right" vertical="top"/>
    </xf>
    <xf numFmtId="37" fontId="9" fillId="0" borderId="2" xfId="0" applyNumberFormat="1" applyFont="1" applyBorder="1" applyAlignment="1">
      <alignment horizontal="left"/>
    </xf>
    <xf numFmtId="37" fontId="9" fillId="0" borderId="27" xfId="0" applyNumberFormat="1" applyFont="1" applyBorder="1" applyAlignment="1">
      <alignment horizontal="center"/>
    </xf>
    <xf numFmtId="37" fontId="9" fillId="0" borderId="22" xfId="0" applyNumberFormat="1" applyFont="1" applyBorder="1" applyAlignment="1">
      <alignment horizontal="center"/>
    </xf>
    <xf numFmtId="37" fontId="9" fillId="0" borderId="28" xfId="0" applyNumberFormat="1" applyFont="1" applyBorder="1" applyAlignment="1">
      <alignment horizontal="center"/>
    </xf>
    <xf numFmtId="37" fontId="119" fillId="0" borderId="4" xfId="0" applyNumberFormat="1" applyFont="1" applyBorder="1" applyAlignment="1">
      <alignment horizontal="left"/>
    </xf>
    <xf numFmtId="37" fontId="8" fillId="0" borderId="9" xfId="0" applyNumberFormat="1" applyFont="1" applyBorder="1" applyAlignment="1">
      <alignment horizontal="center" wrapText="1"/>
    </xf>
    <xf numFmtId="37" fontId="8" fillId="0" borderId="5" xfId="0" applyNumberFormat="1" applyFont="1" applyBorder="1" applyAlignment="1">
      <alignment horizontal="center" wrapText="1"/>
    </xf>
    <xf numFmtId="0" fontId="30" fillId="0" borderId="41" xfId="0" applyFont="1" applyBorder="1" applyAlignment="1">
      <alignment horizontal="center" vertical="center" wrapText="1"/>
    </xf>
    <xf numFmtId="0" fontId="30" fillId="0" borderId="30" xfId="0" applyFont="1" applyBorder="1" applyAlignment="1">
      <alignment horizontal="center" vertical="center" wrapText="1"/>
    </xf>
    <xf numFmtId="0" fontId="30" fillId="0" borderId="50" xfId="0" applyFont="1" applyBorder="1" applyAlignment="1">
      <alignment horizontal="center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37" fontId="29" fillId="0" borderId="4" xfId="0" applyNumberFormat="1" applyFont="1" applyBorder="1" applyAlignment="1">
      <alignment horizontal="center" wrapText="1"/>
    </xf>
    <xf numFmtId="39" fontId="29" fillId="0" borderId="4" xfId="0" applyNumberFormat="1" applyFont="1" applyBorder="1" applyAlignment="1">
      <alignment horizontal="center" wrapText="1"/>
    </xf>
    <xf numFmtId="37" fontId="8" fillId="0" borderId="10" xfId="0" applyNumberFormat="1" applyFont="1" applyBorder="1" applyAlignment="1">
      <alignment horizontal="center" vertical="center"/>
    </xf>
    <xf numFmtId="37" fontId="8" fillId="0" borderId="3" xfId="0" applyNumberFormat="1" applyFont="1" applyBorder="1" applyAlignment="1">
      <alignment horizontal="center" vertical="center"/>
    </xf>
    <xf numFmtId="37" fontId="8" fillId="0" borderId="13" xfId="0" applyNumberFormat="1" applyFont="1" applyBorder="1" applyAlignment="1">
      <alignment horizontal="center" vertical="center"/>
    </xf>
    <xf numFmtId="37" fontId="8" fillId="0" borderId="11" xfId="0" applyNumberFormat="1" applyFont="1" applyBorder="1" applyAlignment="1">
      <alignment horizontal="center" vertical="center"/>
    </xf>
    <xf numFmtId="37" fontId="8" fillId="0" borderId="2" xfId="0" applyNumberFormat="1" applyFont="1" applyBorder="1" applyAlignment="1">
      <alignment horizontal="center" vertical="center"/>
    </xf>
    <xf numFmtId="37" fontId="8" fillId="0" borderId="14" xfId="0" applyNumberFormat="1" applyFont="1" applyBorder="1" applyAlignment="1">
      <alignment horizontal="center" vertical="center"/>
    </xf>
    <xf numFmtId="37" fontId="8" fillId="0" borderId="4" xfId="0" applyNumberFormat="1" applyFont="1" applyBorder="1" applyAlignment="1">
      <alignment horizontal="center" vertical="center"/>
    </xf>
    <xf numFmtId="37" fontId="8" fillId="0" borderId="9" xfId="0" applyNumberFormat="1" applyFont="1" applyBorder="1" applyAlignment="1">
      <alignment horizontal="center" vertical="center"/>
    </xf>
    <xf numFmtId="37" fontId="8" fillId="0" borderId="5" xfId="0" applyNumberFormat="1" applyFont="1" applyBorder="1" applyAlignment="1">
      <alignment horizontal="center" vertical="center"/>
    </xf>
    <xf numFmtId="37" fontId="119" fillId="0" borderId="12" xfId="0" applyNumberFormat="1" applyFont="1" applyBorder="1" applyAlignment="1">
      <alignment horizontal="left"/>
    </xf>
    <xf numFmtId="37" fontId="119" fillId="0" borderId="1" xfId="0" applyNumberFormat="1" applyFont="1" applyBorder="1" applyAlignment="1">
      <alignment horizontal="left"/>
    </xf>
    <xf numFmtId="37" fontId="119" fillId="0" borderId="15" xfId="0" applyNumberFormat="1" applyFont="1" applyBorder="1" applyAlignment="1">
      <alignment horizontal="left"/>
    </xf>
    <xf numFmtId="37" fontId="118" fillId="0" borderId="12" xfId="0" applyNumberFormat="1" applyFont="1" applyBorder="1" applyAlignment="1">
      <alignment horizontal="right"/>
    </xf>
    <xf numFmtId="37" fontId="118" fillId="0" borderId="1" xfId="0" applyNumberFormat="1" applyFont="1" applyBorder="1" applyAlignment="1">
      <alignment horizontal="right"/>
    </xf>
    <xf numFmtId="37" fontId="118" fillId="0" borderId="15" xfId="0" applyNumberFormat="1" applyFont="1" applyBorder="1" applyAlignment="1">
      <alignment horizontal="right"/>
    </xf>
    <xf numFmtId="37" fontId="8" fillId="0" borderId="10" xfId="0" applyNumberFormat="1" applyFont="1" applyBorder="1" applyAlignment="1">
      <alignment horizontal="center" vertical="center" wrapText="1"/>
    </xf>
    <xf numFmtId="37" fontId="8" fillId="0" borderId="3" xfId="0" applyNumberFormat="1" applyFont="1" applyBorder="1" applyAlignment="1">
      <alignment horizontal="center" vertical="center" wrapText="1"/>
    </xf>
    <xf numFmtId="37" fontId="8" fillId="0" borderId="13" xfId="0" applyNumberFormat="1" applyFont="1" applyBorder="1" applyAlignment="1">
      <alignment horizontal="center" vertical="center" wrapText="1"/>
    </xf>
    <xf numFmtId="37" fontId="8" fillId="0" borderId="11" xfId="0" applyNumberFormat="1" applyFont="1" applyBorder="1" applyAlignment="1">
      <alignment horizontal="center" vertical="center" wrapText="1"/>
    </xf>
    <xf numFmtId="37" fontId="8" fillId="0" borderId="2" xfId="0" applyNumberFormat="1" applyFont="1" applyBorder="1" applyAlignment="1">
      <alignment horizontal="center" vertical="center" wrapText="1"/>
    </xf>
    <xf numFmtId="37" fontId="8" fillId="0" borderId="14" xfId="0" applyNumberFormat="1" applyFont="1" applyBorder="1" applyAlignment="1">
      <alignment horizontal="center" vertical="center" wrapText="1"/>
    </xf>
    <xf numFmtId="37" fontId="9" fillId="0" borderId="9" xfId="0" applyNumberFormat="1" applyFont="1" applyBorder="1" applyAlignment="1">
      <alignment horizontal="center" wrapText="1"/>
    </xf>
    <xf numFmtId="37" fontId="9" fillId="0" borderId="5" xfId="0" applyNumberFormat="1" applyFont="1" applyBorder="1" applyAlignment="1">
      <alignment horizontal="center" wrapText="1"/>
    </xf>
    <xf numFmtId="39" fontId="9" fillId="0" borderId="9" xfId="0" applyNumberFormat="1" applyFont="1" applyBorder="1" applyAlignment="1">
      <alignment horizontal="center" wrapText="1"/>
    </xf>
    <xf numFmtId="39" fontId="9" fillId="0" borderId="5" xfId="0" applyNumberFormat="1" applyFont="1" applyBorder="1" applyAlignment="1">
      <alignment horizontal="center" wrapText="1"/>
    </xf>
    <xf numFmtId="39" fontId="0" fillId="0" borderId="9" xfId="0" applyNumberFormat="1" applyBorder="1" applyAlignment="1">
      <alignment horizontal="center" vertical="top" wrapText="1"/>
    </xf>
    <xf numFmtId="39" fontId="0" fillId="0" borderId="5" xfId="0" applyNumberFormat="1" applyBorder="1" applyAlignment="1">
      <alignment horizontal="center" vertical="top" wrapText="1"/>
    </xf>
    <xf numFmtId="37" fontId="0" fillId="0" borderId="9" xfId="0" applyNumberFormat="1" applyBorder="1" applyAlignment="1">
      <alignment horizontal="center" vertical="top" wrapText="1"/>
    </xf>
    <xf numFmtId="37" fontId="0" fillId="0" borderId="5" xfId="0" applyNumberFormat="1" applyBorder="1" applyAlignment="1">
      <alignment horizontal="center" vertical="top" wrapText="1"/>
    </xf>
    <xf numFmtId="37" fontId="30" fillId="0" borderId="76" xfId="0" applyNumberFormat="1" applyFont="1" applyBorder="1" applyAlignment="1">
      <alignment horizontal="center" vertical="top" wrapText="1"/>
    </xf>
    <xf numFmtId="37" fontId="30" fillId="0" borderId="67" xfId="0" applyNumberFormat="1" applyFont="1" applyBorder="1" applyAlignment="1">
      <alignment horizontal="center" vertical="top" wrapText="1"/>
    </xf>
    <xf numFmtId="37" fontId="30" fillId="0" borderId="72" xfId="0" applyNumberFormat="1" applyFont="1" applyBorder="1" applyAlignment="1">
      <alignment horizontal="center" vertical="top" wrapText="1"/>
    </xf>
    <xf numFmtId="37" fontId="30" fillId="0" borderId="52" xfId="0" applyNumberFormat="1" applyFont="1" applyBorder="1" applyAlignment="1">
      <alignment horizontal="center" vertical="top" wrapText="1"/>
    </xf>
    <xf numFmtId="37" fontId="30" fillId="0" borderId="16" xfId="0" applyNumberFormat="1" applyFont="1" applyBorder="1" applyAlignment="1">
      <alignment horizontal="center" vertical="top" wrapText="1"/>
    </xf>
    <xf numFmtId="37" fontId="30" fillId="0" borderId="53" xfId="0" applyNumberFormat="1" applyFont="1" applyBorder="1" applyAlignment="1">
      <alignment horizontal="center" vertical="top" wrapText="1"/>
    </xf>
    <xf numFmtId="37" fontId="26" fillId="0" borderId="12" xfId="0" applyNumberFormat="1" applyFont="1" applyBorder="1" applyAlignment="1">
      <alignment horizontal="center"/>
    </xf>
    <xf numFmtId="37" fontId="26" fillId="0" borderId="1" xfId="0" applyNumberFormat="1" applyFont="1" applyBorder="1" applyAlignment="1">
      <alignment horizontal="center"/>
    </xf>
    <xf numFmtId="37" fontId="26" fillId="0" borderId="15" xfId="0" applyNumberFormat="1" applyFont="1" applyBorder="1" applyAlignment="1">
      <alignment horizontal="center"/>
    </xf>
    <xf numFmtId="37" fontId="28" fillId="0" borderId="0" xfId="0" applyNumberFormat="1" applyFont="1" applyBorder="1" applyAlignment="1">
      <alignment horizontal="center" vertical="center" wrapText="1"/>
    </xf>
    <xf numFmtId="0" fontId="134" fillId="0" borderId="0" xfId="0" applyFont="1" applyAlignment="1">
      <alignment horizontal="left" wrapText="1"/>
    </xf>
    <xf numFmtId="37" fontId="9" fillId="0" borderId="0" xfId="0" applyNumberFormat="1" applyFont="1" applyAlignment="1">
      <alignment horizontal="center"/>
    </xf>
    <xf numFmtId="37" fontId="28" fillId="0" borderId="0" xfId="0" applyNumberFormat="1" applyFont="1" applyAlignment="1">
      <alignment horizontal="center" vertical="center" wrapText="1"/>
    </xf>
    <xf numFmtId="37" fontId="30" fillId="0" borderId="41" xfId="0" applyNumberFormat="1" applyFont="1" applyBorder="1" applyAlignment="1">
      <alignment horizontal="center" vertical="center" wrapText="1"/>
    </xf>
    <xf numFmtId="37" fontId="30" fillId="0" borderId="30" xfId="0" applyNumberFormat="1" applyFont="1" applyBorder="1" applyAlignment="1">
      <alignment horizontal="center" vertical="center" wrapText="1"/>
    </xf>
    <xf numFmtId="37" fontId="30" fillId="0" borderId="50" xfId="0" applyNumberFormat="1" applyFont="1" applyBorder="1" applyAlignment="1">
      <alignment horizontal="center" vertical="center" wrapText="1"/>
    </xf>
    <xf numFmtId="37" fontId="30" fillId="0" borderId="25" xfId="0" applyNumberFormat="1" applyFont="1" applyBorder="1" applyAlignment="1">
      <alignment horizontal="center" vertical="center" wrapText="1"/>
    </xf>
    <xf numFmtId="37" fontId="30" fillId="0" borderId="23" xfId="0" applyNumberFormat="1" applyFont="1" applyBorder="1" applyAlignment="1">
      <alignment horizontal="center" vertical="center" wrapText="1"/>
    </xf>
    <xf numFmtId="37" fontId="30" fillId="0" borderId="43" xfId="0" applyNumberFormat="1" applyFont="1" applyBorder="1" applyAlignment="1">
      <alignment horizontal="center" vertical="center" wrapText="1"/>
    </xf>
    <xf numFmtId="37" fontId="9" fillId="0" borderId="3" xfId="0" applyNumberFormat="1" applyFont="1" applyBorder="1" applyAlignment="1">
      <alignment horizontal="center"/>
    </xf>
    <xf numFmtId="37" fontId="5" fillId="0" borderId="9" xfId="0" applyNumberFormat="1" applyFont="1" applyBorder="1" applyAlignment="1">
      <alignment vertical="center"/>
    </xf>
    <xf numFmtId="37" fontId="5" fillId="0" borderId="5" xfId="0" applyNumberFormat="1" applyFont="1" applyBorder="1" applyAlignment="1">
      <alignment vertical="center"/>
    </xf>
    <xf numFmtId="37" fontId="8" fillId="0" borderId="9" xfId="0" applyNumberFormat="1" applyFont="1" applyBorder="1" applyAlignment="1">
      <alignment vertical="center"/>
    </xf>
    <xf numFmtId="37" fontId="8" fillId="0" borderId="5" xfId="0" applyNumberFormat="1" applyFont="1" applyBorder="1" applyAlignment="1">
      <alignment vertical="center"/>
    </xf>
    <xf numFmtId="165" fontId="5" fillId="0" borderId="9" xfId="1" applyNumberFormat="1" applyFont="1" applyFill="1" applyBorder="1" applyAlignment="1" applyProtection="1">
      <alignment horizontal="center" vertical="center"/>
    </xf>
    <xf numFmtId="165" fontId="5" fillId="0" borderId="5" xfId="1" applyNumberFormat="1" applyFont="1" applyFill="1" applyBorder="1" applyAlignment="1" applyProtection="1">
      <alignment horizontal="center" vertical="center"/>
    </xf>
    <xf numFmtId="37" fontId="7" fillId="0" borderId="12" xfId="0" applyNumberFormat="1" applyFont="1" applyBorder="1" applyAlignment="1">
      <alignment horizontal="left"/>
    </xf>
    <xf numFmtId="37" fontId="7" fillId="0" borderId="1" xfId="0" applyNumberFormat="1" applyFont="1" applyBorder="1" applyAlignment="1">
      <alignment horizontal="left"/>
    </xf>
    <xf numFmtId="37" fontId="7" fillId="0" borderId="15" xfId="0" applyNumberFormat="1" applyFont="1" applyBorder="1" applyAlignment="1">
      <alignment horizontal="left"/>
    </xf>
    <xf numFmtId="39" fontId="9" fillId="0" borderId="4" xfId="0" applyNumberFormat="1" applyFont="1" applyBorder="1" applyAlignment="1">
      <alignment horizontal="center" vertical="center" wrapText="1"/>
    </xf>
    <xf numFmtId="165" fontId="13" fillId="0" borderId="0" xfId="1" applyNumberFormat="1" applyFont="1" applyFill="1" applyAlignment="1" applyProtection="1">
      <alignment horizontal="center" vertical="center"/>
    </xf>
    <xf numFmtId="165" fontId="6" fillId="0" borderId="0" xfId="1" applyNumberFormat="1" applyFont="1" applyFill="1" applyAlignment="1" applyProtection="1">
      <alignment horizontal="center"/>
    </xf>
    <xf numFmtId="37" fontId="5" fillId="0" borderId="10" xfId="0" applyNumberFormat="1" applyFont="1" applyBorder="1" applyAlignment="1">
      <alignment horizontal="center" wrapText="1"/>
    </xf>
    <xf numFmtId="37" fontId="5" fillId="0" borderId="11" xfId="0" applyNumberFormat="1" applyFont="1" applyBorder="1" applyAlignment="1">
      <alignment horizontal="center" wrapText="1"/>
    </xf>
    <xf numFmtId="37" fontId="30" fillId="0" borderId="4" xfId="0" applyNumberFormat="1" applyFont="1" applyBorder="1" applyAlignment="1">
      <alignment horizontal="left" vertical="center" wrapText="1"/>
    </xf>
    <xf numFmtId="37" fontId="5" fillId="0" borderId="4" xfId="0" applyNumberFormat="1" applyFont="1" applyBorder="1" applyAlignment="1">
      <alignment horizontal="center" wrapText="1"/>
    </xf>
    <xf numFmtId="37" fontId="5" fillId="0" borderId="4" xfId="0" applyNumberFormat="1" applyFont="1" applyBorder="1" applyAlignment="1">
      <alignment horizontal="left" wrapText="1"/>
    </xf>
    <xf numFmtId="37" fontId="9" fillId="0" borderId="25" xfId="0" applyNumberFormat="1" applyFont="1" applyBorder="1" applyAlignment="1">
      <alignment horizontal="center"/>
    </xf>
    <xf numFmtId="37" fontId="9" fillId="0" borderId="43" xfId="0" applyNumberFormat="1" applyFont="1" applyBorder="1" applyAlignment="1">
      <alignment horizontal="center"/>
    </xf>
    <xf numFmtId="37" fontId="3" fillId="0" borderId="14" xfId="0" applyNumberFormat="1" applyFont="1" applyBorder="1" applyAlignment="1">
      <alignment horizontal="left"/>
    </xf>
    <xf numFmtId="37" fontId="34" fillId="0" borderId="4" xfId="0" applyNumberFormat="1" applyFont="1" applyBorder="1" applyAlignment="1">
      <alignment horizontal="center" vertical="center" wrapText="1"/>
    </xf>
    <xf numFmtId="37" fontId="9" fillId="0" borderId="2" xfId="0" applyNumberFormat="1" applyFont="1" applyBorder="1" applyAlignment="1">
      <alignment horizontal="center"/>
    </xf>
    <xf numFmtId="37" fontId="116" fillId="0" borderId="0" xfId="0" applyNumberFormat="1" applyFont="1" applyAlignment="1">
      <alignment horizontal="left"/>
    </xf>
    <xf numFmtId="0" fontId="30" fillId="0" borderId="0" xfId="0" applyFont="1" applyAlignment="1">
      <alignment horizontal="center"/>
    </xf>
    <xf numFmtId="37" fontId="19" fillId="0" borderId="0" xfId="0" applyNumberFormat="1" applyFont="1" applyAlignment="1">
      <alignment horizontal="left"/>
    </xf>
    <xf numFmtId="37" fontId="115" fillId="0" borderId="0" xfId="0" applyNumberFormat="1" applyFont="1" applyAlignment="1">
      <alignment horizontal="left"/>
    </xf>
    <xf numFmtId="37" fontId="62" fillId="0" borderId="46" xfId="0" applyNumberFormat="1" applyFont="1" applyBorder="1" applyAlignment="1">
      <alignment horizontal="left"/>
    </xf>
    <xf numFmtId="37" fontId="62" fillId="0" borderId="47" xfId="0" applyNumberFormat="1" applyFont="1" applyBorder="1" applyAlignment="1">
      <alignment horizontal="left"/>
    </xf>
    <xf numFmtId="37" fontId="32" fillId="0" borderId="27" xfId="0" applyNumberFormat="1" applyFont="1" applyBorder="1" applyAlignment="1">
      <alignment horizontal="center"/>
    </xf>
    <xf numFmtId="37" fontId="32" fillId="0" borderId="22" xfId="0" applyNumberFormat="1" applyFont="1" applyBorder="1" applyAlignment="1">
      <alignment horizontal="center"/>
    </xf>
    <xf numFmtId="37" fontId="32" fillId="0" borderId="28" xfId="0" applyNumberFormat="1" applyFont="1" applyBorder="1" applyAlignment="1">
      <alignment horizontal="center"/>
    </xf>
    <xf numFmtId="37" fontId="25" fillId="0" borderId="31" xfId="0" applyNumberFormat="1" applyFont="1" applyBorder="1" applyAlignment="1">
      <alignment horizontal="left"/>
    </xf>
    <xf numFmtId="37" fontId="25" fillId="0" borderId="12" xfId="0" applyNumberFormat="1" applyFont="1" applyBorder="1" applyAlignment="1">
      <alignment horizontal="left"/>
    </xf>
    <xf numFmtId="37" fontId="25" fillId="0" borderId="69" xfId="0" applyNumberFormat="1" applyFont="1" applyBorder="1" applyAlignment="1">
      <alignment horizontal="left"/>
    </xf>
    <xf numFmtId="37" fontId="25" fillId="0" borderId="15" xfId="0" applyNumberFormat="1" applyFont="1" applyBorder="1" applyAlignment="1">
      <alignment horizontal="left"/>
    </xf>
    <xf numFmtId="37" fontId="43" fillId="0" borderId="73" xfId="0" applyNumberFormat="1" applyFont="1" applyBorder="1" applyAlignment="1">
      <alignment horizontal="right"/>
    </xf>
    <xf numFmtId="37" fontId="43" fillId="0" borderId="74" xfId="0" applyNumberFormat="1" applyFont="1" applyBorder="1" applyAlignment="1">
      <alignment horizontal="right"/>
    </xf>
    <xf numFmtId="37" fontId="5" fillId="0" borderId="33" xfId="0" applyNumberFormat="1" applyFont="1" applyBorder="1" applyAlignment="1">
      <alignment horizontal="center" vertical="center" wrapText="1"/>
    </xf>
    <xf numFmtId="37" fontId="5" fillId="0" borderId="31" xfId="0" applyNumberFormat="1" applyFont="1" applyBorder="1" applyAlignment="1">
      <alignment horizontal="center" vertical="center" wrapText="1"/>
    </xf>
    <xf numFmtId="37" fontId="5" fillId="0" borderId="4" xfId="0" applyNumberFormat="1" applyFont="1" applyBorder="1" applyAlignment="1">
      <alignment horizontal="center" vertical="center" wrapText="1"/>
    </xf>
    <xf numFmtId="37" fontId="5" fillId="0" borderId="36" xfId="0" applyNumberFormat="1" applyFont="1" applyBorder="1" applyAlignment="1">
      <alignment horizontal="center" vertical="center"/>
    </xf>
    <xf numFmtId="37" fontId="5" fillId="0" borderId="45" xfId="0" applyNumberFormat="1" applyFont="1" applyBorder="1" applyAlignment="1">
      <alignment horizontal="center" vertical="center"/>
    </xf>
    <xf numFmtId="37" fontId="15" fillId="0" borderId="49" xfId="0" applyNumberFormat="1" applyFont="1" applyBorder="1" applyAlignment="1">
      <alignment horizontal="left"/>
    </xf>
    <xf numFmtId="37" fontId="15" fillId="0" borderId="63" xfId="0" applyNumberFormat="1" applyFont="1" applyBorder="1" applyAlignment="1">
      <alignment horizontal="left"/>
    </xf>
    <xf numFmtId="37" fontId="6" fillId="0" borderId="54" xfId="0" applyNumberFormat="1" applyFont="1" applyBorder="1" applyAlignment="1">
      <alignment horizontal="right"/>
    </xf>
    <xf numFmtId="37" fontId="6" fillId="0" borderId="71" xfId="0" applyNumberFormat="1" applyFont="1" applyBorder="1" applyAlignment="1">
      <alignment horizontal="right"/>
    </xf>
    <xf numFmtId="37" fontId="62" fillId="0" borderId="24" xfId="0" applyNumberFormat="1" applyFont="1" applyBorder="1" applyAlignment="1">
      <alignment horizontal="left"/>
    </xf>
    <xf numFmtId="37" fontId="62" fillId="0" borderId="26" xfId="0" applyNumberFormat="1" applyFont="1" applyBorder="1" applyAlignment="1">
      <alignment horizontal="left"/>
    </xf>
    <xf numFmtId="37" fontId="2" fillId="0" borderId="31" xfId="0" applyNumberFormat="1" applyFont="1" applyBorder="1" applyAlignment="1">
      <alignment horizontal="left"/>
    </xf>
    <xf numFmtId="37" fontId="2" fillId="0" borderId="4" xfId="0" applyNumberFormat="1" applyFont="1" applyBorder="1" applyAlignment="1">
      <alignment horizontal="left"/>
    </xf>
    <xf numFmtId="37" fontId="139" fillId="0" borderId="27" xfId="0" applyNumberFormat="1" applyFont="1" applyBorder="1" applyAlignment="1">
      <alignment horizontal="left" vertical="top" wrapText="1"/>
    </xf>
    <xf numFmtId="37" fontId="139" fillId="0" borderId="22" xfId="0" applyNumberFormat="1" applyFont="1" applyBorder="1" applyAlignment="1">
      <alignment horizontal="left" vertical="top" wrapText="1"/>
    </xf>
    <xf numFmtId="37" fontId="139" fillId="0" borderId="28" xfId="0" applyNumberFormat="1" applyFont="1" applyBorder="1" applyAlignment="1">
      <alignment horizontal="left" vertical="top" wrapText="1"/>
    </xf>
    <xf numFmtId="0" fontId="18" fillId="0" borderId="0" xfId="0" applyFont="1" applyAlignment="1">
      <alignment horizontal="center"/>
    </xf>
    <xf numFmtId="37" fontId="32" fillId="0" borderId="36" xfId="0" applyNumberFormat="1" applyFont="1" applyBorder="1" applyAlignment="1">
      <alignment horizontal="center"/>
    </xf>
    <xf numFmtId="37" fontId="32" fillId="0" borderId="37" xfId="0" applyNumberFormat="1" applyFont="1" applyBorder="1" applyAlignment="1">
      <alignment horizontal="center"/>
    </xf>
    <xf numFmtId="37" fontId="32" fillId="0" borderId="38" xfId="0" applyNumberFormat="1" applyFont="1" applyBorder="1" applyAlignment="1">
      <alignment horizontal="center"/>
    </xf>
    <xf numFmtId="37" fontId="6" fillId="0" borderId="36" xfId="0" applyNumberFormat="1" applyFont="1" applyBorder="1" applyAlignment="1">
      <alignment horizontal="right"/>
    </xf>
    <xf numFmtId="37" fontId="31" fillId="0" borderId="38" xfId="0" applyNumberFormat="1" applyFont="1" applyBorder="1" applyAlignment="1">
      <alignment horizontal="right"/>
    </xf>
    <xf numFmtId="37" fontId="102" fillId="0" borderId="24" xfId="0" applyNumberFormat="1" applyFont="1" applyBorder="1" applyAlignment="1">
      <alignment horizontal="left"/>
    </xf>
    <xf numFmtId="37" fontId="102" fillId="0" borderId="26" xfId="0" applyNumberFormat="1" applyFont="1" applyBorder="1" applyAlignment="1">
      <alignment horizontal="left"/>
    </xf>
    <xf numFmtId="37" fontId="15" fillId="0" borderId="24" xfId="0" applyNumberFormat="1" applyFont="1" applyBorder="1" applyAlignment="1">
      <alignment horizontal="left"/>
    </xf>
    <xf numFmtId="37" fontId="15" fillId="0" borderId="26" xfId="0" applyNumberFormat="1" applyFont="1" applyBorder="1" applyAlignment="1">
      <alignment horizontal="left"/>
    </xf>
    <xf numFmtId="37" fontId="5" fillId="0" borderId="44" xfId="0" applyNumberFormat="1" applyFont="1" applyBorder="1" applyAlignment="1">
      <alignment horizontal="center" vertical="center" wrapText="1"/>
    </xf>
    <xf numFmtId="37" fontId="5" fillId="0" borderId="32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left" wrapText="1"/>
    </xf>
    <xf numFmtId="167" fontId="29" fillId="0" borderId="54" xfId="0" applyNumberFormat="1" applyFont="1" applyBorder="1" applyAlignment="1">
      <alignment horizontal="center" wrapText="1"/>
    </xf>
    <xf numFmtId="167" fontId="29" fillId="0" borderId="55" xfId="0" applyNumberFormat="1" applyFont="1" applyBorder="1" applyAlignment="1">
      <alignment horizontal="center" wrapText="1"/>
    </xf>
    <xf numFmtId="167" fontId="29" fillId="0" borderId="39" xfId="0" applyNumberFormat="1" applyFont="1" applyBorder="1" applyAlignment="1">
      <alignment horizontal="center" wrapText="1"/>
    </xf>
    <xf numFmtId="167" fontId="28" fillId="0" borderId="27" xfId="0" applyNumberFormat="1" applyFont="1" applyBorder="1" applyAlignment="1">
      <alignment horizontal="center" wrapText="1"/>
    </xf>
    <xf numFmtId="167" fontId="28" fillId="0" borderId="22" xfId="0" applyNumberFormat="1" applyFont="1" applyBorder="1" applyAlignment="1">
      <alignment horizontal="center" wrapText="1"/>
    </xf>
    <xf numFmtId="167" fontId="28" fillId="0" borderId="28" xfId="0" applyNumberFormat="1" applyFont="1" applyBorder="1" applyAlignment="1">
      <alignment horizontal="center" wrapText="1"/>
    </xf>
    <xf numFmtId="0" fontId="28" fillId="0" borderId="27" xfId="0" applyFont="1" applyBorder="1" applyAlignment="1">
      <alignment horizontal="center"/>
    </xf>
    <xf numFmtId="0" fontId="28" fillId="0" borderId="22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98" fillId="0" borderId="0" xfId="0" applyFont="1" applyAlignment="1">
      <alignment horizontal="center" vertical="center"/>
    </xf>
    <xf numFmtId="14" fontId="45" fillId="0" borderId="73" xfId="0" applyNumberFormat="1" applyFont="1" applyBorder="1" applyAlignment="1">
      <alignment horizontal="center"/>
    </xf>
    <xf numFmtId="14" fontId="45" fillId="0" borderId="58" xfId="0" applyNumberFormat="1" applyFont="1" applyBorder="1" applyAlignment="1">
      <alignment horizontal="center"/>
    </xf>
    <xf numFmtId="14" fontId="45" fillId="0" borderId="74" xfId="0" applyNumberFormat="1" applyFont="1" applyBorder="1" applyAlignment="1">
      <alignment horizontal="center"/>
    </xf>
    <xf numFmtId="37" fontId="43" fillId="0" borderId="31" xfId="0" applyNumberFormat="1" applyFont="1" applyBorder="1" applyAlignment="1">
      <alignment horizontal="right"/>
    </xf>
    <xf numFmtId="37" fontId="43" fillId="0" borderId="4" xfId="0" applyNumberFormat="1" applyFont="1" applyBorder="1" applyAlignment="1">
      <alignment horizontal="right"/>
    </xf>
    <xf numFmtId="37" fontId="45" fillId="0" borderId="0" xfId="0" applyNumberFormat="1" applyFont="1" applyAlignment="1">
      <alignment horizontal="left" wrapText="1"/>
    </xf>
    <xf numFmtId="37" fontId="45" fillId="0" borderId="0" xfId="0" applyNumberFormat="1" applyFont="1" applyAlignment="1">
      <alignment horizontal="center"/>
    </xf>
    <xf numFmtId="167" fontId="29" fillId="0" borderId="39" xfId="1" applyNumberFormat="1" applyFont="1" applyFill="1" applyBorder="1" applyAlignment="1">
      <alignment horizontal="center" vertical="center" wrapText="1"/>
    </xf>
    <xf numFmtId="167" fontId="29" fillId="0" borderId="58" xfId="1" applyNumberFormat="1" applyFont="1" applyFill="1" applyBorder="1" applyAlignment="1">
      <alignment horizontal="center" vertical="center" wrapText="1"/>
    </xf>
    <xf numFmtId="0" fontId="45" fillId="0" borderId="27" xfId="0" applyFont="1" applyBorder="1" applyAlignment="1">
      <alignment horizontal="center"/>
    </xf>
    <xf numFmtId="0" fontId="45" fillId="0" borderId="22" xfId="0" applyFont="1" applyBorder="1" applyAlignment="1">
      <alignment horizontal="center"/>
    </xf>
    <xf numFmtId="0" fontId="45" fillId="0" borderId="28" xfId="0" applyFont="1" applyBorder="1" applyAlignment="1">
      <alignment horizontal="center"/>
    </xf>
    <xf numFmtId="0" fontId="29" fillId="0" borderId="76" xfId="0" applyFont="1" applyBorder="1" applyAlignment="1">
      <alignment horizontal="center"/>
    </xf>
    <xf numFmtId="0" fontId="29" fillId="0" borderId="67" xfId="0" applyFont="1" applyBorder="1" applyAlignment="1">
      <alignment horizontal="center"/>
    </xf>
    <xf numFmtId="0" fontId="29" fillId="0" borderId="72" xfId="0" applyFont="1" applyBorder="1" applyAlignment="1">
      <alignment horizontal="center"/>
    </xf>
    <xf numFmtId="0" fontId="122" fillId="0" borderId="27" xfId="0" applyFont="1" applyBorder="1" applyAlignment="1">
      <alignment horizontal="center"/>
    </xf>
    <xf numFmtId="0" fontId="122" fillId="0" borderId="22" xfId="0" applyFont="1" applyBorder="1" applyAlignment="1">
      <alignment horizontal="center"/>
    </xf>
    <xf numFmtId="0" fontId="122" fillId="0" borderId="28" xfId="0" applyFont="1" applyBorder="1" applyAlignment="1">
      <alignment horizontal="center"/>
    </xf>
    <xf numFmtId="167" fontId="25" fillId="0" borderId="0" xfId="1" applyNumberFormat="1" applyFont="1" applyBorder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167" fontId="45" fillId="0" borderId="36" xfId="1" applyNumberFormat="1" applyFont="1" applyFill="1" applyBorder="1" applyAlignment="1">
      <alignment horizontal="center"/>
    </xf>
    <xf numFmtId="167" fontId="45" fillId="0" borderId="37" xfId="1" applyNumberFormat="1" applyFont="1" applyFill="1" applyBorder="1" applyAlignment="1">
      <alignment horizontal="center"/>
    </xf>
    <xf numFmtId="167" fontId="45" fillId="0" borderId="38" xfId="1" applyNumberFormat="1" applyFont="1" applyFill="1" applyBorder="1" applyAlignment="1">
      <alignment horizontal="center"/>
    </xf>
    <xf numFmtId="167" fontId="45" fillId="0" borderId="34" xfId="1" applyNumberFormat="1" applyFont="1" applyFill="1" applyBorder="1" applyAlignment="1">
      <alignment horizontal="center" vertical="center" wrapText="1"/>
    </xf>
    <xf numFmtId="167" fontId="45" fillId="0" borderId="35" xfId="1" applyNumberFormat="1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left"/>
    </xf>
    <xf numFmtId="0" fontId="28" fillId="0" borderId="1" xfId="0" applyFont="1" applyBorder="1" applyAlignment="1">
      <alignment horizontal="left"/>
    </xf>
    <xf numFmtId="0" fontId="28" fillId="0" borderId="15" xfId="0" applyFont="1" applyBorder="1" applyAlignment="1">
      <alignment horizontal="left"/>
    </xf>
    <xf numFmtId="37" fontId="63" fillId="0" borderId="31" xfId="0" applyNumberFormat="1" applyFont="1" applyBorder="1" applyAlignment="1">
      <alignment horizontal="left"/>
    </xf>
    <xf numFmtId="37" fontId="63" fillId="0" borderId="4" xfId="0" applyNumberFormat="1" applyFont="1" applyBorder="1" applyAlignment="1">
      <alignment horizontal="left"/>
    </xf>
    <xf numFmtId="37" fontId="25" fillId="0" borderId="0" xfId="0" applyNumberFormat="1" applyFont="1" applyAlignment="1">
      <alignment horizontal="center"/>
    </xf>
    <xf numFmtId="37" fontId="43" fillId="0" borderId="52" xfId="0" applyNumberFormat="1" applyFont="1" applyBorder="1" applyAlignment="1">
      <alignment horizontal="right"/>
    </xf>
    <xf numFmtId="37" fontId="43" fillId="0" borderId="16" xfId="0" applyNumberFormat="1" applyFont="1" applyBorder="1" applyAlignment="1">
      <alignment horizontal="right"/>
    </xf>
    <xf numFmtId="37" fontId="25" fillId="0" borderId="31" xfId="0" applyNumberFormat="1" applyFont="1" applyBorder="1"/>
    <xf numFmtId="37" fontId="25" fillId="0" borderId="4" xfId="0" applyNumberFormat="1" applyFont="1" applyBorder="1"/>
    <xf numFmtId="37" fontId="25" fillId="0" borderId="69" xfId="0" applyNumberFormat="1" applyFont="1" applyBorder="1" applyAlignment="1">
      <alignment horizontal="left" vertical="center" wrapText="1"/>
    </xf>
    <xf numFmtId="37" fontId="25" fillId="0" borderId="15" xfId="0" applyNumberFormat="1" applyFont="1" applyBorder="1" applyAlignment="1">
      <alignment horizontal="left" vertical="center" wrapText="1"/>
    </xf>
    <xf numFmtId="0" fontId="6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24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0" fontId="100" fillId="0" borderId="0" xfId="0" applyFont="1" applyAlignment="1">
      <alignment horizontal="center" vertical="center" wrapText="1"/>
    </xf>
    <xf numFmtId="0" fontId="61" fillId="0" borderId="15" xfId="0" applyFont="1" applyBorder="1" applyAlignment="1">
      <alignment vertical="center" wrapText="1"/>
    </xf>
    <xf numFmtId="0" fontId="61" fillId="0" borderId="4" xfId="0" applyFont="1" applyBorder="1" applyAlignment="1">
      <alignment vertical="center" wrapText="1"/>
    </xf>
    <xf numFmtId="164" fontId="61" fillId="2" borderId="24" xfId="1" applyNumberFormat="1" applyFont="1" applyFill="1" applyBorder="1" applyAlignment="1">
      <alignment vertical="center" wrapText="1"/>
    </xf>
    <xf numFmtId="0" fontId="21" fillId="0" borderId="54" xfId="0" applyFont="1" applyBorder="1" applyAlignment="1">
      <alignment horizontal="center"/>
    </xf>
    <xf numFmtId="0" fontId="21" fillId="0" borderId="55" xfId="0" applyFont="1" applyBorder="1" applyAlignment="1">
      <alignment horizontal="center"/>
    </xf>
    <xf numFmtId="0" fontId="21" fillId="0" borderId="39" xfId="0" applyFont="1" applyBorder="1" applyAlignment="1">
      <alignment horizontal="center"/>
    </xf>
    <xf numFmtId="164" fontId="111" fillId="0" borderId="0" xfId="1" applyNumberFormat="1" applyFont="1" applyFill="1" applyBorder="1" applyAlignment="1">
      <alignment horizontal="center" vertical="center" wrapText="1"/>
    </xf>
    <xf numFmtId="0" fontId="21" fillId="0" borderId="27" xfId="0" applyFont="1" applyBorder="1" applyAlignment="1">
      <alignment horizontal="center"/>
    </xf>
    <xf numFmtId="0" fontId="21" fillId="0" borderId="22" xfId="0" applyFont="1" applyBorder="1" applyAlignment="1">
      <alignment horizontal="center"/>
    </xf>
    <xf numFmtId="0" fontId="21" fillId="0" borderId="28" xfId="0" applyFont="1" applyBorder="1" applyAlignment="1">
      <alignment horizontal="center"/>
    </xf>
    <xf numFmtId="164" fontId="21" fillId="0" borderId="24" xfId="1" applyNumberFormat="1" applyFont="1" applyFill="1" applyBorder="1" applyAlignment="1">
      <alignment horizontal="center" vertical="center" wrapText="1"/>
    </xf>
    <xf numFmtId="164" fontId="14" fillId="0" borderId="24" xfId="1" applyNumberFormat="1" applyFont="1" applyFill="1" applyBorder="1" applyAlignment="1">
      <alignment horizontal="center" vertical="center" wrapText="1"/>
    </xf>
    <xf numFmtId="0" fontId="100" fillId="0" borderId="24" xfId="0" applyFont="1" applyBorder="1" applyAlignment="1">
      <alignment horizontal="center" vertical="center" wrapText="1"/>
    </xf>
    <xf numFmtId="164" fontId="125" fillId="0" borderId="24" xfId="1" applyNumberFormat="1" applyFont="1" applyFill="1" applyBorder="1" applyAlignment="1">
      <alignment horizontal="center" vertical="center" wrapText="1"/>
    </xf>
    <xf numFmtId="164" fontId="125" fillId="0" borderId="0" xfId="1" applyNumberFormat="1" applyFont="1" applyFill="1" applyBorder="1" applyAlignment="1">
      <alignment horizontal="center" vertical="center" wrapText="1"/>
    </xf>
    <xf numFmtId="0" fontId="21" fillId="39" borderId="27" xfId="0" applyFont="1" applyFill="1" applyBorder="1" applyAlignment="1">
      <alignment horizontal="center"/>
    </xf>
    <xf numFmtId="0" fontId="21" fillId="39" borderId="22" xfId="0" applyFont="1" applyFill="1" applyBorder="1" applyAlignment="1">
      <alignment horizontal="center"/>
    </xf>
    <xf numFmtId="0" fontId="21" fillId="39" borderId="28" xfId="0" applyFont="1" applyFill="1" applyBorder="1" applyAlignment="1">
      <alignment horizontal="center"/>
    </xf>
    <xf numFmtId="167" fontId="21" fillId="0" borderId="27" xfId="1" applyNumberFormat="1" applyFont="1" applyFill="1" applyBorder="1" applyAlignment="1">
      <alignment horizontal="center"/>
    </xf>
    <xf numFmtId="167" fontId="21" fillId="0" borderId="22" xfId="1" applyNumberFormat="1" applyFont="1" applyFill="1" applyBorder="1" applyAlignment="1">
      <alignment horizontal="center"/>
    </xf>
    <xf numFmtId="167" fontId="21" fillId="0" borderId="28" xfId="1" applyNumberFormat="1" applyFont="1" applyFill="1" applyBorder="1" applyAlignment="1">
      <alignment horizontal="center"/>
    </xf>
    <xf numFmtId="167" fontId="21" fillId="0" borderId="27" xfId="0" applyNumberFormat="1" applyFont="1" applyBorder="1" applyAlignment="1">
      <alignment horizontal="center"/>
    </xf>
    <xf numFmtId="167" fontId="21" fillId="0" borderId="22" xfId="0" applyNumberFormat="1" applyFont="1" applyBorder="1" applyAlignment="1">
      <alignment horizontal="center"/>
    </xf>
    <xf numFmtId="167" fontId="21" fillId="0" borderId="28" xfId="0" applyNumberFormat="1" applyFont="1" applyBorder="1" applyAlignment="1">
      <alignment horizontal="center"/>
    </xf>
    <xf numFmtId="167" fontId="21" fillId="0" borderId="27" xfId="0" applyNumberFormat="1" applyFont="1" applyFill="1" applyBorder="1" applyAlignment="1">
      <alignment horizontal="center"/>
    </xf>
    <xf numFmtId="167" fontId="21" fillId="0" borderId="22" xfId="0" applyNumberFormat="1" applyFont="1" applyFill="1" applyBorder="1" applyAlignment="1">
      <alignment horizontal="center"/>
    </xf>
    <xf numFmtId="167" fontId="21" fillId="0" borderId="28" xfId="0" applyNumberFormat="1" applyFont="1" applyFill="1" applyBorder="1" applyAlignment="1">
      <alignment horizont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50" xfId="0" applyFont="1" applyFill="1" applyBorder="1" applyAlignment="1">
      <alignment horizontal="center" vertical="center" wrapText="1"/>
    </xf>
    <xf numFmtId="2" fontId="110" fillId="0" borderId="0" xfId="0" applyNumberFormat="1" applyFont="1" applyFill="1" applyBorder="1" applyAlignment="1">
      <alignment horizontal="right"/>
    </xf>
    <xf numFmtId="164" fontId="14" fillId="0" borderId="24" xfId="1" applyNumberFormat="1" applyFont="1" applyFill="1" applyBorder="1"/>
    <xf numFmtId="39" fontId="61" fillId="0" borderId="0" xfId="0" applyNumberFormat="1" applyFont="1" applyFill="1" applyBorder="1"/>
    <xf numFmtId="37" fontId="142" fillId="0" borderId="76" xfId="0" applyNumberFormat="1" applyFont="1" applyBorder="1" applyAlignment="1">
      <alignment horizontal="left"/>
    </xf>
    <xf numFmtId="37" fontId="142" fillId="0" borderId="67" xfId="0" applyNumberFormat="1" applyFont="1" applyBorder="1" applyAlignment="1">
      <alignment horizontal="left"/>
    </xf>
    <xf numFmtId="0" fontId="45" fillId="0" borderId="24" xfId="0" applyFont="1" applyBorder="1"/>
    <xf numFmtId="0" fontId="114" fillId="0" borderId="0" xfId="0" applyFont="1" applyBorder="1" applyAlignment="1">
      <alignment vertical="top" wrapText="1"/>
    </xf>
    <xf numFmtId="37" fontId="114" fillId="0" borderId="0" xfId="0" applyNumberFormat="1" applyFont="1" applyBorder="1" applyAlignment="1">
      <alignment vertical="top" wrapText="1"/>
    </xf>
    <xf numFmtId="0" fontId="114" fillId="0" borderId="26" xfId="0" applyFont="1" applyBorder="1" applyAlignment="1">
      <alignment vertical="top" wrapText="1"/>
    </xf>
    <xf numFmtId="37" fontId="114" fillId="0" borderId="52" xfId="0" applyNumberFormat="1" applyFont="1" applyBorder="1" applyAlignment="1">
      <alignment horizontal="left" wrapText="1"/>
    </xf>
    <xf numFmtId="37" fontId="114" fillId="0" borderId="16" xfId="0" applyNumberFormat="1" applyFont="1" applyBorder="1" applyAlignment="1">
      <alignment horizontal="left" wrapText="1"/>
    </xf>
    <xf numFmtId="37" fontId="114" fillId="0" borderId="53" xfId="0" applyNumberFormat="1" applyFont="1" applyBorder="1" applyAlignment="1">
      <alignment horizontal="left" wrapText="1"/>
    </xf>
    <xf numFmtId="37" fontId="142" fillId="0" borderId="72" xfId="0" applyNumberFormat="1" applyFont="1" applyBorder="1" applyAlignment="1">
      <alignment horizontal="left"/>
    </xf>
  </cellXfs>
  <cellStyles count="84">
    <cellStyle name="20% - Accent1" xfId="32" builtinId="30" customBuiltin="1"/>
    <cellStyle name="20% - Accent2" xfId="36" builtinId="34" customBuiltin="1"/>
    <cellStyle name="20% - Accent3" xfId="40" builtinId="38" customBuiltin="1"/>
    <cellStyle name="20% - Accent4" xfId="44" builtinId="42" customBuiltin="1"/>
    <cellStyle name="20% - Accent5" xfId="48" builtinId="46" customBuiltin="1"/>
    <cellStyle name="20% - Accent6" xfId="52" builtinId="50" customBuiltin="1"/>
    <cellStyle name="40% - Accent1" xfId="33" builtinId="31" customBuiltin="1"/>
    <cellStyle name="40% - Accent2" xfId="37" builtinId="35" customBuiltin="1"/>
    <cellStyle name="40% - Accent3" xfId="41" builtinId="39" customBuiltin="1"/>
    <cellStyle name="40% - Accent4" xfId="45" builtinId="43" customBuiltin="1"/>
    <cellStyle name="40% - Accent5" xfId="49" builtinId="47" customBuiltin="1"/>
    <cellStyle name="40% - Accent6" xfId="53" builtinId="51" customBuiltin="1"/>
    <cellStyle name="60% - Accent1" xfId="34" builtinId="32" customBuiltin="1"/>
    <cellStyle name="60% - Accent2" xfId="38" builtinId="36" customBuiltin="1"/>
    <cellStyle name="60% - Accent3" xfId="42" builtinId="40" customBuiltin="1"/>
    <cellStyle name="60% - Accent4" xfId="46" builtinId="44" customBuiltin="1"/>
    <cellStyle name="60% - Accent5" xfId="50" builtinId="48" customBuiltin="1"/>
    <cellStyle name="60% - Accent6" xfId="54" builtinId="52" customBuiltin="1"/>
    <cellStyle name="Accent1" xfId="31" builtinId="29" customBuiltin="1"/>
    <cellStyle name="Accent2" xfId="35" builtinId="33" customBuiltin="1"/>
    <cellStyle name="Accent3" xfId="39" builtinId="37" customBuiltin="1"/>
    <cellStyle name="Accent4" xfId="43" builtinId="41" customBuiltin="1"/>
    <cellStyle name="Accent5" xfId="47" builtinId="45" customBuiltin="1"/>
    <cellStyle name="Accent6" xfId="51" builtinId="49" customBuiltin="1"/>
    <cellStyle name="Bad" xfId="20" builtinId="27" customBuiltin="1"/>
    <cellStyle name="Calculation" xfId="24" builtinId="22" customBuiltin="1"/>
    <cellStyle name="Check Cell" xfId="26" builtinId="23" customBuiltin="1"/>
    <cellStyle name="Comma" xfId="1" builtinId="3"/>
    <cellStyle name="Comma 2" xfId="2"/>
    <cellStyle name="Comma 2 2" xfId="4"/>
    <cellStyle name="Comma 2 2 2" xfId="10"/>
    <cellStyle name="Comma 2 2 2 2" xfId="63"/>
    <cellStyle name="Comma 2 2 2 2 2" xfId="81"/>
    <cellStyle name="Comma 2 2 2 3" xfId="72"/>
    <cellStyle name="Comma 2 2 3" xfId="59"/>
    <cellStyle name="Comma 2 2 3 2" xfId="77"/>
    <cellStyle name="Comma 2 2 4" xfId="68"/>
    <cellStyle name="Comma 2 3" xfId="12"/>
    <cellStyle name="Comma 2 3 2" xfId="64"/>
    <cellStyle name="Comma 2 3 2 2" xfId="82"/>
    <cellStyle name="Comma 2 3 3" xfId="73"/>
    <cellStyle name="Comma 2 4" xfId="8"/>
    <cellStyle name="Comma 2 4 2" xfId="61"/>
    <cellStyle name="Comma 2 4 2 2" xfId="79"/>
    <cellStyle name="Comma 2 4 3" xfId="70"/>
    <cellStyle name="Comma 2 5" xfId="57"/>
    <cellStyle name="Comma 2 5 2" xfId="75"/>
    <cellStyle name="Comma 2 6" xfId="66"/>
    <cellStyle name="Comma 3" xfId="3"/>
    <cellStyle name="Comma 3 2" xfId="9"/>
    <cellStyle name="Comma 3 2 2" xfId="62"/>
    <cellStyle name="Comma 3 2 2 2" xfId="80"/>
    <cellStyle name="Comma 3 2 3" xfId="71"/>
    <cellStyle name="Comma 3 3" xfId="58"/>
    <cellStyle name="Comma 3 3 2" xfId="76"/>
    <cellStyle name="Comma 3 4" xfId="67"/>
    <cellStyle name="Comma 4" xfId="7"/>
    <cellStyle name="Comma 4 2" xfId="60"/>
    <cellStyle name="Comma 4 2 2" xfId="78"/>
    <cellStyle name="Comma 4 3" xfId="69"/>
    <cellStyle name="Comma 5" xfId="56"/>
    <cellStyle name="Comma 5 2" xfId="74"/>
    <cellStyle name="Comma 6" xfId="65"/>
    <cellStyle name="Explanatory Text" xfId="29" builtinId="53" customBuiltin="1"/>
    <cellStyle name="Good" xfId="19" builtinId="26" customBuiltin="1"/>
    <cellStyle name="Heading 1" xfId="15" builtinId="16" customBuiltin="1"/>
    <cellStyle name="Heading 2" xfId="16" builtinId="17" customBuiltin="1"/>
    <cellStyle name="Heading 3" xfId="17" builtinId="18" customBuiltin="1"/>
    <cellStyle name="Heading 4" xfId="18" builtinId="19" customBuiltin="1"/>
    <cellStyle name="Hyperlink" xfId="83" builtinId="8"/>
    <cellStyle name="Input" xfId="22" builtinId="20" customBuiltin="1"/>
    <cellStyle name="Linked Cell" xfId="25" builtinId="24" customBuiltin="1"/>
    <cellStyle name="Neutral" xfId="21" builtinId="28" customBuiltin="1"/>
    <cellStyle name="Normal" xfId="0" builtinId="0"/>
    <cellStyle name="Normal 2" xfId="11"/>
    <cellStyle name="Normal 2 2" xfId="55"/>
    <cellStyle name="Normal 3" xfId="13"/>
    <cellStyle name="Normal_Sheet1" xfId="6"/>
    <cellStyle name="Note" xfId="28" builtinId="10" customBuiltin="1"/>
    <cellStyle name="Output" xfId="23" builtinId="21" customBuiltin="1"/>
    <cellStyle name="Percent" xfId="5" builtinId="5"/>
    <cellStyle name="Title" xfId="14" builtinId="15" customBuiltin="1"/>
    <cellStyle name="Total" xfId="30" builtinId="25" customBuiltin="1"/>
    <cellStyle name="Warning Text" xfId="27" builtinId="11" customBuiltin="1"/>
  </cellStyles>
  <dxfs count="609"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</dxfs>
  <tableStyles count="0" defaultTableStyle="TableStyleMedium9" defaultPivotStyle="PivotStyleLight16"/>
  <colors>
    <mruColors>
      <color rgb="FFFF505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559593</xdr:colOff>
      <xdr:row>116</xdr:row>
      <xdr:rowOff>0</xdr:rowOff>
    </xdr:from>
    <xdr:to>
      <xdr:col>2</xdr:col>
      <xdr:colOff>1107281</xdr:colOff>
      <xdr:row>117</xdr:row>
      <xdr:rowOff>23812</xdr:rowOff>
    </xdr:to>
    <xdr:sp macro="" textlink="">
      <xdr:nvSpPr>
        <xdr:cNvPr id="2" name="Down Arrow 1"/>
        <xdr:cNvSpPr/>
      </xdr:nvSpPr>
      <xdr:spPr>
        <a:xfrm>
          <a:off x="6453187" y="29491781"/>
          <a:ext cx="547688" cy="29765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0</xdr:rowOff>
    </xdr:from>
    <xdr:to>
      <xdr:col>14</xdr:col>
      <xdr:colOff>67784</xdr:colOff>
      <xdr:row>23</xdr:row>
      <xdr:rowOff>124454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225" y="0"/>
          <a:ext cx="7944959" cy="4505954"/>
        </a:xfrm>
        <a:prstGeom prst="rect">
          <a:avLst/>
        </a:prstGeom>
      </xdr:spPr>
    </xdr:pic>
    <xdr:clientData/>
  </xdr:twoCellAnchor>
  <xdr:twoCellAnchor editAs="oneCell">
    <xdr:from>
      <xdr:col>0</xdr:col>
      <xdr:colOff>600075</xdr:colOff>
      <xdr:row>52</xdr:row>
      <xdr:rowOff>123825</xdr:rowOff>
    </xdr:from>
    <xdr:to>
      <xdr:col>17</xdr:col>
      <xdr:colOff>306205</xdr:colOff>
      <xdr:row>71</xdr:row>
      <xdr:rowOff>86225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C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0075" y="10029825"/>
          <a:ext cx="10069330" cy="3581900"/>
        </a:xfrm>
        <a:prstGeom prst="rect">
          <a:avLst/>
        </a:prstGeom>
      </xdr:spPr>
    </xdr:pic>
    <xdr:clientData/>
  </xdr:twoCellAnchor>
  <xdr:twoCellAnchor editAs="oneCell">
    <xdr:from>
      <xdr:col>0</xdr:col>
      <xdr:colOff>514350</xdr:colOff>
      <xdr:row>29</xdr:row>
      <xdr:rowOff>19051</xdr:rowOff>
    </xdr:from>
    <xdr:to>
      <xdr:col>15</xdr:col>
      <xdr:colOff>29783</xdr:colOff>
      <xdr:row>48</xdr:row>
      <xdr:rowOff>76201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C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4350" y="5543551"/>
          <a:ext cx="8659433" cy="3676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%20CUMMULATIVE%20BILLS%20NOT%20REFLCTED%20IN%202B%20TILL%20SEP-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C-1%20MASTER/LAW/GST/26-27/6.%20SEP-26/GSTR-6/1.%20ISD%20Working_SEP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>
        <row r="8">
          <cell r="C8">
            <v>3780</v>
          </cell>
          <cell r="E8">
            <v>0</v>
          </cell>
        </row>
        <row r="9">
          <cell r="C9">
            <v>10642.32</v>
          </cell>
          <cell r="E9">
            <v>11787.11</v>
          </cell>
        </row>
        <row r="12">
          <cell r="C12">
            <v>425362.32900000003</v>
          </cell>
          <cell r="E12">
            <v>321383.69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  <sheetName val="ISD WORKING"/>
      <sheetName val="ITC TAKEN IN SEP-26"/>
      <sheetName val="Sheet1"/>
    </sheetNames>
    <sheetDataSet>
      <sheetData sheetId="0"/>
      <sheetData sheetId="1"/>
      <sheetData sheetId="2">
        <row r="35">
          <cell r="L35">
            <v>7206.9582131050611</v>
          </cell>
          <cell r="M35">
            <v>321844.50178689498</v>
          </cell>
          <cell r="O35">
            <v>60365.184555320186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92D050"/>
    <pageSetUpPr fitToPage="1"/>
  </sheetPr>
  <dimension ref="A1:O102"/>
  <sheetViews>
    <sheetView topLeftCell="A65" zoomScale="98" zoomScaleNormal="98" workbookViewId="0">
      <selection activeCell="D81" sqref="D81"/>
    </sheetView>
  </sheetViews>
  <sheetFormatPr defaultColWidth="27.28515625" defaultRowHeight="15"/>
  <cols>
    <col min="1" max="1" width="23.28515625" customWidth="1"/>
    <col min="2" max="2" width="45.7109375" style="1" bestFit="1" customWidth="1"/>
    <col min="3" max="3" width="14.42578125" style="1" customWidth="1"/>
    <col min="4" max="5" width="14.85546875" style="1" bestFit="1" customWidth="1"/>
    <col min="6" max="6" width="14.42578125" style="1" bestFit="1" customWidth="1"/>
    <col min="7" max="7" width="22.5703125" style="1" customWidth="1"/>
    <col min="8" max="8" width="17.7109375" style="1" customWidth="1"/>
    <col min="9" max="16384" width="27.28515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159"/>
      <c r="B2" s="41"/>
      <c r="C2" s="41"/>
      <c r="D2" s="41"/>
      <c r="E2" s="41"/>
      <c r="F2" s="41"/>
    </row>
    <row r="3" spans="1:10" ht="15.75">
      <c r="A3" s="1229" t="s">
        <v>334</v>
      </c>
      <c r="B3" s="1229"/>
      <c r="C3" s="1229"/>
      <c r="D3" s="1229"/>
      <c r="E3" s="1229"/>
      <c r="F3" s="1229"/>
    </row>
    <row r="4" spans="1:10" ht="15.75">
      <c r="A4" s="1229" t="s">
        <v>348</v>
      </c>
      <c r="B4" s="1229"/>
      <c r="C4" s="1229"/>
      <c r="D4" s="1229"/>
      <c r="E4" s="1229"/>
      <c r="F4" s="1229"/>
    </row>
    <row r="5" spans="1:10" ht="15.75">
      <c r="A5" s="1228" t="s">
        <v>940</v>
      </c>
      <c r="B5" s="1228"/>
      <c r="C5" s="1228"/>
      <c r="D5" s="1228"/>
      <c r="E5" s="1228"/>
      <c r="F5" s="1228"/>
      <c r="J5" s="1" t="s">
        <v>74</v>
      </c>
    </row>
    <row r="6" spans="1:10" ht="15.75">
      <c r="A6" s="567" t="s">
        <v>5</v>
      </c>
      <c r="B6" s="3"/>
      <c r="C6" s="23"/>
      <c r="D6" s="1230"/>
      <c r="E6" s="1230"/>
      <c r="F6" s="3"/>
    </row>
    <row r="7" spans="1:10" ht="15.75">
      <c r="A7" s="568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33" t="s">
        <v>384</v>
      </c>
    </row>
    <row r="8" spans="1:10" ht="15.75">
      <c r="A8" s="569" t="s">
        <v>63</v>
      </c>
      <c r="B8" s="1232"/>
      <c r="C8" s="19" t="s">
        <v>62</v>
      </c>
      <c r="D8" s="1232"/>
      <c r="E8" s="1232"/>
      <c r="F8" s="1232"/>
      <c r="G8" s="1233"/>
      <c r="H8" s="1233"/>
    </row>
    <row r="9" spans="1:10" ht="15.75">
      <c r="A9" s="160">
        <v>3303</v>
      </c>
      <c r="B9" s="70" t="s">
        <v>609</v>
      </c>
      <c r="C9" s="16"/>
      <c r="D9" s="4">
        <f>+C9*9%</f>
        <v>0</v>
      </c>
      <c r="E9" s="4">
        <f>+D9</f>
        <v>0</v>
      </c>
      <c r="F9" s="4">
        <f>IF(D9&gt;0," ",C9*18%)</f>
        <v>0</v>
      </c>
      <c r="G9" s="42">
        <v>0</v>
      </c>
      <c r="H9" s="42">
        <v>0</v>
      </c>
    </row>
    <row r="10" spans="1:10" ht="15.75">
      <c r="A10" s="160">
        <v>3200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42">
        <v>0</v>
      </c>
      <c r="H10" s="42">
        <v>0</v>
      </c>
    </row>
    <row r="11" spans="1:10" ht="15.75">
      <c r="A11" s="160" t="s">
        <v>60</v>
      </c>
      <c r="B11" s="70" t="s">
        <v>59</v>
      </c>
      <c r="C11" s="16"/>
      <c r="D11" s="4">
        <f t="shared" ref="D11:D61" si="0">+C11*9%</f>
        <v>0</v>
      </c>
      <c r="E11" s="4">
        <f t="shared" ref="E11:E61" si="1">+D11</f>
        <v>0</v>
      </c>
      <c r="F11" s="4">
        <f t="shared" ref="F11:F48" si="2">IF(D11&gt;0," ",C11*18%)</f>
        <v>0</v>
      </c>
      <c r="G11" s="42">
        <v>0</v>
      </c>
      <c r="H11" s="42">
        <v>0</v>
      </c>
    </row>
    <row r="12" spans="1:10" ht="15.75">
      <c r="A12" s="161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42">
        <v>0</v>
      </c>
      <c r="H12" s="42">
        <v>0</v>
      </c>
    </row>
    <row r="13" spans="1:10" ht="15.75">
      <c r="A13" s="160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42">
        <v>0</v>
      </c>
      <c r="H13" s="42">
        <v>0</v>
      </c>
    </row>
    <row r="14" spans="1:10" s="1072" customFormat="1" ht="15.75">
      <c r="A14" s="1068" t="s">
        <v>54</v>
      </c>
      <c r="B14" s="1069" t="s">
        <v>53</v>
      </c>
      <c r="C14" s="1070">
        <f>79200-79200</f>
        <v>0</v>
      </c>
      <c r="D14" s="4">
        <f t="shared" si="0"/>
        <v>0</v>
      </c>
      <c r="E14" s="4">
        <f t="shared" si="1"/>
        <v>0</v>
      </c>
      <c r="F14" s="4">
        <v>0</v>
      </c>
      <c r="G14" s="1071">
        <v>0</v>
      </c>
      <c r="H14" s="1071">
        <v>0</v>
      </c>
    </row>
    <row r="15" spans="1:10" ht="15.75">
      <c r="A15" s="160" t="s">
        <v>52</v>
      </c>
      <c r="B15" s="70" t="s">
        <v>51</v>
      </c>
      <c r="C15" s="16">
        <v>400</v>
      </c>
      <c r="D15" s="4">
        <f t="shared" si="0"/>
        <v>36</v>
      </c>
      <c r="E15" s="4">
        <f t="shared" si="1"/>
        <v>36</v>
      </c>
      <c r="F15" s="748" t="str">
        <f t="shared" si="2"/>
        <v xml:space="preserve"> </v>
      </c>
      <c r="G15" s="42">
        <v>0</v>
      </c>
      <c r="H15" s="42">
        <v>0</v>
      </c>
    </row>
    <row r="16" spans="1:10" ht="15.75">
      <c r="A16" s="161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42">
        <v>0</v>
      </c>
      <c r="H16" s="42">
        <v>0</v>
      </c>
    </row>
    <row r="17" spans="1:15" ht="15.75">
      <c r="A17" s="161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 t="shared" si="2"/>
        <v>0</v>
      </c>
      <c r="G17" s="42">
        <v>0</v>
      </c>
      <c r="H17" s="42">
        <v>0</v>
      </c>
    </row>
    <row r="18" spans="1:15" ht="15.75">
      <c r="A18" s="161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42">
        <v>0</v>
      </c>
      <c r="H18" s="42">
        <v>0</v>
      </c>
    </row>
    <row r="19" spans="1:15" ht="15.75">
      <c r="A19" s="160" t="s">
        <v>44</v>
      </c>
      <c r="B19" s="70" t="s">
        <v>43</v>
      </c>
      <c r="C19" s="16"/>
      <c r="D19" s="4">
        <f>+C19*9%</f>
        <v>0</v>
      </c>
      <c r="E19" s="4">
        <f t="shared" si="1"/>
        <v>0</v>
      </c>
      <c r="F19" s="4"/>
      <c r="G19" s="42">
        <v>0</v>
      </c>
      <c r="H19" s="42">
        <v>0</v>
      </c>
      <c r="J19" s="1">
        <f>+G19*9%</f>
        <v>0</v>
      </c>
    </row>
    <row r="20" spans="1:15" ht="15.75">
      <c r="A20" s="13">
        <v>3271</v>
      </c>
      <c r="B20" s="70" t="s">
        <v>533</v>
      </c>
      <c r="C20" s="16">
        <v>1980</v>
      </c>
      <c r="D20" s="4">
        <f t="shared" si="0"/>
        <v>178.2</v>
      </c>
      <c r="E20" s="4">
        <f t="shared" si="1"/>
        <v>178.2</v>
      </c>
      <c r="F20" s="4" t="str">
        <f t="shared" si="2"/>
        <v xml:space="preserve"> </v>
      </c>
      <c r="G20" s="42">
        <v>0</v>
      </c>
      <c r="H20" s="42">
        <v>0</v>
      </c>
    </row>
    <row r="21" spans="1:15" ht="15.75">
      <c r="A21" s="13">
        <v>3274</v>
      </c>
      <c r="B21" s="70" t="s">
        <v>554</v>
      </c>
      <c r="C21" s="16"/>
      <c r="D21" s="4"/>
      <c r="E21" s="4"/>
      <c r="F21" s="4"/>
      <c r="G21" s="42">
        <v>0</v>
      </c>
      <c r="H21" s="42">
        <v>0</v>
      </c>
    </row>
    <row r="22" spans="1:15" ht="15.75">
      <c r="A22" s="158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>
        <f t="shared" si="2"/>
        <v>0</v>
      </c>
      <c r="G22" s="42">
        <v>0</v>
      </c>
      <c r="H22" s="4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42">
        <v>0</v>
      </c>
      <c r="H23" s="42">
        <v>0</v>
      </c>
    </row>
    <row r="24" spans="1:15" ht="15.75">
      <c r="A24" s="161" t="s">
        <v>38</v>
      </c>
      <c r="B24" s="70" t="s">
        <v>37</v>
      </c>
      <c r="C24" s="16"/>
      <c r="D24" s="4">
        <f t="shared" si="0"/>
        <v>0</v>
      </c>
      <c r="E24" s="4">
        <f t="shared" si="1"/>
        <v>0</v>
      </c>
      <c r="F24" s="4">
        <v>0</v>
      </c>
      <c r="G24" s="42">
        <v>0</v>
      </c>
      <c r="H24" s="42">
        <v>0</v>
      </c>
    </row>
    <row r="25" spans="1:15" ht="15.75">
      <c r="A25" s="158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42">
        <v>0</v>
      </c>
      <c r="H25" s="42">
        <v>0</v>
      </c>
    </row>
    <row r="26" spans="1:15" ht="15.75">
      <c r="A26" s="158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42">
        <v>0</v>
      </c>
      <c r="H26" s="42">
        <v>0</v>
      </c>
    </row>
    <row r="27" spans="1:15" ht="15.75">
      <c r="A27" s="158" t="s">
        <v>32</v>
      </c>
      <c r="B27" s="33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42">
        <v>0</v>
      </c>
      <c r="H27" s="42">
        <v>0</v>
      </c>
    </row>
    <row r="28" spans="1:15" ht="15.75">
      <c r="A28" s="158">
        <v>3291</v>
      </c>
      <c r="B28" s="33" t="s">
        <v>325</v>
      </c>
      <c r="C28" s="16"/>
      <c r="D28" s="4">
        <f t="shared" si="0"/>
        <v>0</v>
      </c>
      <c r="E28" s="4">
        <f t="shared" si="1"/>
        <v>0</v>
      </c>
      <c r="F28" s="4">
        <f t="shared" si="2"/>
        <v>0</v>
      </c>
      <c r="G28" s="42">
        <v>0</v>
      </c>
      <c r="H28" s="42">
        <v>0</v>
      </c>
    </row>
    <row r="29" spans="1:15" ht="15.75">
      <c r="A29" s="158">
        <v>3296</v>
      </c>
      <c r="B29" s="33" t="s">
        <v>523</v>
      </c>
      <c r="C29" s="16">
        <v>337.5</v>
      </c>
      <c r="D29" s="4">
        <f>+C29*9%</f>
        <v>30.375</v>
      </c>
      <c r="E29" s="4">
        <f>+D29</f>
        <v>30.375</v>
      </c>
      <c r="F29" s="4" t="str">
        <f>IF(D29&gt;0," ",C29*18%)</f>
        <v xml:space="preserve"> </v>
      </c>
      <c r="G29" s="42">
        <v>0</v>
      </c>
      <c r="H29" s="42">
        <v>0</v>
      </c>
    </row>
    <row r="30" spans="1:15" ht="15.75">
      <c r="A30" s="158">
        <v>3297</v>
      </c>
      <c r="B30" s="33" t="s">
        <v>524</v>
      </c>
      <c r="C30" s="16">
        <v>90</v>
      </c>
      <c r="D30" s="4">
        <f>+C30*9%</f>
        <v>8.1</v>
      </c>
      <c r="E30" s="4">
        <f>+D30</f>
        <v>8.1</v>
      </c>
      <c r="F30" s="4" t="str">
        <f>IF(D30&gt;0," ",C30*18%)</f>
        <v xml:space="preserve"> </v>
      </c>
      <c r="G30" s="42">
        <v>0</v>
      </c>
      <c r="H30" s="42">
        <v>0</v>
      </c>
    </row>
    <row r="31" spans="1:15" ht="15.75">
      <c r="A31" s="158">
        <v>3298</v>
      </c>
      <c r="B31" s="33" t="s">
        <v>529</v>
      </c>
      <c r="C31" s="16">
        <v>200</v>
      </c>
      <c r="D31" s="4">
        <f>+C31*9%</f>
        <v>18</v>
      </c>
      <c r="E31" s="4">
        <f>+D31</f>
        <v>18</v>
      </c>
      <c r="F31" s="4" t="str">
        <f>IF(D31&gt;0," ",C31*18%)</f>
        <v xml:space="preserve"> </v>
      </c>
      <c r="G31" s="42">
        <v>0</v>
      </c>
      <c r="H31" s="42">
        <v>0</v>
      </c>
    </row>
    <row r="32" spans="1:15" ht="15.75">
      <c r="A32" s="137" t="s">
        <v>531</v>
      </c>
      <c r="B32" s="33" t="s">
        <v>532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>
        <v>0</v>
      </c>
      <c r="H32" s="42">
        <v>0</v>
      </c>
    </row>
    <row r="33" spans="1:11" ht="15.75">
      <c r="A33" s="160" t="s">
        <v>30</v>
      </c>
      <c r="B33" s="70" t="s">
        <v>29</v>
      </c>
      <c r="C33" s="16">
        <v>105571</v>
      </c>
      <c r="D33" s="4">
        <f t="shared" si="0"/>
        <v>9501.39</v>
      </c>
      <c r="E33" s="4">
        <f t="shared" si="1"/>
        <v>9501.39</v>
      </c>
      <c r="F33" s="4" t="str">
        <f t="shared" si="2"/>
        <v xml:space="preserve"> </v>
      </c>
      <c r="G33" s="42">
        <v>0</v>
      </c>
      <c r="H33" s="42">
        <v>0</v>
      </c>
    </row>
    <row r="34" spans="1:11" ht="15.75">
      <c r="A34" s="160">
        <v>3301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42">
        <v>0</v>
      </c>
      <c r="H34" s="42">
        <v>0</v>
      </c>
    </row>
    <row r="35" spans="1:11" ht="15.75">
      <c r="A35" s="160">
        <v>3302</v>
      </c>
      <c r="B35" s="70" t="s">
        <v>525</v>
      </c>
      <c r="C35" s="16"/>
      <c r="D35" s="4">
        <f t="shared" si="0"/>
        <v>0</v>
      </c>
      <c r="E35" s="4">
        <f t="shared" si="1"/>
        <v>0</v>
      </c>
      <c r="F35" s="4">
        <f t="shared" si="2"/>
        <v>0</v>
      </c>
      <c r="G35" s="42">
        <v>0</v>
      </c>
      <c r="H35" s="42">
        <v>0</v>
      </c>
    </row>
    <row r="36" spans="1:11" ht="15.75">
      <c r="A36" s="161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42">
        <v>0</v>
      </c>
      <c r="H36" s="42">
        <v>0</v>
      </c>
    </row>
    <row r="37" spans="1:11" ht="15.75">
      <c r="A37" s="158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42">
        <v>0</v>
      </c>
      <c r="H37" s="42">
        <v>0</v>
      </c>
    </row>
    <row r="38" spans="1:11" ht="15.75">
      <c r="A38" s="158">
        <v>3310</v>
      </c>
      <c r="B38" s="70" t="s">
        <v>25</v>
      </c>
      <c r="C38" s="16">
        <v>950</v>
      </c>
      <c r="D38" s="4">
        <f>+C38*9%</f>
        <v>85.5</v>
      </c>
      <c r="E38" s="4">
        <f t="shared" si="1"/>
        <v>85.5</v>
      </c>
      <c r="F38" s="4" t="str">
        <f t="shared" si="2"/>
        <v xml:space="preserve"> </v>
      </c>
      <c r="G38" s="42">
        <v>0</v>
      </c>
      <c r="H38" s="42">
        <v>0</v>
      </c>
    </row>
    <row r="39" spans="1:11" ht="15.75">
      <c r="A39" s="160" t="s">
        <v>24</v>
      </c>
      <c r="B39" s="70" t="s">
        <v>23</v>
      </c>
      <c r="C39" s="16">
        <v>2100</v>
      </c>
      <c r="D39" s="4">
        <f>+C39*9%</f>
        <v>189</v>
      </c>
      <c r="E39" s="4">
        <f t="shared" si="1"/>
        <v>189</v>
      </c>
      <c r="F39" s="4" t="str">
        <f t="shared" si="2"/>
        <v xml:space="preserve"> </v>
      </c>
      <c r="G39" s="42">
        <v>0</v>
      </c>
      <c r="H39" s="42">
        <v>0</v>
      </c>
    </row>
    <row r="40" spans="1:11" ht="15.75">
      <c r="A40" s="160" t="s">
        <v>22</v>
      </c>
      <c r="B40" s="70" t="s">
        <v>21</v>
      </c>
      <c r="C40" s="16">
        <v>1450</v>
      </c>
      <c r="D40" s="4">
        <f>+C40*9%</f>
        <v>130.5</v>
      </c>
      <c r="E40" s="4">
        <f t="shared" si="1"/>
        <v>130.5</v>
      </c>
      <c r="F40" s="4" t="str">
        <f t="shared" si="2"/>
        <v xml:space="preserve"> </v>
      </c>
      <c r="G40" s="42">
        <v>0</v>
      </c>
      <c r="H40" s="42">
        <v>0</v>
      </c>
    </row>
    <row r="41" spans="1:11" ht="15.75">
      <c r="A41" s="160" t="s">
        <v>20</v>
      </c>
      <c r="B41" s="70" t="s">
        <v>19</v>
      </c>
      <c r="C41" s="16">
        <v>1885.5</v>
      </c>
      <c r="D41" s="4">
        <f>+C41*9%</f>
        <v>169.69499999999999</v>
      </c>
      <c r="E41" s="4">
        <f t="shared" si="1"/>
        <v>169.69499999999999</v>
      </c>
      <c r="F41" s="4" t="str">
        <f t="shared" si="2"/>
        <v xml:space="preserve"> </v>
      </c>
      <c r="G41" s="42">
        <v>0</v>
      </c>
      <c r="H41" s="42">
        <v>0</v>
      </c>
      <c r="J41" s="1">
        <f>3000*9%</f>
        <v>270</v>
      </c>
    </row>
    <row r="42" spans="1:11" ht="15.75">
      <c r="A42" s="161" t="s">
        <v>18</v>
      </c>
      <c r="B42" s="70" t="s">
        <v>17</v>
      </c>
      <c r="C42" s="16">
        <v>3870</v>
      </c>
      <c r="D42" s="4">
        <f>+C42*9%</f>
        <v>348.3</v>
      </c>
      <c r="E42" s="4">
        <f t="shared" si="1"/>
        <v>348.3</v>
      </c>
      <c r="F42" s="4" t="str">
        <f t="shared" si="2"/>
        <v xml:space="preserve"> </v>
      </c>
      <c r="G42" s="42">
        <v>0</v>
      </c>
      <c r="H42" s="42">
        <v>0</v>
      </c>
      <c r="K42" s="207">
        <f>9000*9%</f>
        <v>810</v>
      </c>
    </row>
    <row r="43" spans="1:11" ht="15.75">
      <c r="A43" s="161" t="s">
        <v>16</v>
      </c>
      <c r="B43" s="70" t="s">
        <v>15</v>
      </c>
      <c r="C43" s="16">
        <v>4900</v>
      </c>
      <c r="D43" s="4">
        <f t="shared" si="0"/>
        <v>441</v>
      </c>
      <c r="E43" s="4">
        <f t="shared" si="1"/>
        <v>441</v>
      </c>
      <c r="F43" s="4" t="str">
        <f t="shared" si="2"/>
        <v xml:space="preserve"> </v>
      </c>
      <c r="G43" s="42">
        <v>0</v>
      </c>
      <c r="H43" s="42">
        <v>0</v>
      </c>
    </row>
    <row r="44" spans="1:11" ht="15.75">
      <c r="A44" s="161" t="s">
        <v>14</v>
      </c>
      <c r="B44" s="70" t="s">
        <v>13</v>
      </c>
      <c r="C44" s="16">
        <v>1453</v>
      </c>
      <c r="D44" s="4">
        <f>+C44*9%</f>
        <v>130.76999999999998</v>
      </c>
      <c r="E44" s="4">
        <f t="shared" si="1"/>
        <v>130.76999999999998</v>
      </c>
      <c r="F44" s="4" t="str">
        <f t="shared" si="2"/>
        <v xml:space="preserve"> </v>
      </c>
      <c r="G44" s="42">
        <v>0</v>
      </c>
      <c r="H44" s="42">
        <v>0</v>
      </c>
    </row>
    <row r="45" spans="1:11" ht="15.75">
      <c r="A45" s="161">
        <v>3317</v>
      </c>
      <c r="B45" s="70" t="s">
        <v>286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42">
        <v>0</v>
      </c>
      <c r="H45" s="42">
        <v>0</v>
      </c>
    </row>
    <row r="46" spans="1:11" ht="15.75">
      <c r="A46" s="161" t="s">
        <v>12</v>
      </c>
      <c r="B46" s="70" t="s">
        <v>11</v>
      </c>
      <c r="C46" s="16"/>
      <c r="D46" s="748">
        <f t="shared" si="0"/>
        <v>0</v>
      </c>
      <c r="E46" s="748">
        <f t="shared" si="1"/>
        <v>0</v>
      </c>
      <c r="F46" s="748">
        <f t="shared" si="2"/>
        <v>0</v>
      </c>
      <c r="G46" s="42">
        <v>0</v>
      </c>
      <c r="H46" s="42">
        <v>0</v>
      </c>
    </row>
    <row r="47" spans="1:11" ht="15.75">
      <c r="A47" s="161">
        <v>3320</v>
      </c>
      <c r="B47" s="70" t="s">
        <v>290</v>
      </c>
      <c r="C47" s="16">
        <f>132638-132638</f>
        <v>0</v>
      </c>
      <c r="D47" s="748">
        <f>+C47*9%</f>
        <v>0</v>
      </c>
      <c r="E47" s="748">
        <f t="shared" si="1"/>
        <v>0</v>
      </c>
      <c r="F47" s="748">
        <f t="shared" si="2"/>
        <v>0</v>
      </c>
      <c r="G47" s="42"/>
      <c r="H47" s="42">
        <v>0</v>
      </c>
      <c r="J47" s="1">
        <f>26800-4679</f>
        <v>22121</v>
      </c>
    </row>
    <row r="48" spans="1:11" ht="15.75">
      <c r="A48" s="161">
        <v>3321</v>
      </c>
      <c r="B48" s="70" t="s">
        <v>156</v>
      </c>
      <c r="C48" s="16"/>
      <c r="D48" s="748">
        <f t="shared" si="0"/>
        <v>0</v>
      </c>
      <c r="E48" s="748">
        <f t="shared" si="1"/>
        <v>0</v>
      </c>
      <c r="F48" s="748">
        <f t="shared" si="2"/>
        <v>0</v>
      </c>
      <c r="G48" s="42">
        <v>0</v>
      </c>
      <c r="H48" s="42">
        <v>0</v>
      </c>
    </row>
    <row r="49" spans="1:9" ht="15.75">
      <c r="A49" s="161">
        <v>3322</v>
      </c>
      <c r="B49" s="70" t="s">
        <v>335</v>
      </c>
      <c r="C49" s="16"/>
      <c r="D49" s="4">
        <f t="shared" si="0"/>
        <v>0</v>
      </c>
      <c r="E49" s="4">
        <f>+D49</f>
        <v>0</v>
      </c>
      <c r="F49" s="4">
        <f>IF(D49&gt;0," ",C49*18%)</f>
        <v>0</v>
      </c>
      <c r="G49" s="42">
        <v>0</v>
      </c>
      <c r="H49" s="42">
        <v>0</v>
      </c>
    </row>
    <row r="50" spans="1:9" ht="15.75">
      <c r="A50" s="161">
        <v>3324</v>
      </c>
      <c r="B50" s="70" t="s">
        <v>439</v>
      </c>
      <c r="C50" s="16"/>
      <c r="D50" s="4">
        <f t="shared" ref="D50" si="3">+C50*9%</f>
        <v>0</v>
      </c>
      <c r="E50" s="4">
        <f>+D50</f>
        <v>0</v>
      </c>
      <c r="F50" s="4">
        <f>IF(D50&gt;0," ",C50*18%)</f>
        <v>0</v>
      </c>
      <c r="G50" s="42">
        <v>0</v>
      </c>
      <c r="H50" s="42">
        <v>0</v>
      </c>
    </row>
    <row r="51" spans="1:9" ht="15.75">
      <c r="A51" s="161">
        <v>3325</v>
      </c>
      <c r="B51" s="70" t="s">
        <v>606</v>
      </c>
      <c r="C51" s="16"/>
      <c r="D51" s="748">
        <f>+C51*2.5%</f>
        <v>0</v>
      </c>
      <c r="E51" s="748">
        <f>+D51</f>
        <v>0</v>
      </c>
      <c r="F51" s="748">
        <f t="shared" ref="F51:F60" si="4">IF(D51&gt;0," ",C51*18%)</f>
        <v>0</v>
      </c>
      <c r="G51" s="42">
        <v>0</v>
      </c>
      <c r="H51" s="42">
        <v>0</v>
      </c>
    </row>
    <row r="52" spans="1:9" ht="15.75">
      <c r="A52" s="161">
        <v>3391</v>
      </c>
      <c r="B52" s="70" t="s">
        <v>300</v>
      </c>
      <c r="C52" s="16">
        <v>14068.5</v>
      </c>
      <c r="D52" s="748">
        <f t="shared" si="0"/>
        <v>1266.165</v>
      </c>
      <c r="E52" s="748">
        <f t="shared" si="1"/>
        <v>1266.165</v>
      </c>
      <c r="F52" s="748" t="str">
        <f t="shared" si="4"/>
        <v xml:space="preserve"> </v>
      </c>
      <c r="G52" s="42">
        <v>0</v>
      </c>
      <c r="H52" s="42">
        <v>0</v>
      </c>
    </row>
    <row r="53" spans="1:9" ht="15.75">
      <c r="A53" s="14">
        <v>3359</v>
      </c>
      <c r="B53" s="70" t="s">
        <v>682</v>
      </c>
      <c r="C53" s="16"/>
      <c r="D53" s="748">
        <f>+C53*9%</f>
        <v>0</v>
      </c>
      <c r="E53" s="748">
        <f t="shared" si="1"/>
        <v>0</v>
      </c>
      <c r="F53" s="748">
        <v>0</v>
      </c>
      <c r="G53" s="42"/>
      <c r="H53" s="42">
        <v>0</v>
      </c>
      <c r="I53" s="1" t="s">
        <v>5</v>
      </c>
    </row>
    <row r="54" spans="1:9" ht="15.75">
      <c r="A54" s="14">
        <v>3825</v>
      </c>
      <c r="B54" s="70" t="s">
        <v>646</v>
      </c>
      <c r="C54" s="16"/>
      <c r="D54" s="748">
        <f>+C54*9%</f>
        <v>0</v>
      </c>
      <c r="E54" s="748">
        <f t="shared" si="1"/>
        <v>0</v>
      </c>
      <c r="F54" s="748">
        <f t="shared" si="4"/>
        <v>0</v>
      </c>
      <c r="G54" s="42">
        <v>0</v>
      </c>
      <c r="H54" s="42">
        <v>0</v>
      </c>
    </row>
    <row r="55" spans="1:9" ht="15.75">
      <c r="A55" s="14">
        <v>3362</v>
      </c>
      <c r="B55" s="70" t="s">
        <v>739</v>
      </c>
      <c r="C55" s="16"/>
      <c r="D55" s="748">
        <f>+C55*9%</f>
        <v>0</v>
      </c>
      <c r="E55" s="748">
        <f t="shared" si="1"/>
        <v>0</v>
      </c>
      <c r="F55" s="748">
        <f t="shared" si="4"/>
        <v>0</v>
      </c>
      <c r="G55" s="42">
        <v>0</v>
      </c>
      <c r="H55" s="42">
        <v>0</v>
      </c>
    </row>
    <row r="56" spans="1:9" ht="15.75">
      <c r="A56" s="14">
        <v>3340</v>
      </c>
      <c r="B56" s="70" t="s">
        <v>785</v>
      </c>
      <c r="C56" s="4"/>
      <c r="D56" s="4">
        <f>+C56*9%</f>
        <v>0</v>
      </c>
      <c r="E56" s="4">
        <f t="shared" si="1"/>
        <v>0</v>
      </c>
      <c r="F56" s="748">
        <f t="shared" si="4"/>
        <v>0</v>
      </c>
      <c r="G56" s="42">
        <v>0</v>
      </c>
      <c r="H56" s="42">
        <v>0</v>
      </c>
    </row>
    <row r="57" spans="1:9" ht="15.75">
      <c r="A57" s="162" t="s">
        <v>10</v>
      </c>
      <c r="B57" s="70"/>
      <c r="C57" s="16"/>
      <c r="D57" s="748">
        <f t="shared" si="0"/>
        <v>0</v>
      </c>
      <c r="E57" s="748">
        <f t="shared" si="1"/>
        <v>0</v>
      </c>
      <c r="F57" s="748">
        <f t="shared" si="4"/>
        <v>0</v>
      </c>
      <c r="G57" s="42">
        <v>0</v>
      </c>
      <c r="H57" s="42">
        <v>0</v>
      </c>
    </row>
    <row r="58" spans="1:9" ht="15.75">
      <c r="A58" s="161" t="s">
        <v>9</v>
      </c>
      <c r="B58" s="70" t="s">
        <v>8</v>
      </c>
      <c r="C58" s="16">
        <v>-63360</v>
      </c>
      <c r="D58" s="748">
        <f t="shared" si="0"/>
        <v>-5702.4</v>
      </c>
      <c r="E58" s="748">
        <f t="shared" si="1"/>
        <v>-5702.4</v>
      </c>
      <c r="F58" s="748">
        <v>0</v>
      </c>
      <c r="G58" s="42">
        <v>63360</v>
      </c>
      <c r="H58" s="42">
        <v>0</v>
      </c>
    </row>
    <row r="59" spans="1:9" ht="15.75">
      <c r="A59" s="160" t="s">
        <v>7</v>
      </c>
      <c r="B59" s="70" t="s">
        <v>6</v>
      </c>
      <c r="C59" s="16">
        <v>20600</v>
      </c>
      <c r="D59" s="748">
        <f>+C59*9%</f>
        <v>1854</v>
      </c>
      <c r="E59" s="748">
        <f t="shared" si="1"/>
        <v>1854</v>
      </c>
      <c r="F59" s="748" t="str">
        <f t="shared" si="4"/>
        <v xml:space="preserve"> </v>
      </c>
      <c r="G59" s="42"/>
      <c r="H59" s="42">
        <v>0</v>
      </c>
      <c r="I59" s="1">
        <f>+G59*0.09</f>
        <v>0</v>
      </c>
    </row>
    <row r="60" spans="1:9" ht="15.75">
      <c r="A60" s="163" t="s">
        <v>5</v>
      </c>
      <c r="B60" s="70" t="s">
        <v>4</v>
      </c>
      <c r="C60" s="16"/>
      <c r="D60" s="4">
        <f t="shared" si="0"/>
        <v>0</v>
      </c>
      <c r="E60" s="4">
        <f t="shared" si="1"/>
        <v>0</v>
      </c>
      <c r="F60" s="748">
        <f t="shared" si="4"/>
        <v>0</v>
      </c>
      <c r="G60" s="42">
        <v>0</v>
      </c>
      <c r="H60" s="42">
        <v>0</v>
      </c>
    </row>
    <row r="61" spans="1:9" ht="15.75">
      <c r="A61" s="431"/>
      <c r="B61" s="432" t="s">
        <v>465</v>
      </c>
      <c r="C61" s="16">
        <v>0</v>
      </c>
      <c r="D61" s="4">
        <f t="shared" si="0"/>
        <v>0</v>
      </c>
      <c r="E61" s="4">
        <f t="shared" si="1"/>
        <v>0</v>
      </c>
      <c r="F61" s="433">
        <v>0</v>
      </c>
      <c r="G61" s="42">
        <v>0</v>
      </c>
      <c r="H61" s="42">
        <v>0</v>
      </c>
    </row>
    <row r="62" spans="1:9" ht="16.5" thickBot="1">
      <c r="A62" s="562"/>
      <c r="B62" s="11" t="s">
        <v>3</v>
      </c>
      <c r="C62" s="10">
        <f>SUM(C9:C61)</f>
        <v>96495.5</v>
      </c>
      <c r="D62" s="10">
        <f>SUM(D9:D61)</f>
        <v>8684.5949999999993</v>
      </c>
      <c r="E62" s="10">
        <f>SUM(E9:E61)</f>
        <v>8684.5949999999993</v>
      </c>
      <c r="F62" s="10">
        <f>SUM(F9:F61)</f>
        <v>0</v>
      </c>
      <c r="G62" s="200">
        <f>+SUM(G9:G60)</f>
        <v>63360</v>
      </c>
      <c r="H62" s="200">
        <f>SUM(H9:H60)</f>
        <v>0</v>
      </c>
    </row>
    <row r="63" spans="1:9" ht="16.5" thickTop="1">
      <c r="A63" s="563" t="s">
        <v>2</v>
      </c>
      <c r="B63" s="8"/>
      <c r="C63" s="7"/>
      <c r="D63" s="7"/>
      <c r="E63" s="7"/>
      <c r="F63" s="6"/>
    </row>
    <row r="64" spans="1:9" ht="15.75">
      <c r="A64" s="163" t="s">
        <v>1</v>
      </c>
      <c r="B64" s="43" t="s">
        <v>0</v>
      </c>
      <c r="C64" s="4"/>
      <c r="D64" s="25">
        <f>+C64*9%</f>
        <v>0</v>
      </c>
      <c r="E64" s="25">
        <f>+D64</f>
        <v>0</v>
      </c>
      <c r="F64" s="25">
        <f>IF(D64&gt;0," ",C64*18%)</f>
        <v>0</v>
      </c>
      <c r="G64" s="139"/>
    </row>
    <row r="65" spans="1:9" ht="15.75">
      <c r="A65" s="163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8684.5949999999993</v>
      </c>
    </row>
    <row r="66" spans="1:9" ht="15.75">
      <c r="A66" s="1228" t="s">
        <v>75</v>
      </c>
      <c r="B66" s="1228"/>
      <c r="C66" s="1228"/>
      <c r="D66" s="1228"/>
      <c r="E66" s="1228"/>
      <c r="F66" s="1228"/>
    </row>
    <row r="67" spans="1:9" ht="15.75">
      <c r="A67" s="564"/>
      <c r="B67" s="28"/>
      <c r="C67" s="28"/>
      <c r="D67" s="28" t="s">
        <v>5</v>
      </c>
      <c r="E67" s="28"/>
      <c r="F67" s="28"/>
      <c r="H67" s="1">
        <v>0</v>
      </c>
    </row>
    <row r="68" spans="1:9" ht="15.75" customHeight="1">
      <c r="A68" s="565" t="s">
        <v>76</v>
      </c>
      <c r="B68" s="29"/>
      <c r="C68" s="3"/>
      <c r="D68" s="3"/>
      <c r="E68" s="3"/>
      <c r="F68" s="3"/>
    </row>
    <row r="69" spans="1:9" ht="15.75" customHeight="1">
      <c r="A69" s="1236" t="s">
        <v>65</v>
      </c>
      <c r="B69" s="1236"/>
      <c r="C69" s="1236"/>
      <c r="D69" s="1236" t="s">
        <v>89</v>
      </c>
      <c r="E69" s="1236" t="s">
        <v>67</v>
      </c>
      <c r="F69" s="1236" t="s">
        <v>68</v>
      </c>
    </row>
    <row r="70" spans="1:9">
      <c r="A70" s="1236"/>
      <c r="B70" s="1236"/>
      <c r="C70" s="1236"/>
      <c r="D70" s="1236"/>
      <c r="E70" s="1236"/>
      <c r="F70" s="1236"/>
    </row>
    <row r="71" spans="1:9" ht="15.75">
      <c r="A71" s="566" t="s">
        <v>80</v>
      </c>
      <c r="B71" s="43"/>
      <c r="C71" s="70"/>
      <c r="D71" s="105">
        <f>+D62</f>
        <v>8684.5949999999993</v>
      </c>
      <c r="E71" s="105">
        <f>+E62</f>
        <v>8684.5949999999993</v>
      </c>
      <c r="F71" s="105">
        <f>+F62</f>
        <v>0</v>
      </c>
    </row>
    <row r="72" spans="1:9" ht="15.75">
      <c r="A72" s="566" t="s">
        <v>103</v>
      </c>
      <c r="B72" s="43"/>
      <c r="C72" s="70">
        <f>+G62</f>
        <v>63360</v>
      </c>
      <c r="D72" s="106">
        <f>C72*0.09</f>
        <v>5702.4</v>
      </c>
      <c r="E72" s="106">
        <f>+C72*0.09</f>
        <v>5702.4</v>
      </c>
      <c r="F72" s="106">
        <v>0</v>
      </c>
      <c r="G72" s="1" t="s">
        <v>5</v>
      </c>
    </row>
    <row r="73" spans="1:9" ht="15.75">
      <c r="A73" s="566"/>
      <c r="B73" s="43"/>
      <c r="C73" s="70"/>
      <c r="D73" s="105">
        <f>+D71+D72</f>
        <v>14386.994999999999</v>
      </c>
      <c r="E73" s="105">
        <f>+E71+E72</f>
        <v>14386.994999999999</v>
      </c>
      <c r="F73" s="105">
        <f>SUM(F71:F72)</f>
        <v>0</v>
      </c>
    </row>
    <row r="74" spans="1:9" ht="15.75">
      <c r="A74" s="566" t="s">
        <v>104</v>
      </c>
      <c r="B74" s="43"/>
      <c r="C74" s="70"/>
      <c r="D74" s="108">
        <v>14387.799999999912</v>
      </c>
      <c r="E74" s="108">
        <f>+D74</f>
        <v>14387.799999999912</v>
      </c>
      <c r="F74" s="108">
        <v>0</v>
      </c>
      <c r="G74" s="1" t="s">
        <v>5</v>
      </c>
    </row>
    <row r="75" spans="1:9" ht="15.75">
      <c r="A75" s="1217" t="s">
        <v>79</v>
      </c>
      <c r="B75" s="1217"/>
      <c r="C75" s="1217"/>
      <c r="D75" s="108">
        <f>+D73-D74</f>
        <v>-0.80499999991297955</v>
      </c>
      <c r="E75" s="108">
        <f>+E73-E74</f>
        <v>-0.80499999991297955</v>
      </c>
      <c r="F75" s="108">
        <f>+F74-F71</f>
        <v>0</v>
      </c>
      <c r="G75" s="1">
        <f>+D75/9*100</f>
        <v>-8.9444444434775505</v>
      </c>
      <c r="I75" s="632"/>
    </row>
    <row r="76" spans="1:9" ht="15.75">
      <c r="A76" s="633"/>
      <c r="B76" s="2"/>
      <c r="C76" s="3"/>
      <c r="D76" s="3"/>
      <c r="E76" s="3"/>
      <c r="F76" s="3"/>
    </row>
    <row r="77" spans="1:9" ht="15" customHeight="1">
      <c r="A77" s="164" t="s">
        <v>77</v>
      </c>
      <c r="B77" s="2"/>
      <c r="C77" s="3"/>
      <c r="D77" s="3"/>
      <c r="E77" s="3"/>
      <c r="F77" s="3"/>
    </row>
    <row r="78" spans="1:9" ht="15" customHeight="1">
      <c r="A78" s="1218" t="s">
        <v>65</v>
      </c>
      <c r="B78" s="1219"/>
      <c r="C78" s="1220"/>
      <c r="D78" s="1234" t="s">
        <v>70</v>
      </c>
      <c r="E78" s="1234" t="s">
        <v>71</v>
      </c>
      <c r="F78" s="1234" t="s">
        <v>72</v>
      </c>
    </row>
    <row r="79" spans="1:9">
      <c r="A79" s="1221"/>
      <c r="B79" s="1222"/>
      <c r="C79" s="1223"/>
      <c r="D79" s="1235" t="s">
        <v>67</v>
      </c>
      <c r="E79" s="1235"/>
      <c r="F79" s="1235"/>
    </row>
    <row r="80" spans="1:9">
      <c r="A80" s="1225"/>
      <c r="B80" s="1226"/>
      <c r="C80" s="1227"/>
      <c r="D80" s="42"/>
      <c r="E80" s="42"/>
      <c r="F80" s="42"/>
      <c r="G80" s="32"/>
      <c r="H80" s="32"/>
    </row>
    <row r="81" spans="1:9" ht="15.75">
      <c r="A81" s="1216" t="s">
        <v>69</v>
      </c>
      <c r="B81" s="1216"/>
      <c r="C81" s="1216"/>
      <c r="D81" s="108">
        <v>2672.55</v>
      </c>
      <c r="E81" s="108">
        <f>+D81</f>
        <v>2672.55</v>
      </c>
      <c r="F81" s="108">
        <v>0</v>
      </c>
      <c r="G81" s="32">
        <f>+D81/2</f>
        <v>1336.2750000000001</v>
      </c>
      <c r="H81" s="32">
        <f>+E81/2</f>
        <v>1336.2750000000001</v>
      </c>
      <c r="I81" s="1">
        <f t="shared" ref="H81:I83" si="5">+F81/2</f>
        <v>0</v>
      </c>
    </row>
    <row r="82" spans="1:9" ht="15.75">
      <c r="A82" s="1224" t="s">
        <v>83</v>
      </c>
      <c r="B82" s="1224"/>
      <c r="C82" s="1224"/>
      <c r="D82" s="105">
        <f>+C96</f>
        <v>40.049999999999997</v>
      </c>
      <c r="E82" s="105">
        <f>+D82</f>
        <v>40.049999999999997</v>
      </c>
      <c r="F82" s="105">
        <f>+E96</f>
        <v>0</v>
      </c>
      <c r="G82" s="32">
        <f>+D82/2</f>
        <v>20.024999999999999</v>
      </c>
      <c r="H82" s="32">
        <f t="shared" si="5"/>
        <v>20.024999999999999</v>
      </c>
      <c r="I82" s="1">
        <f t="shared" si="5"/>
        <v>0</v>
      </c>
    </row>
    <row r="83" spans="1:9" ht="15.75">
      <c r="A83" s="1215" t="s">
        <v>82</v>
      </c>
      <c r="B83" s="1215"/>
      <c r="C83" s="1215"/>
      <c r="D83" s="108">
        <f>+D81-D82</f>
        <v>2632.5</v>
      </c>
      <c r="E83" s="108">
        <f>+E81-E82</f>
        <v>2632.5</v>
      </c>
      <c r="F83" s="108">
        <f>+F81-F82</f>
        <v>0</v>
      </c>
      <c r="G83" s="32">
        <f>+D83/2</f>
        <v>1316.25</v>
      </c>
      <c r="H83" s="32">
        <f t="shared" si="5"/>
        <v>1316.25</v>
      </c>
      <c r="I83" s="1">
        <f t="shared" si="5"/>
        <v>0</v>
      </c>
    </row>
    <row r="85" spans="1:9">
      <c r="B85" s="1214" t="s">
        <v>382</v>
      </c>
      <c r="C85" s="1214"/>
      <c r="D85" s="1214"/>
      <c r="E85" s="1214"/>
    </row>
    <row r="86" spans="1:9">
      <c r="B86" s="739" t="s">
        <v>322</v>
      </c>
      <c r="C86" s="739" t="s">
        <v>89</v>
      </c>
      <c r="D86" s="739" t="s">
        <v>67</v>
      </c>
      <c r="E86" s="739" t="s">
        <v>68</v>
      </c>
    </row>
    <row r="87" spans="1:9">
      <c r="B87" s="740" t="s">
        <v>102</v>
      </c>
      <c r="C87" s="740">
        <v>40.049999999999997</v>
      </c>
      <c r="D87" s="740">
        <f>+C87</f>
        <v>40.049999999999997</v>
      </c>
      <c r="E87" s="740">
        <v>0</v>
      </c>
    </row>
    <row r="88" spans="1:9">
      <c r="B88" s="740" t="s">
        <v>102</v>
      </c>
      <c r="C88" s="740">
        <v>0</v>
      </c>
      <c r="D88" s="740">
        <f t="shared" ref="D88:D93" si="6">+C88</f>
        <v>0</v>
      </c>
      <c r="E88" s="740">
        <v>0</v>
      </c>
    </row>
    <row r="89" spans="1:9">
      <c r="B89" s="740" t="s">
        <v>102</v>
      </c>
      <c r="C89" s="740">
        <v>0</v>
      </c>
      <c r="D89" s="740">
        <f t="shared" si="6"/>
        <v>0</v>
      </c>
      <c r="E89" s="740">
        <v>0</v>
      </c>
    </row>
    <row r="90" spans="1:9">
      <c r="B90" s="740" t="s">
        <v>102</v>
      </c>
      <c r="C90" s="740">
        <v>0</v>
      </c>
      <c r="D90" s="740">
        <f t="shared" si="6"/>
        <v>0</v>
      </c>
      <c r="E90" s="740">
        <v>0</v>
      </c>
    </row>
    <row r="91" spans="1:9">
      <c r="B91" s="740" t="s">
        <v>102</v>
      </c>
      <c r="C91" s="740">
        <v>0</v>
      </c>
      <c r="D91" s="740">
        <f t="shared" si="6"/>
        <v>0</v>
      </c>
      <c r="E91" s="740">
        <v>0</v>
      </c>
    </row>
    <row r="92" spans="1:9">
      <c r="B92" s="740" t="s">
        <v>102</v>
      </c>
      <c r="C92" s="740">
        <v>0</v>
      </c>
      <c r="D92" s="740">
        <f t="shared" si="6"/>
        <v>0</v>
      </c>
      <c r="E92" s="740">
        <v>0</v>
      </c>
    </row>
    <row r="93" spans="1:9">
      <c r="B93" s="740" t="s">
        <v>102</v>
      </c>
      <c r="C93" s="740">
        <v>0</v>
      </c>
      <c r="D93" s="740">
        <f t="shared" si="6"/>
        <v>0</v>
      </c>
      <c r="E93" s="740">
        <v>0</v>
      </c>
    </row>
    <row r="94" spans="1:9">
      <c r="B94" s="740" t="s">
        <v>659</v>
      </c>
      <c r="C94" s="740">
        <v>0</v>
      </c>
      <c r="D94" s="740">
        <f>+C94</f>
        <v>0</v>
      </c>
      <c r="E94" s="740">
        <v>0</v>
      </c>
    </row>
    <row r="95" spans="1:9">
      <c r="B95" s="740" t="s">
        <v>543</v>
      </c>
      <c r="C95" s="740">
        <v>0</v>
      </c>
      <c r="D95" s="740">
        <f>+C95</f>
        <v>0</v>
      </c>
      <c r="E95" s="740">
        <v>0</v>
      </c>
    </row>
    <row r="96" spans="1:9">
      <c r="B96" s="739"/>
      <c r="C96" s="742">
        <f>SUM(C87:C95)</f>
        <v>40.049999999999997</v>
      </c>
      <c r="D96" s="742">
        <f>SUM(D87:D95)</f>
        <v>40.049999999999997</v>
      </c>
      <c r="E96" s="742">
        <f>SUM(E87:E95)</f>
        <v>0</v>
      </c>
    </row>
    <row r="97" spans="1:6">
      <c r="C97" s="32"/>
      <c r="D97" s="32"/>
    </row>
    <row r="101" spans="1:6">
      <c r="A101" s="1023"/>
      <c r="B101" s="1023"/>
      <c r="C101" s="1023"/>
      <c r="D101" s="1023"/>
      <c r="E101" s="1023"/>
      <c r="F101" s="1023"/>
    </row>
    <row r="102" spans="1:6">
      <c r="A102" s="1023"/>
      <c r="B102" s="1023"/>
      <c r="C102" s="1023"/>
      <c r="D102" s="1023"/>
      <c r="E102" s="1023"/>
      <c r="F102" s="1023"/>
    </row>
  </sheetData>
  <sheetProtection formatCells="0" formatRows="0" insertColumns="0" insertRows="0" deleteColumns="0" deleteRows="0"/>
  <mergeCells count="26">
    <mergeCell ref="G7:G8"/>
    <mergeCell ref="H7:H8"/>
    <mergeCell ref="A66:F66"/>
    <mergeCell ref="D78:D79"/>
    <mergeCell ref="E78:E79"/>
    <mergeCell ref="F78:F79"/>
    <mergeCell ref="F69:F70"/>
    <mergeCell ref="A69:C70"/>
    <mergeCell ref="D69:D70"/>
    <mergeCell ref="E69:E7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85:E85"/>
    <mergeCell ref="A83:C83"/>
    <mergeCell ref="A81:C81"/>
    <mergeCell ref="A75:C75"/>
    <mergeCell ref="A78:C79"/>
    <mergeCell ref="A82:C82"/>
    <mergeCell ref="A80:C80"/>
  </mergeCells>
  <conditionalFormatting sqref="A38">
    <cfRule type="containsText" dxfId="608" priority="55" operator="containsText" text="LESS COLLECTED">
      <formula>NOT(ISERROR(SEARCH("LESS COLLECTED",A38)))</formula>
    </cfRule>
    <cfRule type="containsText" dxfId="607" priority="56" operator="containsText" text="LESS COLLECTED">
      <formula>NOT(ISERROR(SEARCH("LESS COLLECTED",A38)))</formula>
    </cfRule>
  </conditionalFormatting>
  <conditionalFormatting sqref="A22:B36 G81:XFD1048576">
    <cfRule type="containsText" dxfId="606" priority="39" operator="containsText" text="EXCESS COLLECTED">
      <formula>NOT(ISERROR(SEARCH("EXCESS COLLECTED",A22)))</formula>
    </cfRule>
  </conditionalFormatting>
  <conditionalFormatting sqref="A22:B37 G81:XFD1048576">
    <cfRule type="containsText" dxfId="605" priority="40" operator="containsText" text="LESS COLLECTED">
      <formula>NOT(ISERROR(SEARCH("LESS COLLECTED",A22)))</formula>
    </cfRule>
  </conditionalFormatting>
  <conditionalFormatting sqref="A39:B56">
    <cfRule type="containsText" dxfId="604" priority="11" operator="containsText" text="EXCESS COLLECTED">
      <formula>NOT(ISERROR(SEARCH("EXCESS COLLECTED",A39)))</formula>
    </cfRule>
    <cfRule type="containsText" dxfId="603" priority="12" operator="containsText" text="LESS COLLECTED">
      <formula>NOT(ISERROR(SEARCH("LESS COLLECTED",A39)))</formula>
    </cfRule>
  </conditionalFormatting>
  <conditionalFormatting sqref="C10:F13 D14:F14 A57:F64">
    <cfRule type="containsText" dxfId="602" priority="17" operator="containsText" text="EXCESS COLLECTED">
      <formula>NOT(ISERROR(SEARCH("EXCESS COLLECTED",A10)))</formula>
    </cfRule>
  </conditionalFormatting>
  <conditionalFormatting sqref="A62:F84">
    <cfRule type="containsText" dxfId="601" priority="54" operator="containsText" text="LESS COLLECTED">
      <formula>NOT(ISERROR(SEARCH("LESS COLLECTED",A62)))</formula>
    </cfRule>
  </conditionalFormatting>
  <conditionalFormatting sqref="A66:F84">
    <cfRule type="containsText" dxfId="600" priority="53" operator="containsText" text="EXCESS COLLECTED">
      <formula>NOT(ISERROR(SEARCH("EXCESS COLLECTED",A66)))</formula>
    </cfRule>
  </conditionalFormatting>
  <conditionalFormatting sqref="A87:F100 A103:F1048576">
    <cfRule type="containsText" dxfId="599" priority="29" operator="containsText" text="EXCESS COLLECTED">
      <formula>NOT(ISERROR(SEARCH("EXCESS COLLECTED",A87)))</formula>
    </cfRule>
    <cfRule type="containsText" dxfId="598" priority="30" operator="containsText" text="LESS COLLECTED">
      <formula>NOT(ISERROR(SEARCH("LESS COLLECTED",A87)))</formula>
    </cfRule>
  </conditionalFormatting>
  <conditionalFormatting sqref="A7:H7">
    <cfRule type="containsText" dxfId="597" priority="51" operator="containsText" text="EXCESS COLLECTED">
      <formula>NOT(ISERROR(SEARCH("EXCESS COLLECTED",A7)))</formula>
    </cfRule>
    <cfRule type="containsText" dxfId="596" priority="52" operator="containsText" text="LESS COLLECTED">
      <formula>NOT(ISERROR(SEARCH("LESS COLLECTED",A7)))</formula>
    </cfRule>
  </conditionalFormatting>
  <conditionalFormatting sqref="A1:XFD6">
    <cfRule type="containsText" dxfId="595" priority="59" operator="containsText" text="EXCESS COLLECTED">
      <formula>NOT(ISERROR(SEARCH("EXCESS COLLECTED",A1)))</formula>
    </cfRule>
    <cfRule type="containsText" dxfId="594" priority="60" operator="containsText" text="LESS COLLECTED">
      <formula>NOT(ISERROR(SEARCH("LESS COLLECTED",A1)))</formula>
    </cfRule>
  </conditionalFormatting>
  <conditionalFormatting sqref="C10:F13 D14:F14 A57:F61">
    <cfRule type="containsText" dxfId="593" priority="18" operator="containsText" text="LESS COLLECTED">
      <formula>NOT(ISERROR(SEARCH("LESS COLLECTED",A10)))</formula>
    </cfRule>
  </conditionalFormatting>
  <conditionalFormatting sqref="C15:F48 C49:C50 C51:F56 F54:F60">
    <cfRule type="containsText" dxfId="592" priority="9" operator="containsText" text="EXCESS COLLECTED">
      <formula>NOT(ISERROR(SEARCH("EXCESS COLLECTED",C15)))</formula>
    </cfRule>
    <cfRule type="containsText" dxfId="591" priority="10" operator="containsText" text="LESS COLLECTED">
      <formula>NOT(ISERROR(SEARCH("LESS COLLECTED",C15)))</formula>
    </cfRule>
  </conditionalFormatting>
  <conditionalFormatting sqref="D49:D50">
    <cfRule type="containsText" dxfId="590" priority="3" operator="containsText" text="LESS COLLECTED">
      <formula>NOT(ISERROR(SEARCH("LESS COLLECTED",D49)))</formula>
    </cfRule>
  </conditionalFormatting>
  <conditionalFormatting sqref="D50:E50">
    <cfRule type="containsText" dxfId="589" priority="7" operator="containsText" text="EXCESS COLLECTED">
      <formula>NOT(ISERROR(SEARCH("EXCESS COLLECTED",D50)))</formula>
    </cfRule>
    <cfRule type="containsText" dxfId="588" priority="8" operator="containsText" text="LESS COLLECTED">
      <formula>NOT(ISERROR(SEARCH("LESS COLLECTED",D50)))</formula>
    </cfRule>
  </conditionalFormatting>
  <conditionalFormatting sqref="D49:F49">
    <cfRule type="containsText" dxfId="587" priority="4" operator="containsText" text="EXCESS COLLECTED">
      <formula>NOT(ISERROR(SEARCH("EXCESS COLLECTED",D49)))</formula>
    </cfRule>
    <cfRule type="containsText" dxfId="586" priority="5" operator="containsText" text="LESS COLLECTED">
      <formula>NOT(ISERROR(SEARCH("LESS COLLECTED",D49)))</formula>
    </cfRule>
  </conditionalFormatting>
  <conditionalFormatting sqref="F50">
    <cfRule type="containsText" dxfId="585" priority="1" operator="containsText" text="EXCESS COLLECTED">
      <formula>NOT(ISERROR(SEARCH("EXCESS COLLECTED",F50)))</formula>
    </cfRule>
    <cfRule type="containsText" dxfId="584" priority="2" operator="containsText" text="LESS COLLECTED">
      <formula>NOT(ISERROR(SEARCH("LESS COLLECTED",F50)))</formula>
    </cfRule>
  </conditionalFormatting>
  <conditionalFormatting sqref="H9:H61">
    <cfRule type="containsText" dxfId="583" priority="45" operator="containsText" text="EXCESS COLLECTED">
      <formula>NOT(ISERROR(SEARCH("EXCESS COLLECTED",H9)))</formula>
    </cfRule>
    <cfRule type="containsText" dxfId="582" priority="46" operator="containsText" text="LESS COLLECTED">
      <formula>NOT(ISERROR(SEARCH("LESS COLLECTED",H9)))</formula>
    </cfRule>
  </conditionalFormatting>
  <conditionalFormatting sqref="I7:XFD61 A8:F8 A9:G9 A10:B19 G10:G61 B38 G62:XFD79 H80:XFD80 B85 F85 A85:A86 C86:F86">
    <cfRule type="containsText" dxfId="581" priority="75" operator="containsText" text="EXCESS COLLECTED">
      <formula>NOT(ISERROR(SEARCH("EXCESS COLLECTED",A7)))</formula>
    </cfRule>
    <cfRule type="containsText" dxfId="580" priority="76" operator="containsText" text="LESS COLLECTED">
      <formula>NOT(ISERROR(SEARCH("LESS COLLECTED",A7)))</formula>
    </cfRule>
  </conditionalFormatting>
  <pageMargins left="0.85236220500000004" right="0.81496062999999996" top="0.25" bottom="0.25" header="0.31496062992126" footer="0.31496062992126"/>
  <pageSetup paperSize="9" scale="50" orientation="portrait" r:id="rId1"/>
  <ignoredErrors>
    <ignoredError sqref="E8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92D050"/>
  </sheetPr>
  <dimension ref="A1:O97"/>
  <sheetViews>
    <sheetView topLeftCell="A74" workbookViewId="0">
      <selection activeCell="D74" sqref="D74"/>
    </sheetView>
  </sheetViews>
  <sheetFormatPr defaultColWidth="19.85546875" defaultRowHeight="15"/>
  <cols>
    <col min="1" max="1" width="11.140625" style="1" customWidth="1"/>
    <col min="2" max="2" width="43.7109375" style="1" customWidth="1"/>
    <col min="3" max="3" width="13.28515625" style="1" customWidth="1"/>
    <col min="4" max="5" width="16.85546875" style="1" bestFit="1" customWidth="1"/>
    <col min="6" max="6" width="10.85546875" style="1" bestFit="1" customWidth="1"/>
    <col min="7" max="16384" width="19.8554687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78</v>
      </c>
      <c r="B3" s="1229"/>
      <c r="C3" s="1229"/>
      <c r="D3" s="1229"/>
      <c r="E3" s="1229"/>
      <c r="F3" s="1229"/>
    </row>
    <row r="4" spans="1:10" ht="15.75">
      <c r="A4" s="1229" t="s">
        <v>352</v>
      </c>
      <c r="B4" s="1229"/>
      <c r="C4" s="1229"/>
      <c r="D4" s="1229"/>
      <c r="E4" s="1229"/>
      <c r="F4" s="1229"/>
    </row>
    <row r="5" spans="1:10" ht="15.75">
      <c r="A5" s="1228" t="str">
        <f>+'ODHAV '!A5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40" t="s">
        <v>383</v>
      </c>
      <c r="H7" s="1240" t="s">
        <v>384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40"/>
      <c r="H8" s="1240"/>
    </row>
    <row r="9" spans="1:10" ht="15.75">
      <c r="A9" s="18">
        <v>3303</v>
      </c>
      <c r="B9" s="70" t="s">
        <v>609</v>
      </c>
      <c r="C9" s="4">
        <v>0</v>
      </c>
      <c r="D9" s="4">
        <f t="shared" ref="D9:D50" si="0"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</row>
    <row r="10" spans="1:10" ht="15.75">
      <c r="A10" s="18">
        <v>3200</v>
      </c>
      <c r="B10" s="70" t="s">
        <v>61</v>
      </c>
      <c r="C10" s="4">
        <v>0</v>
      </c>
      <c r="D10" s="4">
        <f t="shared" si="0"/>
        <v>0</v>
      </c>
      <c r="E10" s="4">
        <f t="shared" ref="E10:E59" si="1">+D10</f>
        <v>0</v>
      </c>
      <c r="F10" s="4">
        <f>IF(D10&gt;0," ",C10*18%)</f>
        <v>0</v>
      </c>
      <c r="G10" s="266">
        <v>0</v>
      </c>
      <c r="H10" s="266">
        <v>0</v>
      </c>
    </row>
    <row r="11" spans="1:10" ht="15.75">
      <c r="A11" s="13" t="s">
        <v>60</v>
      </c>
      <c r="B11" s="70" t="s">
        <v>59</v>
      </c>
      <c r="C11" s="4">
        <v>50</v>
      </c>
      <c r="D11" s="4">
        <f t="shared" si="0"/>
        <v>4.5</v>
      </c>
      <c r="E11" s="4">
        <f t="shared" si="1"/>
        <v>4.5</v>
      </c>
      <c r="F11" s="4" t="str">
        <f>IF(D11&gt;0," ",C11*18%)</f>
        <v xml:space="preserve"> </v>
      </c>
      <c r="G11" s="266">
        <v>0</v>
      </c>
      <c r="H11" s="266">
        <v>0</v>
      </c>
    </row>
    <row r="12" spans="1:10" ht="15.75">
      <c r="A12" s="14" t="s">
        <v>58</v>
      </c>
      <c r="B12" s="70" t="s">
        <v>57</v>
      </c>
      <c r="C12" s="4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266">
        <v>0</v>
      </c>
      <c r="H12" s="266">
        <v>0</v>
      </c>
    </row>
    <row r="13" spans="1:10" ht="15.75">
      <c r="A13" s="13" t="s">
        <v>56</v>
      </c>
      <c r="B13" s="70" t="s">
        <v>55</v>
      </c>
      <c r="C13" s="4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266">
        <v>0</v>
      </c>
      <c r="H13" s="266">
        <v>0</v>
      </c>
    </row>
    <row r="14" spans="1:10" ht="15.75">
      <c r="A14" s="13" t="s">
        <v>54</v>
      </c>
      <c r="B14" s="70" t="s">
        <v>53</v>
      </c>
      <c r="C14" s="4">
        <v>1225</v>
      </c>
      <c r="D14" s="4">
        <f t="shared" si="0"/>
        <v>110.25</v>
      </c>
      <c r="E14" s="4">
        <f t="shared" si="1"/>
        <v>110.25</v>
      </c>
      <c r="F14" s="4">
        <v>0</v>
      </c>
      <c r="G14" s="266">
        <v>0</v>
      </c>
      <c r="H14" s="266">
        <v>0</v>
      </c>
    </row>
    <row r="15" spans="1:10" ht="15.75">
      <c r="A15" s="13" t="s">
        <v>52</v>
      </c>
      <c r="B15" s="70" t="s">
        <v>51</v>
      </c>
      <c r="C15" s="4"/>
      <c r="D15" s="4">
        <f t="shared" si="0"/>
        <v>0</v>
      </c>
      <c r="E15" s="4">
        <f t="shared" si="1"/>
        <v>0</v>
      </c>
      <c r="F15" s="4">
        <f t="shared" ref="F15:F28" si="2">IF(D15&gt;0," ",C15*18%)</f>
        <v>0</v>
      </c>
      <c r="G15" s="266">
        <v>0</v>
      </c>
      <c r="H15" s="266">
        <v>0</v>
      </c>
    </row>
    <row r="16" spans="1:10" ht="15.75">
      <c r="A16" s="14" t="s">
        <v>50</v>
      </c>
      <c r="B16" s="70" t="s">
        <v>49</v>
      </c>
      <c r="C16" s="4"/>
      <c r="D16" s="4">
        <f t="shared" si="0"/>
        <v>0</v>
      </c>
      <c r="E16" s="4">
        <f t="shared" si="1"/>
        <v>0</v>
      </c>
      <c r="F16" s="4">
        <f t="shared" si="2"/>
        <v>0</v>
      </c>
      <c r="G16" s="266">
        <v>0</v>
      </c>
      <c r="H16" s="266">
        <v>0</v>
      </c>
    </row>
    <row r="17" spans="1:15" ht="15.75">
      <c r="A17" s="14" t="s">
        <v>48</v>
      </c>
      <c r="B17" s="70" t="s">
        <v>47</v>
      </c>
      <c r="C17" s="4">
        <v>1500</v>
      </c>
      <c r="D17" s="4">
        <f>+C17*9%</f>
        <v>135</v>
      </c>
      <c r="E17" s="4">
        <f t="shared" si="1"/>
        <v>135</v>
      </c>
      <c r="F17" s="4" t="str">
        <f t="shared" si="2"/>
        <v xml:space="preserve"> </v>
      </c>
      <c r="G17" s="266">
        <v>0</v>
      </c>
      <c r="H17" s="266">
        <v>0</v>
      </c>
    </row>
    <row r="18" spans="1:15" ht="15.75">
      <c r="A18" s="14" t="s">
        <v>46</v>
      </c>
      <c r="B18" s="70" t="s">
        <v>45</v>
      </c>
      <c r="C18" s="4"/>
      <c r="D18" s="4">
        <f t="shared" si="0"/>
        <v>0</v>
      </c>
      <c r="E18" s="4">
        <f t="shared" si="1"/>
        <v>0</v>
      </c>
      <c r="F18" s="4">
        <f t="shared" si="2"/>
        <v>0</v>
      </c>
      <c r="G18" s="266">
        <v>0</v>
      </c>
      <c r="H18" s="266">
        <v>0</v>
      </c>
    </row>
    <row r="19" spans="1:15" ht="15.75">
      <c r="A19" s="13" t="s">
        <v>44</v>
      </c>
      <c r="B19" s="70" t="s">
        <v>43</v>
      </c>
      <c r="C19" s="4">
        <v>20471</v>
      </c>
      <c r="D19" s="4">
        <f t="shared" si="0"/>
        <v>1842.3899999999999</v>
      </c>
      <c r="E19" s="4">
        <f t="shared" si="1"/>
        <v>1842.3899999999999</v>
      </c>
      <c r="F19" s="4" t="str">
        <f t="shared" si="2"/>
        <v xml:space="preserve"> </v>
      </c>
      <c r="G19" s="266">
        <v>0</v>
      </c>
      <c r="H19" s="266">
        <v>0</v>
      </c>
    </row>
    <row r="20" spans="1:15" ht="15.75">
      <c r="A20" s="13">
        <v>3271</v>
      </c>
      <c r="B20" s="70" t="s">
        <v>533</v>
      </c>
      <c r="C20" s="4">
        <v>13250</v>
      </c>
      <c r="D20" s="4">
        <f t="shared" si="0"/>
        <v>1192.5</v>
      </c>
      <c r="E20" s="4">
        <f t="shared" si="1"/>
        <v>1192.5</v>
      </c>
      <c r="F20" s="4"/>
      <c r="G20" s="266">
        <v>0</v>
      </c>
      <c r="H20" s="266">
        <v>0</v>
      </c>
    </row>
    <row r="21" spans="1:15" ht="15.75">
      <c r="A21" s="13">
        <v>3274</v>
      </c>
      <c r="B21" s="70" t="s">
        <v>554</v>
      </c>
      <c r="C21" s="4"/>
      <c r="D21" s="4">
        <f t="shared" si="0"/>
        <v>0</v>
      </c>
      <c r="E21" s="4">
        <f t="shared" si="1"/>
        <v>0</v>
      </c>
      <c r="F21" s="4">
        <f t="shared" si="2"/>
        <v>0</v>
      </c>
      <c r="G21" s="266">
        <v>0</v>
      </c>
      <c r="H21" s="266">
        <v>0</v>
      </c>
    </row>
    <row r="22" spans="1:15" ht="15.75">
      <c r="A22" s="17" t="s">
        <v>42</v>
      </c>
      <c r="B22" s="70" t="s">
        <v>41</v>
      </c>
      <c r="C22" s="4"/>
      <c r="D22" s="4">
        <f t="shared" si="0"/>
        <v>0</v>
      </c>
      <c r="E22" s="4">
        <f t="shared" si="1"/>
        <v>0</v>
      </c>
      <c r="F22" s="4">
        <f t="shared" si="2"/>
        <v>0</v>
      </c>
      <c r="G22" s="266">
        <v>0</v>
      </c>
      <c r="H22" s="266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4"/>
      <c r="D23" s="4">
        <f t="shared" si="0"/>
        <v>0</v>
      </c>
      <c r="E23" s="4">
        <f t="shared" si="1"/>
        <v>0</v>
      </c>
      <c r="F23" s="4">
        <f t="shared" si="2"/>
        <v>0</v>
      </c>
      <c r="G23" s="266">
        <v>0</v>
      </c>
      <c r="H23" s="266">
        <v>0</v>
      </c>
    </row>
    <row r="24" spans="1:15" ht="15.75">
      <c r="A24" s="14" t="s">
        <v>38</v>
      </c>
      <c r="B24" s="70" t="s">
        <v>37</v>
      </c>
      <c r="C24" s="4"/>
      <c r="D24" s="4">
        <f t="shared" si="0"/>
        <v>0</v>
      </c>
      <c r="E24" s="4">
        <f t="shared" si="1"/>
        <v>0</v>
      </c>
      <c r="F24" s="4">
        <f t="shared" si="2"/>
        <v>0</v>
      </c>
      <c r="G24" s="266">
        <v>0</v>
      </c>
      <c r="H24" s="266">
        <v>0</v>
      </c>
    </row>
    <row r="25" spans="1:15" ht="15.75">
      <c r="A25" s="16" t="s">
        <v>36</v>
      </c>
      <c r="B25" s="70" t="s">
        <v>35</v>
      </c>
      <c r="C25" s="4"/>
      <c r="D25" s="4">
        <f t="shared" si="0"/>
        <v>0</v>
      </c>
      <c r="E25" s="4">
        <f t="shared" si="1"/>
        <v>0</v>
      </c>
      <c r="F25" s="4">
        <f t="shared" si="2"/>
        <v>0</v>
      </c>
      <c r="G25" s="266">
        <v>0</v>
      </c>
      <c r="H25" s="266">
        <v>0</v>
      </c>
    </row>
    <row r="26" spans="1:15" ht="15.75">
      <c r="A26" s="16" t="s">
        <v>34</v>
      </c>
      <c r="B26" s="70" t="s">
        <v>33</v>
      </c>
      <c r="C26" s="4"/>
      <c r="D26" s="4">
        <f t="shared" si="0"/>
        <v>0</v>
      </c>
      <c r="E26" s="4">
        <f t="shared" si="1"/>
        <v>0</v>
      </c>
      <c r="F26" s="4">
        <f t="shared" si="2"/>
        <v>0</v>
      </c>
      <c r="G26" s="266">
        <v>0</v>
      </c>
      <c r="H26" s="266">
        <v>0</v>
      </c>
    </row>
    <row r="27" spans="1:15" ht="15.75">
      <c r="A27" s="16" t="s">
        <v>32</v>
      </c>
      <c r="B27" s="70" t="s">
        <v>31</v>
      </c>
      <c r="C27" s="4"/>
      <c r="D27" s="4">
        <f t="shared" si="0"/>
        <v>0</v>
      </c>
      <c r="E27" s="4">
        <f t="shared" si="1"/>
        <v>0</v>
      </c>
      <c r="F27" s="4">
        <f t="shared" si="2"/>
        <v>0</v>
      </c>
      <c r="G27" s="266">
        <v>0</v>
      </c>
      <c r="H27" s="266">
        <v>0</v>
      </c>
    </row>
    <row r="28" spans="1:15" ht="15.75">
      <c r="A28" s="137">
        <v>3291</v>
      </c>
      <c r="B28" s="33" t="s">
        <v>325</v>
      </c>
      <c r="C28" s="4"/>
      <c r="D28" s="4">
        <f t="shared" si="0"/>
        <v>0</v>
      </c>
      <c r="E28" s="4">
        <f t="shared" si="1"/>
        <v>0</v>
      </c>
      <c r="F28" s="4">
        <f t="shared" si="2"/>
        <v>0</v>
      </c>
      <c r="G28" s="266">
        <v>0</v>
      </c>
      <c r="H28" s="266">
        <v>0</v>
      </c>
    </row>
    <row r="29" spans="1:15" ht="15.75">
      <c r="A29" s="137" t="s">
        <v>526</v>
      </c>
      <c r="B29" s="33" t="s">
        <v>523</v>
      </c>
      <c r="C29" s="4">
        <v>2517.5</v>
      </c>
      <c r="D29" s="4">
        <f>+C29*9%</f>
        <v>226.57499999999999</v>
      </c>
      <c r="E29" s="4">
        <f>+D29</f>
        <v>226.57499999999999</v>
      </c>
      <c r="F29" s="4" t="str">
        <f>IF(D29&gt;0," ",C29*18%)</f>
        <v xml:space="preserve"> </v>
      </c>
      <c r="G29" s="266">
        <v>0</v>
      </c>
      <c r="H29" s="266">
        <v>0</v>
      </c>
    </row>
    <row r="30" spans="1:15" ht="15.75">
      <c r="A30" s="137" t="s">
        <v>527</v>
      </c>
      <c r="B30" s="33" t="s">
        <v>524</v>
      </c>
      <c r="C30" s="4">
        <v>1810</v>
      </c>
      <c r="D30" s="4">
        <f>+C30*9%</f>
        <v>162.9</v>
      </c>
      <c r="E30" s="4">
        <f>+D30</f>
        <v>162.9</v>
      </c>
      <c r="F30" s="4" t="str">
        <f>IF(D30&gt;0," ",C30*18%)</f>
        <v xml:space="preserve"> </v>
      </c>
      <c r="G30" s="266">
        <v>0</v>
      </c>
      <c r="H30" s="266">
        <v>0</v>
      </c>
    </row>
    <row r="31" spans="1:15" ht="15.75">
      <c r="A31" s="137" t="s">
        <v>528</v>
      </c>
      <c r="B31" s="33" t="s">
        <v>529</v>
      </c>
      <c r="C31" s="4">
        <v>600</v>
      </c>
      <c r="D31" s="4">
        <f>+C31*9%</f>
        <v>54</v>
      </c>
      <c r="E31" s="4">
        <f>+D31</f>
        <v>54</v>
      </c>
      <c r="F31" s="4" t="str">
        <f>IF(D31&gt;0," ",C31*18%)</f>
        <v xml:space="preserve"> </v>
      </c>
      <c r="G31" s="266">
        <v>0</v>
      </c>
      <c r="H31" s="266">
        <v>0</v>
      </c>
    </row>
    <row r="32" spans="1:15" ht="15.75">
      <c r="A32" s="137" t="s">
        <v>531</v>
      </c>
      <c r="B32" s="33" t="s">
        <v>532</v>
      </c>
      <c r="C32" s="4"/>
      <c r="D32" s="4">
        <f>+C32*9%</f>
        <v>0</v>
      </c>
      <c r="E32" s="4">
        <f>+D32</f>
        <v>0</v>
      </c>
      <c r="F32" s="4">
        <f>IF(D32&gt;0," ",C32*18%)</f>
        <v>0</v>
      </c>
      <c r="G32" s="266">
        <v>0</v>
      </c>
      <c r="H32" s="266">
        <v>0</v>
      </c>
    </row>
    <row r="33" spans="1:9" ht="15.75">
      <c r="A33" s="13" t="s">
        <v>30</v>
      </c>
      <c r="B33" s="70" t="s">
        <v>29</v>
      </c>
      <c r="C33" s="4">
        <v>111999.9</v>
      </c>
      <c r="D33" s="4">
        <f>+C33*9%</f>
        <v>10079.991</v>
      </c>
      <c r="E33" s="4">
        <f>+D33</f>
        <v>10079.991</v>
      </c>
      <c r="F33" s="4">
        <v>0</v>
      </c>
      <c r="G33" s="266">
        <v>0</v>
      </c>
      <c r="H33" s="266">
        <v>0</v>
      </c>
      <c r="I33" s="1195"/>
    </row>
    <row r="34" spans="1:9" ht="15.75">
      <c r="A34" s="13">
        <v>3301</v>
      </c>
      <c r="B34" s="70" t="s">
        <v>154</v>
      </c>
      <c r="C34" s="4"/>
      <c r="D34" s="4">
        <f t="shared" si="0"/>
        <v>0</v>
      </c>
      <c r="E34" s="4">
        <f t="shared" si="1"/>
        <v>0</v>
      </c>
      <c r="F34" s="4">
        <f>IF(D34&gt;0," ",C34*18%)</f>
        <v>0</v>
      </c>
      <c r="G34" s="266">
        <v>0</v>
      </c>
      <c r="H34" s="266">
        <v>0</v>
      </c>
    </row>
    <row r="35" spans="1:9" ht="15.75">
      <c r="A35" s="160">
        <v>3302</v>
      </c>
      <c r="B35" s="70" t="s">
        <v>525</v>
      </c>
      <c r="C35" s="4"/>
      <c r="D35" s="4">
        <f t="shared" si="0"/>
        <v>0</v>
      </c>
      <c r="E35" s="4">
        <f t="shared" si="1"/>
        <v>0</v>
      </c>
      <c r="F35" s="4">
        <f>IF(D35&gt;0," ",C35*18%)</f>
        <v>0</v>
      </c>
      <c r="G35" s="266"/>
      <c r="H35" s="266"/>
    </row>
    <row r="36" spans="1:9" ht="15.75">
      <c r="A36" s="14" t="s">
        <v>28</v>
      </c>
      <c r="B36" s="70" t="s">
        <v>27</v>
      </c>
      <c r="C36" s="4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266">
        <v>0</v>
      </c>
      <c r="H36" s="266">
        <v>0</v>
      </c>
    </row>
    <row r="37" spans="1:9" ht="15.75">
      <c r="A37" s="16" t="s">
        <v>114</v>
      </c>
      <c r="B37" s="70" t="s">
        <v>115</v>
      </c>
      <c r="C37" s="4"/>
      <c r="D37" s="4">
        <f t="shared" si="0"/>
        <v>0</v>
      </c>
      <c r="E37" s="4">
        <f t="shared" si="1"/>
        <v>0</v>
      </c>
      <c r="F37" s="4">
        <f>IF(D37&gt;0," ",C37*18%)</f>
        <v>0</v>
      </c>
      <c r="G37" s="266">
        <v>0</v>
      </c>
      <c r="H37" s="266">
        <v>0</v>
      </c>
    </row>
    <row r="38" spans="1:9" ht="15.75">
      <c r="A38" s="13" t="s">
        <v>26</v>
      </c>
      <c r="B38" s="70" t="s">
        <v>25</v>
      </c>
      <c r="C38" s="4">
        <v>351.22</v>
      </c>
      <c r="D38" s="4">
        <f t="shared" si="0"/>
        <v>31.6098</v>
      </c>
      <c r="E38" s="4">
        <f t="shared" si="1"/>
        <v>31.6098</v>
      </c>
      <c r="F38" s="4" t="str">
        <f t="shared" ref="F38:F44" si="3">IF(D38&gt;0," ",C38*18%)</f>
        <v xml:space="preserve"> </v>
      </c>
      <c r="G38" s="266">
        <v>0</v>
      </c>
      <c r="H38" s="266">
        <v>0</v>
      </c>
    </row>
    <row r="39" spans="1:9" ht="15.75">
      <c r="A39" s="13" t="s">
        <v>24</v>
      </c>
      <c r="B39" s="70" t="s">
        <v>23</v>
      </c>
      <c r="C39" s="4">
        <v>1250</v>
      </c>
      <c r="D39" s="4">
        <f t="shared" si="0"/>
        <v>112.5</v>
      </c>
      <c r="E39" s="4">
        <f t="shared" si="1"/>
        <v>112.5</v>
      </c>
      <c r="F39" s="4" t="str">
        <f t="shared" si="3"/>
        <v xml:space="preserve"> </v>
      </c>
      <c r="G39" s="266">
        <v>0</v>
      </c>
      <c r="H39" s="266">
        <v>0</v>
      </c>
    </row>
    <row r="40" spans="1:9" ht="15.75">
      <c r="A40" s="13" t="s">
        <v>22</v>
      </c>
      <c r="B40" s="70" t="s">
        <v>21</v>
      </c>
      <c r="C40" s="4">
        <v>3550</v>
      </c>
      <c r="D40" s="4">
        <f t="shared" si="0"/>
        <v>319.5</v>
      </c>
      <c r="E40" s="4">
        <f t="shared" si="1"/>
        <v>319.5</v>
      </c>
      <c r="F40" s="4" t="str">
        <f t="shared" si="3"/>
        <v xml:space="preserve"> </v>
      </c>
      <c r="G40" s="266">
        <v>0</v>
      </c>
      <c r="H40" s="266">
        <v>0</v>
      </c>
    </row>
    <row r="41" spans="1:9" ht="15.75">
      <c r="A41" s="13" t="s">
        <v>20</v>
      </c>
      <c r="B41" s="70" t="s">
        <v>19</v>
      </c>
      <c r="C41" s="4">
        <v>3000</v>
      </c>
      <c r="D41" s="4">
        <f t="shared" si="0"/>
        <v>270</v>
      </c>
      <c r="E41" s="4">
        <f t="shared" si="1"/>
        <v>270</v>
      </c>
      <c r="F41" s="4" t="str">
        <f t="shared" si="3"/>
        <v xml:space="preserve"> </v>
      </c>
      <c r="G41" s="266">
        <v>0</v>
      </c>
      <c r="H41" s="266">
        <v>0</v>
      </c>
    </row>
    <row r="42" spans="1:9" ht="15.75">
      <c r="A42" s="14" t="s">
        <v>18</v>
      </c>
      <c r="B42" s="70" t="s">
        <v>17</v>
      </c>
      <c r="C42" s="4">
        <v>6210</v>
      </c>
      <c r="D42" s="4">
        <f t="shared" si="0"/>
        <v>558.9</v>
      </c>
      <c r="E42" s="4">
        <f t="shared" si="1"/>
        <v>558.9</v>
      </c>
      <c r="F42" s="4" t="str">
        <f t="shared" si="3"/>
        <v xml:space="preserve"> </v>
      </c>
      <c r="G42" s="266">
        <v>0</v>
      </c>
      <c r="H42" s="266">
        <v>0</v>
      </c>
    </row>
    <row r="43" spans="1:9" ht="15.75">
      <c r="A43" s="14" t="s">
        <v>16</v>
      </c>
      <c r="B43" s="70" t="s">
        <v>15</v>
      </c>
      <c r="C43" s="4">
        <v>19000</v>
      </c>
      <c r="D43" s="4">
        <f t="shared" si="0"/>
        <v>1710</v>
      </c>
      <c r="E43" s="4">
        <f t="shared" si="1"/>
        <v>1710</v>
      </c>
      <c r="F43" s="4" t="str">
        <f t="shared" si="3"/>
        <v xml:space="preserve"> </v>
      </c>
      <c r="G43" s="266">
        <v>0</v>
      </c>
      <c r="H43" s="266">
        <v>0</v>
      </c>
    </row>
    <row r="44" spans="1:9" ht="15.75">
      <c r="A44" s="14" t="s">
        <v>14</v>
      </c>
      <c r="B44" s="70" t="s">
        <v>13</v>
      </c>
      <c r="C44" s="4">
        <v>1128</v>
      </c>
      <c r="D44" s="4">
        <f t="shared" si="0"/>
        <v>101.52</v>
      </c>
      <c r="E44" s="4">
        <f t="shared" si="1"/>
        <v>101.52</v>
      </c>
      <c r="F44" s="4" t="str">
        <f t="shared" si="3"/>
        <v xml:space="preserve"> </v>
      </c>
      <c r="G44" s="266">
        <v>0</v>
      </c>
      <c r="H44" s="266">
        <v>0</v>
      </c>
    </row>
    <row r="45" spans="1:9" ht="15.75">
      <c r="A45" s="14">
        <v>3317</v>
      </c>
      <c r="B45" s="70" t="s">
        <v>286</v>
      </c>
      <c r="C45" s="4"/>
      <c r="D45" s="4">
        <f t="shared" si="0"/>
        <v>0</v>
      </c>
      <c r="E45" s="4">
        <f t="shared" si="1"/>
        <v>0</v>
      </c>
      <c r="F45" s="4">
        <v>0</v>
      </c>
      <c r="G45" s="266">
        <v>0</v>
      </c>
      <c r="H45" s="266">
        <v>0</v>
      </c>
    </row>
    <row r="46" spans="1:9" ht="15.75">
      <c r="A46" s="14" t="s">
        <v>12</v>
      </c>
      <c r="B46" s="70" t="s">
        <v>11</v>
      </c>
      <c r="C46" s="4"/>
      <c r="D46" s="4">
        <f t="shared" si="0"/>
        <v>0</v>
      </c>
      <c r="E46" s="4">
        <f t="shared" si="1"/>
        <v>0</v>
      </c>
      <c r="F46" s="4">
        <f>IF(D46&gt;0," ",C46*18%)</f>
        <v>0</v>
      </c>
      <c r="G46" s="266">
        <v>0</v>
      </c>
      <c r="H46" s="266">
        <v>0</v>
      </c>
    </row>
    <row r="47" spans="1:9" ht="15.75">
      <c r="A47" s="14">
        <v>3320</v>
      </c>
      <c r="B47" s="70" t="s">
        <v>290</v>
      </c>
      <c r="C47" s="4"/>
      <c r="D47" s="4">
        <f t="shared" si="0"/>
        <v>0</v>
      </c>
      <c r="E47" s="4">
        <f t="shared" si="1"/>
        <v>0</v>
      </c>
      <c r="F47" s="4">
        <v>0</v>
      </c>
      <c r="G47" s="4">
        <v>0</v>
      </c>
      <c r="H47" s="266">
        <v>0</v>
      </c>
    </row>
    <row r="48" spans="1:9" ht="15.75">
      <c r="A48" s="14">
        <v>3321</v>
      </c>
      <c r="B48" s="70" t="s">
        <v>156</v>
      </c>
      <c r="C48" s="4"/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266">
        <v>0</v>
      </c>
      <c r="H48" s="266">
        <v>0</v>
      </c>
    </row>
    <row r="49" spans="1:9" ht="15.75">
      <c r="A49" s="14">
        <v>3322</v>
      </c>
      <c r="B49" s="70" t="s">
        <v>335</v>
      </c>
      <c r="C49" s="4"/>
      <c r="D49" s="4">
        <f t="shared" si="0"/>
        <v>0</v>
      </c>
      <c r="E49" s="4">
        <f>+D49</f>
        <v>0</v>
      </c>
      <c r="F49" s="4">
        <f>IF(D49&gt;0," ",C49*18%)</f>
        <v>0</v>
      </c>
      <c r="G49" s="266">
        <v>0</v>
      </c>
      <c r="H49" s="266">
        <v>0</v>
      </c>
    </row>
    <row r="50" spans="1:9" ht="15.75">
      <c r="A50" s="14">
        <v>3324</v>
      </c>
      <c r="B50" s="70" t="s">
        <v>438</v>
      </c>
      <c r="C50" s="4"/>
      <c r="D50" s="4">
        <f t="shared" si="0"/>
        <v>0</v>
      </c>
      <c r="E50" s="4">
        <f>+D50</f>
        <v>0</v>
      </c>
      <c r="F50" s="4">
        <f>IF(D50&gt;0," ",C50*18%)</f>
        <v>0</v>
      </c>
      <c r="G50" s="266">
        <v>0</v>
      </c>
      <c r="H50" s="266">
        <v>0</v>
      </c>
    </row>
    <row r="51" spans="1:9" ht="15.75">
      <c r="A51" s="161">
        <v>3325</v>
      </c>
      <c r="B51" s="70" t="s">
        <v>606</v>
      </c>
      <c r="C51" s="4"/>
      <c r="D51" s="4">
        <f>+C51*2.5%</f>
        <v>0</v>
      </c>
      <c r="E51" s="4">
        <f>+D51</f>
        <v>0</v>
      </c>
      <c r="F51" s="4">
        <f>IF(D51&gt;0," ",C51*18%)</f>
        <v>0</v>
      </c>
      <c r="G51" s="266"/>
      <c r="H51" s="266"/>
    </row>
    <row r="52" spans="1:9" ht="15.75">
      <c r="A52" s="14">
        <v>3391</v>
      </c>
      <c r="B52" s="70" t="s">
        <v>300</v>
      </c>
      <c r="C52" s="4">
        <v>16353.5</v>
      </c>
      <c r="D52" s="4">
        <f t="shared" ref="D52:D59" si="4">+C52*9%</f>
        <v>1471.8150000000001</v>
      </c>
      <c r="E52" s="4">
        <f t="shared" si="1"/>
        <v>1471.8150000000001</v>
      </c>
      <c r="F52" s="4" t="str">
        <f>IF(D52&gt;0," ",C52*18%)</f>
        <v xml:space="preserve"> </v>
      </c>
      <c r="G52" s="266">
        <v>0</v>
      </c>
      <c r="H52" s="266">
        <v>0</v>
      </c>
    </row>
    <row r="53" spans="1:9" ht="15.75">
      <c r="A53" s="14">
        <v>3359</v>
      </c>
      <c r="B53" s="70" t="s">
        <v>683</v>
      </c>
      <c r="C53" s="4"/>
      <c r="D53" s="4">
        <f t="shared" si="4"/>
        <v>0</v>
      </c>
      <c r="E53" s="4">
        <f t="shared" si="1"/>
        <v>0</v>
      </c>
      <c r="F53" s="4"/>
      <c r="G53" s="266"/>
      <c r="H53" s="771">
        <v>0</v>
      </c>
      <c r="I53" s="40"/>
    </row>
    <row r="54" spans="1:9" ht="15.75">
      <c r="A54" s="14">
        <v>3825</v>
      </c>
      <c r="B54" s="70" t="s">
        <v>646</v>
      </c>
      <c r="C54" s="4"/>
      <c r="D54" s="4">
        <f t="shared" si="4"/>
        <v>0</v>
      </c>
      <c r="E54" s="4">
        <f t="shared" si="1"/>
        <v>0</v>
      </c>
      <c r="F54" s="4"/>
      <c r="G54" s="266"/>
      <c r="H54" s="266"/>
    </row>
    <row r="55" spans="1:9" ht="15.75">
      <c r="A55" s="14">
        <v>3362</v>
      </c>
      <c r="B55" s="70" t="s">
        <v>739</v>
      </c>
      <c r="C55" s="4"/>
      <c r="D55" s="4">
        <f t="shared" si="4"/>
        <v>0</v>
      </c>
      <c r="E55" s="4">
        <f t="shared" si="1"/>
        <v>0</v>
      </c>
      <c r="F55" s="4"/>
      <c r="G55" s="266"/>
      <c r="H55" s="266"/>
    </row>
    <row r="56" spans="1:9" ht="15.75">
      <c r="A56" s="14">
        <v>3340</v>
      </c>
      <c r="B56" s="70" t="s">
        <v>785</v>
      </c>
      <c r="C56" s="4"/>
      <c r="D56" s="4">
        <f>+C56*9%</f>
        <v>0</v>
      </c>
      <c r="E56" s="4">
        <f>+D56</f>
        <v>0</v>
      </c>
      <c r="F56" s="4"/>
      <c r="G56" s="266"/>
      <c r="H56" s="266"/>
    </row>
    <row r="57" spans="1:9" ht="15.75">
      <c r="A57" s="15" t="s">
        <v>10</v>
      </c>
      <c r="B57" s="70"/>
      <c r="C57" s="4"/>
      <c r="D57" s="4">
        <f t="shared" si="4"/>
        <v>0</v>
      </c>
      <c r="E57" s="4">
        <f t="shared" si="1"/>
        <v>0</v>
      </c>
      <c r="F57" s="4"/>
      <c r="G57" s="266">
        <v>0</v>
      </c>
      <c r="H57" s="266">
        <v>0</v>
      </c>
    </row>
    <row r="58" spans="1:9" ht="15.75">
      <c r="A58" s="14" t="s">
        <v>9</v>
      </c>
      <c r="B58" s="70" t="s">
        <v>8</v>
      </c>
      <c r="C58" s="4">
        <v>5625</v>
      </c>
      <c r="D58" s="4">
        <f t="shared" si="4"/>
        <v>506.25</v>
      </c>
      <c r="E58" s="4">
        <f t="shared" si="1"/>
        <v>506.25</v>
      </c>
      <c r="F58" s="4">
        <v>0</v>
      </c>
      <c r="G58" s="266"/>
      <c r="H58" s="266">
        <v>0</v>
      </c>
      <c r="I58" s="1" t="s">
        <v>5</v>
      </c>
    </row>
    <row r="59" spans="1:9" ht="15.75">
      <c r="A59" s="13" t="s">
        <v>7</v>
      </c>
      <c r="B59" s="70" t="s">
        <v>6</v>
      </c>
      <c r="C59" s="4">
        <v>0</v>
      </c>
      <c r="D59" s="4">
        <f t="shared" si="4"/>
        <v>0</v>
      </c>
      <c r="E59" s="4">
        <f t="shared" si="1"/>
        <v>0</v>
      </c>
      <c r="F59" s="4">
        <f>IF(D59&gt;0," ",C59*18%)</f>
        <v>0</v>
      </c>
      <c r="G59" s="266">
        <v>0</v>
      </c>
      <c r="H59" s="266">
        <v>0</v>
      </c>
    </row>
    <row r="60" spans="1:9" ht="15.75">
      <c r="A60" s="5" t="s">
        <v>5</v>
      </c>
      <c r="B60" s="70" t="s">
        <v>4</v>
      </c>
      <c r="C60" s="4">
        <v>0</v>
      </c>
      <c r="D60" s="4"/>
      <c r="E60" s="4"/>
      <c r="F60" s="4"/>
      <c r="G60" s="266">
        <v>0</v>
      </c>
      <c r="H60" s="266">
        <v>0</v>
      </c>
    </row>
    <row r="61" spans="1:9" ht="15.75">
      <c r="A61" s="434"/>
      <c r="B61" s="432" t="s">
        <v>465</v>
      </c>
      <c r="C61" s="4">
        <v>0</v>
      </c>
      <c r="D61" s="4">
        <f>+C61*9%</f>
        <v>0</v>
      </c>
      <c r="E61" s="4">
        <f>+D61</f>
        <v>0</v>
      </c>
      <c r="F61" s="433"/>
      <c r="G61" s="266">
        <v>0</v>
      </c>
      <c r="H61" s="266">
        <v>0</v>
      </c>
    </row>
    <row r="62" spans="1:9" ht="16.5" thickBot="1">
      <c r="A62" s="12"/>
      <c r="B62" s="11" t="s">
        <v>3</v>
      </c>
      <c r="C62" s="10">
        <f>SUM(C9:C61)</f>
        <v>209891.12</v>
      </c>
      <c r="D62" s="10">
        <f>SUM(D9:D61)</f>
        <v>18890.200799999999</v>
      </c>
      <c r="E62" s="10">
        <f>SUM(E9:E61)</f>
        <v>18890.200799999999</v>
      </c>
      <c r="F62" s="10">
        <f>SUM(F9:F61)</f>
        <v>0</v>
      </c>
      <c r="G62" s="267">
        <f>+SUM(G9:G60)</f>
        <v>0</v>
      </c>
      <c r="H62" s="267">
        <f>+SUM(H9:H60)</f>
        <v>0</v>
      </c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8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+C62*9%</f>
        <v>18890.200799999999</v>
      </c>
    </row>
    <row r="66" spans="1:8" ht="15.75">
      <c r="A66" s="1228" t="s">
        <v>75</v>
      </c>
      <c r="B66" s="1228"/>
      <c r="C66" s="1228"/>
      <c r="D66" s="1228"/>
      <c r="E66" s="1228"/>
      <c r="F66" s="1228"/>
    </row>
    <row r="67" spans="1:8" ht="15.75">
      <c r="A67" s="28"/>
      <c r="B67" s="28"/>
      <c r="C67" s="28"/>
      <c r="D67" s="28"/>
      <c r="E67" s="28"/>
      <c r="F67" s="28"/>
    </row>
    <row r="68" spans="1:8" ht="15.75" customHeight="1">
      <c r="A68" s="29" t="s">
        <v>76</v>
      </c>
      <c r="B68" s="29"/>
      <c r="C68" s="3"/>
      <c r="D68" s="3" t="s">
        <v>5</v>
      </c>
      <c r="E68" s="3"/>
      <c r="F68" s="3"/>
      <c r="H68" s="1" t="s">
        <v>5</v>
      </c>
    </row>
    <row r="69" spans="1:8" ht="15.75" customHeight="1">
      <c r="A69" s="1236" t="s">
        <v>65</v>
      </c>
      <c r="B69" s="1236"/>
      <c r="C69" s="1236"/>
      <c r="D69" s="1236" t="s">
        <v>89</v>
      </c>
      <c r="E69" s="1236" t="s">
        <v>67</v>
      </c>
      <c r="F69" s="1236" t="s">
        <v>68</v>
      </c>
    </row>
    <row r="70" spans="1:8">
      <c r="A70" s="1236"/>
      <c r="B70" s="1236"/>
      <c r="C70" s="1236"/>
      <c r="D70" s="1236"/>
      <c r="E70" s="1236"/>
      <c r="F70" s="1236"/>
    </row>
    <row r="71" spans="1:8" ht="15.75">
      <c r="A71" s="43" t="s">
        <v>80</v>
      </c>
      <c r="B71" s="43"/>
      <c r="C71" s="43"/>
      <c r="D71" s="105">
        <f>+D62</f>
        <v>18890.200799999999</v>
      </c>
      <c r="E71" s="105">
        <f>+E62</f>
        <v>18890.200799999999</v>
      </c>
      <c r="F71" s="105">
        <f>+F62</f>
        <v>0</v>
      </c>
    </row>
    <row r="72" spans="1:8" ht="15.75">
      <c r="A72" s="43" t="s">
        <v>103</v>
      </c>
      <c r="B72" s="43"/>
      <c r="C72" s="43">
        <f>+G62</f>
        <v>0</v>
      </c>
      <c r="D72" s="106">
        <f>C72*0.09</f>
        <v>0</v>
      </c>
      <c r="E72" s="106">
        <f>+C72*0.09</f>
        <v>0</v>
      </c>
      <c r="F72" s="106">
        <v>0</v>
      </c>
    </row>
    <row r="73" spans="1:8" ht="15.75">
      <c r="A73" s="43"/>
      <c r="B73" s="43"/>
      <c r="C73" s="43"/>
      <c r="D73" s="105">
        <f>+D71+D72</f>
        <v>18890.200799999999</v>
      </c>
      <c r="E73" s="105">
        <f>+E71+E72</f>
        <v>18890.200799999999</v>
      </c>
      <c r="F73" s="105">
        <v>0</v>
      </c>
    </row>
    <row r="74" spans="1:8" ht="15.75">
      <c r="A74" s="43" t="s">
        <v>104</v>
      </c>
      <c r="B74" s="43"/>
      <c r="C74" s="43"/>
      <c r="D74" s="108">
        <v>18891.4800000002</v>
      </c>
      <c r="E74" s="108">
        <f>+D74</f>
        <v>18891.4800000002</v>
      </c>
      <c r="F74" s="108">
        <v>0</v>
      </c>
    </row>
    <row r="75" spans="1:8" ht="15.75">
      <c r="A75" s="1217" t="s">
        <v>79</v>
      </c>
      <c r="B75" s="1217"/>
      <c r="C75" s="1217"/>
      <c r="D75" s="108">
        <f>+D73-D74</f>
        <v>-1.2792000002009445</v>
      </c>
      <c r="E75" s="108">
        <f>+E73-E74</f>
        <v>-1.2792000002009445</v>
      </c>
      <c r="F75" s="108">
        <f>IF(F71&gt;F74,F71,F74)</f>
        <v>0</v>
      </c>
      <c r="G75" s="1">
        <f>+E75/0.09</f>
        <v>-14.21333333556605</v>
      </c>
    </row>
    <row r="76" spans="1:8" ht="15.75">
      <c r="A76" s="3"/>
      <c r="B76" s="2"/>
      <c r="C76" s="3"/>
      <c r="D76" s="3"/>
      <c r="E76" s="3"/>
      <c r="F76" s="3"/>
    </row>
    <row r="77" spans="1:8" ht="15" customHeight="1">
      <c r="A77" s="27" t="s">
        <v>77</v>
      </c>
      <c r="B77" s="2"/>
      <c r="C77" s="3"/>
      <c r="D77" s="3"/>
      <c r="E77" s="3"/>
      <c r="F77" s="3"/>
    </row>
    <row r="78" spans="1:8" ht="15" customHeight="1">
      <c r="A78" s="1218" t="s">
        <v>65</v>
      </c>
      <c r="B78" s="1219"/>
      <c r="C78" s="1220"/>
      <c r="D78" s="1234" t="s">
        <v>70</v>
      </c>
      <c r="E78" s="1234" t="s">
        <v>71</v>
      </c>
      <c r="F78" s="1234" t="s">
        <v>72</v>
      </c>
    </row>
    <row r="79" spans="1:8">
      <c r="A79" s="1221"/>
      <c r="B79" s="1222"/>
      <c r="C79" s="1223"/>
      <c r="D79" s="1235" t="s">
        <v>67</v>
      </c>
      <c r="E79" s="1235"/>
      <c r="F79" s="1235"/>
    </row>
    <row r="80" spans="1:8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1575</v>
      </c>
      <c r="E81" s="108">
        <f>+D81</f>
        <v>1575</v>
      </c>
      <c r="F81" s="108">
        <v>0</v>
      </c>
      <c r="G81" s="32">
        <f>+D81/2</f>
        <v>787.5</v>
      </c>
      <c r="H81" s="32">
        <f t="shared" ref="H81:I83" si="5">+E81/2</f>
        <v>787.5</v>
      </c>
      <c r="I81" s="32">
        <f t="shared" si="5"/>
        <v>0</v>
      </c>
    </row>
    <row r="82" spans="1:9" ht="15.75">
      <c r="A82" s="1224" t="s">
        <v>83</v>
      </c>
      <c r="B82" s="1224"/>
      <c r="C82" s="1224"/>
      <c r="D82" s="105">
        <f>C92</f>
        <v>0</v>
      </c>
      <c r="E82" s="105">
        <f>+D92</f>
        <v>0</v>
      </c>
      <c r="F82" s="105">
        <f>+E92</f>
        <v>0</v>
      </c>
      <c r="G82" s="32">
        <f>+D82/2</f>
        <v>0</v>
      </c>
      <c r="H82" s="32">
        <f t="shared" si="5"/>
        <v>0</v>
      </c>
      <c r="I82" s="32">
        <f t="shared" si="5"/>
        <v>0</v>
      </c>
    </row>
    <row r="83" spans="1:9" ht="15.75">
      <c r="A83" s="1215" t="s">
        <v>82</v>
      </c>
      <c r="B83" s="1215"/>
      <c r="C83" s="1215"/>
      <c r="D83" s="105">
        <f>+D81-D82</f>
        <v>1575</v>
      </c>
      <c r="E83" s="105">
        <f>+E81-E82</f>
        <v>1575</v>
      </c>
      <c r="F83" s="105">
        <f>+F81-F82</f>
        <v>0</v>
      </c>
      <c r="G83" s="32">
        <f>+D83/2</f>
        <v>787.5</v>
      </c>
      <c r="H83" s="32">
        <f t="shared" si="5"/>
        <v>787.5</v>
      </c>
      <c r="I83" s="32">
        <f t="shared" si="5"/>
        <v>0</v>
      </c>
    </row>
    <row r="86" spans="1:9">
      <c r="B86" s="1237" t="s">
        <v>101</v>
      </c>
      <c r="C86" s="1238"/>
      <c r="D86" s="1238"/>
      <c r="E86" s="1239"/>
    </row>
    <row r="87" spans="1:9">
      <c r="B87" s="252" t="s">
        <v>322</v>
      </c>
      <c r="C87" s="634" t="s">
        <v>89</v>
      </c>
      <c r="D87" s="634" t="s">
        <v>67</v>
      </c>
      <c r="E87" s="365" t="s">
        <v>68</v>
      </c>
    </row>
    <row r="88" spans="1:9">
      <c r="B88" s="718" t="s">
        <v>440</v>
      </c>
      <c r="C88" s="635">
        <v>0</v>
      </c>
      <c r="D88" s="635">
        <f>+C88</f>
        <v>0</v>
      </c>
      <c r="E88" s="437">
        <v>0</v>
      </c>
    </row>
    <row r="89" spans="1:9">
      <c r="B89" s="719" t="s">
        <v>440</v>
      </c>
      <c r="C89" s="635">
        <v>0</v>
      </c>
      <c r="D89" s="635">
        <f>+C89</f>
        <v>0</v>
      </c>
      <c r="E89" s="437">
        <v>0</v>
      </c>
    </row>
    <row r="90" spans="1:9">
      <c r="B90" s="636"/>
      <c r="C90" s="75">
        <v>0</v>
      </c>
      <c r="D90" s="75">
        <f>+C90</f>
        <v>0</v>
      </c>
      <c r="E90" s="437">
        <v>0</v>
      </c>
    </row>
    <row r="91" spans="1:9">
      <c r="B91" s="438"/>
      <c r="C91" s="75">
        <v>0</v>
      </c>
      <c r="D91" s="75">
        <v>0</v>
      </c>
      <c r="E91" s="437"/>
    </row>
    <row r="92" spans="1:9">
      <c r="B92" s="154"/>
      <c r="C92" s="637">
        <f>SUM(C88:C91)</f>
        <v>0</v>
      </c>
      <c r="D92" s="637">
        <f>SUM(D88:D91)</f>
        <v>0</v>
      </c>
      <c r="E92" s="339">
        <f>SUM(E88:E90)</f>
        <v>0</v>
      </c>
    </row>
    <row r="93" spans="1:9">
      <c r="A93" s="40"/>
    </row>
    <row r="94" spans="1:9" ht="15" customHeight="1">
      <c r="A94" s="402"/>
      <c r="B94" s="402"/>
      <c r="C94" s="940"/>
      <c r="D94" s="941"/>
      <c r="E94" s="402"/>
      <c r="F94" s="402"/>
    </row>
    <row r="95" spans="1:9">
      <c r="A95" s="402"/>
      <c r="B95" s="402"/>
      <c r="C95" s="402"/>
      <c r="D95" s="402"/>
      <c r="E95" s="402"/>
      <c r="F95" s="402"/>
    </row>
    <row r="96" spans="1:9">
      <c r="A96" s="402"/>
      <c r="B96" s="402"/>
      <c r="C96" s="402"/>
      <c r="D96" s="402"/>
      <c r="E96" s="402"/>
      <c r="F96" s="402"/>
    </row>
    <row r="97" spans="1:6">
      <c r="A97" s="140"/>
      <c r="B97" s="140"/>
      <c r="C97" s="140"/>
      <c r="D97" s="140"/>
      <c r="E97" s="140"/>
      <c r="F97" s="140"/>
    </row>
  </sheetData>
  <mergeCells count="26">
    <mergeCell ref="B86:E86"/>
    <mergeCell ref="G7:G8"/>
    <mergeCell ref="H7:H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5:C75"/>
    <mergeCell ref="D78:D79"/>
    <mergeCell ref="E78:E79"/>
    <mergeCell ref="F78:F79"/>
    <mergeCell ref="A66:F66"/>
    <mergeCell ref="D69:D70"/>
    <mergeCell ref="E69:E70"/>
    <mergeCell ref="F69:F70"/>
    <mergeCell ref="A69:C70"/>
    <mergeCell ref="A83:C83"/>
    <mergeCell ref="A80:C80"/>
    <mergeCell ref="A81:C81"/>
    <mergeCell ref="A82:C82"/>
    <mergeCell ref="A78:C79"/>
  </mergeCells>
  <conditionalFormatting sqref="A20:B21">
    <cfRule type="containsText" dxfId="579" priority="41" operator="containsText" text="LESS COLLECTED">
      <formula>NOT(ISERROR(SEARCH("LESS COLLECTED",A20)))</formula>
    </cfRule>
  </conditionalFormatting>
  <conditionalFormatting sqref="A38:B51">
    <cfRule type="containsText" dxfId="578" priority="17" operator="containsText" text="EXCESS COLLECTED">
      <formula>NOT(ISERROR(SEARCH("EXCESS COLLECTED",A38)))</formula>
    </cfRule>
  </conditionalFormatting>
  <conditionalFormatting sqref="A51:B51">
    <cfRule type="containsText" dxfId="577" priority="18" operator="containsText" text="LESS COLLECTED">
      <formula>NOT(ISERROR(SEARCH("LESS COLLECTED",A51)))</formula>
    </cfRule>
  </conditionalFormatting>
  <conditionalFormatting sqref="A53:B61">
    <cfRule type="containsText" dxfId="576" priority="7" operator="containsText" text="EXCESS COLLECTED">
      <formula>NOT(ISERROR(SEARCH("EXCESS COLLECTED",A53)))</formula>
    </cfRule>
    <cfRule type="containsText" dxfId="575" priority="8" operator="containsText" text="LESS COLLECTED">
      <formula>NOT(ISERROR(SEARCH("LESS COLLECTED",A53)))</formula>
    </cfRule>
  </conditionalFormatting>
  <conditionalFormatting sqref="A1:F8 A9:B19 D36:F50 A52:B52 D52:F52 D57:F61 G75:XFD79 A86:B86 D9:F28 G1:XFD7 I8:XFD8 A62:F64 H74:XFD74 H80:XFD80 G81:XFD1048576 F86 A97 A98:F1048576">
    <cfRule type="containsText" dxfId="574" priority="113" operator="containsText" text="EXCESS COLLECTED">
      <formula>NOT(ISERROR(SEARCH("EXCESS COLLECTED",A1)))</formula>
    </cfRule>
  </conditionalFormatting>
  <conditionalFormatting sqref="A65:F85">
    <cfRule type="containsText" dxfId="573" priority="4" operator="containsText" text="LESS COLLECTED">
      <formula>NOT(ISERROR(SEARCH("LESS COLLECTED",A65)))</formula>
    </cfRule>
  </conditionalFormatting>
  <conditionalFormatting sqref="A66:F85">
    <cfRule type="containsText" dxfId="572" priority="3" operator="containsText" text="EXCESS COLLECTED">
      <formula>NOT(ISERROR(SEARCH("EXCESS COLLECTED",A66)))</formula>
    </cfRule>
  </conditionalFormatting>
  <conditionalFormatting sqref="A87:F93 A94">
    <cfRule type="containsText" dxfId="571" priority="63" operator="containsText" text="EXCESS COLLECTED">
      <formula>NOT(ISERROR(SEARCH("EXCESS COLLECTED",A87)))</formula>
    </cfRule>
    <cfRule type="containsText" dxfId="570" priority="64" operator="containsText" text="LESS COLLECTED">
      <formula>NOT(ISERROR(SEARCH("LESS COLLECTED",A87)))</formula>
    </cfRule>
  </conditionalFormatting>
  <conditionalFormatting sqref="C9:C61 A22:B36">
    <cfRule type="containsText" dxfId="569" priority="21" operator="containsText" text="EXCESS COLLECTED">
      <formula>NOT(ISERROR(SEARCH("EXCESS COLLECTED",A9)))</formula>
    </cfRule>
  </conditionalFormatting>
  <conditionalFormatting sqref="C10:C61 A20:B50">
    <cfRule type="containsText" dxfId="568" priority="22" operator="containsText" text="LESS COLLECTED">
      <formula>NOT(ISERROR(SEARCH("LESS COLLECTED",A10)))</formula>
    </cfRule>
  </conditionalFormatting>
  <conditionalFormatting sqref="C9:E10">
    <cfRule type="containsText" dxfId="567" priority="62" operator="containsText" text="LESS COLLECTED">
      <formula>NOT(ISERROR(SEARCH("LESS COLLECTED",C9)))</formula>
    </cfRule>
  </conditionalFormatting>
  <conditionalFormatting sqref="D11:E34 D36:E48">
    <cfRule type="containsText" dxfId="566" priority="24" operator="containsText" text="LESS COLLECTED">
      <formula>NOT(ISERROR(SEARCH("LESS COLLECTED",D11)))</formula>
    </cfRule>
  </conditionalFormatting>
  <conditionalFormatting sqref="D7:F8 B9 D47:D50 B52 D52:E52 D57:E59 G75 B86">
    <cfRule type="containsText" dxfId="565" priority="108" operator="containsText" text="LESS COLLECTED">
      <formula>NOT(ISERROR(SEARCH("LESS COLLECTED",B7)))</formula>
    </cfRule>
  </conditionalFormatting>
  <conditionalFormatting sqref="D29:F34">
    <cfRule type="containsText" dxfId="564" priority="25" operator="containsText" text="EXCESS COLLECTED">
      <formula>NOT(ISERROR(SEARCH("EXCESS COLLECTED",D29)))</formula>
    </cfRule>
    <cfRule type="containsText" dxfId="563" priority="26" operator="containsText" text="LESS COLLECTED">
      <formula>NOT(ISERROR(SEARCH("LESS COLLECTED",D29)))</formula>
    </cfRule>
  </conditionalFormatting>
  <conditionalFormatting sqref="D35:F35">
    <cfRule type="containsText" dxfId="562" priority="19" operator="containsText" text="EXCESS COLLECTED">
      <formula>NOT(ISERROR(SEARCH("EXCESS COLLECTED",D35)))</formula>
    </cfRule>
    <cfRule type="containsText" dxfId="561" priority="20" operator="containsText" text="LESS COLLECTED">
      <formula>NOT(ISERROR(SEARCH("LESS COLLECTED",D35)))</formula>
    </cfRule>
  </conditionalFormatting>
  <conditionalFormatting sqref="D51:F51">
    <cfRule type="containsText" dxfId="560" priority="15" operator="containsText" text="EXCESS COLLECTED">
      <formula>NOT(ISERROR(SEARCH("EXCESS COLLECTED",D51)))</formula>
    </cfRule>
    <cfRule type="containsText" dxfId="559" priority="16" operator="containsText" text="LESS COLLECTED">
      <formula>NOT(ISERROR(SEARCH("LESS COLLECTED",D51)))</formula>
    </cfRule>
  </conditionalFormatting>
  <conditionalFormatting sqref="D53:F56">
    <cfRule type="containsText" dxfId="558" priority="29" operator="containsText" text="EXCESS COLLECTED">
      <formula>NOT(ISERROR(SEARCH("EXCESS COLLECTED",D53)))</formula>
    </cfRule>
    <cfRule type="containsText" dxfId="557" priority="30" operator="containsText" text="LESS COLLECTED">
      <formula>NOT(ISERROR(SEARCH("LESS COLLECTED",D53)))</formula>
    </cfRule>
  </conditionalFormatting>
  <conditionalFormatting sqref="G1:XFD7 A1:F8 I8:XFD8 A9:B19 D9:F28 D36:F50 A52:B52 D52:F52 D57:F61 A62:F64 H74:XFD74 G75:XFD79 H80:XFD80 G81:XFD1048576 A86:B86 F86 A97 A98:F1048576">
    <cfRule type="containsText" dxfId="556" priority="114" operator="containsText" text="LESS COLLECTED">
      <formula>NOT(ISERROR(SEARCH("LESS COLLECTED",A1)))</formula>
    </cfRule>
  </conditionalFormatting>
  <conditionalFormatting sqref="G9:XFD73">
    <cfRule type="containsText" dxfId="555" priority="1" operator="containsText" text="EXCESS COLLECTED">
      <formula>NOT(ISERROR(SEARCH("EXCESS COLLECTED",G9)))</formula>
    </cfRule>
    <cfRule type="containsText" dxfId="554" priority="2" operator="containsText" text="LESS COLLECTED">
      <formula>NOT(ISERROR(SEARCH("LESS COLLECTED",G9)))</formula>
    </cfRule>
  </conditionalFormatting>
  <pageMargins left="1.049212598" right="1" top="0.5" bottom="0.5" header="0.31496062992126" footer="0.31496062992126"/>
  <pageSetup paperSize="9" scale="53" orientation="portrait" r:id="rId1"/>
  <ignoredErrors>
    <ignoredError sqref="D51" formula="1"/>
    <ignoredError sqref="G62:H6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92D050"/>
  </sheetPr>
  <dimension ref="A1:O104"/>
  <sheetViews>
    <sheetView topLeftCell="A73" workbookViewId="0">
      <selection activeCell="D74" sqref="D74"/>
    </sheetView>
  </sheetViews>
  <sheetFormatPr defaultColWidth="9.140625" defaultRowHeight="15"/>
  <cols>
    <col min="1" max="1" width="16.7109375" style="1" customWidth="1"/>
    <col min="2" max="2" width="43.7109375" style="1" customWidth="1"/>
    <col min="3" max="3" width="13.42578125" style="1" customWidth="1"/>
    <col min="4" max="5" width="16.28515625" style="1" bestFit="1" customWidth="1"/>
    <col min="6" max="6" width="14.5703125" style="1" customWidth="1"/>
    <col min="7" max="7" width="19.85546875" style="1" customWidth="1"/>
    <col min="8" max="8" width="13" style="1" customWidth="1"/>
    <col min="9" max="9" width="22" style="1" bestFit="1" customWidth="1"/>
    <col min="10" max="11" width="9.140625" style="1"/>
    <col min="12" max="12" width="13.5703125" style="1" bestFit="1" customWidth="1"/>
    <col min="13" max="16384" width="9.140625" style="1"/>
  </cols>
  <sheetData>
    <row r="1" spans="1:14" ht="15.75">
      <c r="A1" s="1228" t="s">
        <v>73</v>
      </c>
      <c r="B1" s="1228"/>
      <c r="C1" s="1228"/>
      <c r="D1" s="1228"/>
      <c r="E1" s="1228"/>
      <c r="F1" s="1228"/>
      <c r="L1" s="1">
        <v>6357077131</v>
      </c>
    </row>
    <row r="2" spans="1:14" ht="15.75">
      <c r="A2" s="41"/>
      <c r="B2" s="41"/>
      <c r="C2" s="41"/>
      <c r="D2" s="41"/>
      <c r="E2" s="41"/>
      <c r="F2" s="41"/>
    </row>
    <row r="3" spans="1:14" ht="15.75">
      <c r="A3" s="1229" t="s">
        <v>85</v>
      </c>
      <c r="B3" s="1229"/>
      <c r="C3" s="1229"/>
      <c r="D3" s="1229"/>
      <c r="E3" s="1229"/>
      <c r="F3" s="1229"/>
    </row>
    <row r="4" spans="1:14" ht="15.75">
      <c r="A4" s="1229" t="s">
        <v>351</v>
      </c>
      <c r="B4" s="1229"/>
      <c r="C4" s="1229"/>
      <c r="D4" s="1229"/>
      <c r="E4" s="1229"/>
      <c r="F4" s="1229"/>
    </row>
    <row r="5" spans="1:14" ht="15.75">
      <c r="A5" s="1228" t="str">
        <f>+CHANGODAR!A5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4" ht="15.75">
      <c r="A6" s="24" t="s">
        <v>5</v>
      </c>
      <c r="B6" s="3"/>
      <c r="C6" s="23"/>
      <c r="D6" s="1230"/>
      <c r="E6" s="1230"/>
      <c r="F6" s="3"/>
    </row>
    <row r="7" spans="1:14" ht="15.75">
      <c r="A7" s="175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33" t="s">
        <v>384</v>
      </c>
      <c r="I7" s="1233" t="s">
        <v>389</v>
      </c>
    </row>
    <row r="8" spans="1:14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33"/>
      <c r="I8" s="1233"/>
    </row>
    <row r="9" spans="1:14" ht="15.75">
      <c r="A9" s="18">
        <v>3303</v>
      </c>
      <c r="B9" s="70" t="s">
        <v>609</v>
      </c>
      <c r="C9" s="1206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42">
        <v>0</v>
      </c>
      <c r="H9" s="42"/>
      <c r="I9" s="42"/>
      <c r="N9"/>
    </row>
    <row r="10" spans="1:14" ht="15.75">
      <c r="A10" s="18">
        <v>3200</v>
      </c>
      <c r="B10" s="70" t="s">
        <v>61</v>
      </c>
      <c r="C10" s="1206">
        <v>0</v>
      </c>
      <c r="D10" s="4">
        <f t="shared" ref="D10:D58" si="0">+C10*9%</f>
        <v>0</v>
      </c>
      <c r="E10" s="4">
        <f t="shared" ref="E10:E59" si="1">+D10</f>
        <v>0</v>
      </c>
      <c r="F10" s="4">
        <f t="shared" ref="F10:F58" si="2">IF(D10&gt;0," ",C10*18%)</f>
        <v>0</v>
      </c>
      <c r="G10" s="42"/>
      <c r="H10" s="42"/>
      <c r="I10" s="42"/>
    </row>
    <row r="11" spans="1:14" ht="15.75">
      <c r="A11" s="13" t="s">
        <v>60</v>
      </c>
      <c r="B11" s="70" t="s">
        <v>59</v>
      </c>
      <c r="C11" s="1206">
        <v>200</v>
      </c>
      <c r="D11" s="4">
        <f t="shared" si="0"/>
        <v>18</v>
      </c>
      <c r="E11" s="4">
        <f t="shared" si="1"/>
        <v>18</v>
      </c>
      <c r="F11" s="4" t="str">
        <f t="shared" si="2"/>
        <v xml:space="preserve"> </v>
      </c>
      <c r="G11" s="42"/>
      <c r="H11" s="42"/>
      <c r="I11" s="42"/>
    </row>
    <row r="12" spans="1:14" ht="15.75">
      <c r="A12" s="14" t="s">
        <v>58</v>
      </c>
      <c r="B12" s="70" t="s">
        <v>57</v>
      </c>
      <c r="C12" s="1206">
        <v>0</v>
      </c>
      <c r="D12" s="4">
        <f t="shared" si="0"/>
        <v>0</v>
      </c>
      <c r="E12" s="4">
        <f t="shared" si="1"/>
        <v>0</v>
      </c>
      <c r="F12" s="4">
        <f t="shared" si="2"/>
        <v>0</v>
      </c>
      <c r="G12" s="42"/>
      <c r="H12" s="42"/>
      <c r="I12" s="42"/>
    </row>
    <row r="13" spans="1:14" ht="15.75">
      <c r="A13" s="13" t="s">
        <v>56</v>
      </c>
      <c r="B13" s="70" t="s">
        <v>55</v>
      </c>
      <c r="C13" s="1206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42"/>
      <c r="I13" s="42"/>
    </row>
    <row r="14" spans="1:14" ht="15.75">
      <c r="A14" s="13" t="s">
        <v>54</v>
      </c>
      <c r="B14" s="70" t="s">
        <v>53</v>
      </c>
      <c r="C14" s="1206">
        <v>0</v>
      </c>
      <c r="D14" s="4">
        <f t="shared" si="0"/>
        <v>0</v>
      </c>
      <c r="E14" s="4">
        <f t="shared" si="1"/>
        <v>0</v>
      </c>
      <c r="F14" s="4">
        <f t="shared" si="2"/>
        <v>0</v>
      </c>
      <c r="G14" s="42"/>
      <c r="H14" s="42"/>
      <c r="I14" s="42"/>
    </row>
    <row r="15" spans="1:14" ht="15.75">
      <c r="A15" s="13" t="s">
        <v>52</v>
      </c>
      <c r="B15" s="70" t="s">
        <v>51</v>
      </c>
      <c r="C15" s="1206">
        <v>0</v>
      </c>
      <c r="D15" s="4">
        <f t="shared" si="0"/>
        <v>0</v>
      </c>
      <c r="E15" s="4">
        <f t="shared" si="1"/>
        <v>0</v>
      </c>
      <c r="F15" s="4">
        <f t="shared" si="2"/>
        <v>0</v>
      </c>
      <c r="G15" s="42"/>
      <c r="H15" s="42"/>
      <c r="I15" s="42"/>
    </row>
    <row r="16" spans="1:14" ht="15.75">
      <c r="A16" s="14" t="s">
        <v>50</v>
      </c>
      <c r="B16" s="70" t="s">
        <v>49</v>
      </c>
      <c r="C16" s="1206">
        <v>0</v>
      </c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42"/>
      <c r="I16" s="42"/>
    </row>
    <row r="17" spans="1:15" ht="15.75">
      <c r="A17" s="14" t="s">
        <v>48</v>
      </c>
      <c r="B17" s="70" t="s">
        <v>47</v>
      </c>
      <c r="C17" s="1206">
        <v>0</v>
      </c>
      <c r="D17" s="4">
        <f t="shared" si="0"/>
        <v>0</v>
      </c>
      <c r="E17" s="4">
        <f t="shared" si="1"/>
        <v>0</v>
      </c>
      <c r="F17" s="4">
        <f t="shared" si="2"/>
        <v>0</v>
      </c>
      <c r="G17" s="42"/>
      <c r="H17" s="42"/>
      <c r="I17" s="42"/>
    </row>
    <row r="18" spans="1:15" ht="15.75">
      <c r="A18" s="14" t="s">
        <v>46</v>
      </c>
      <c r="B18" s="70" t="s">
        <v>45</v>
      </c>
      <c r="C18" s="1206">
        <v>0</v>
      </c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42"/>
      <c r="I18" s="42"/>
    </row>
    <row r="19" spans="1:15" ht="15.75">
      <c r="A19" s="13" t="s">
        <v>44</v>
      </c>
      <c r="B19" s="70" t="s">
        <v>43</v>
      </c>
      <c r="C19" s="1206">
        <v>36500</v>
      </c>
      <c r="D19" s="4">
        <f t="shared" si="0"/>
        <v>3285</v>
      </c>
      <c r="E19" s="4">
        <f t="shared" si="1"/>
        <v>3285</v>
      </c>
      <c r="F19" s="4" t="str">
        <f t="shared" si="2"/>
        <v xml:space="preserve"> </v>
      </c>
      <c r="G19" s="42"/>
      <c r="H19" s="42">
        <v>0</v>
      </c>
      <c r="I19" s="42"/>
    </row>
    <row r="20" spans="1:15" ht="15.75">
      <c r="A20" s="13">
        <v>3271</v>
      </c>
      <c r="B20" s="70" t="s">
        <v>533</v>
      </c>
      <c r="C20" s="1206">
        <v>750</v>
      </c>
      <c r="D20" s="4">
        <f t="shared" si="0"/>
        <v>67.5</v>
      </c>
      <c r="E20" s="4">
        <f t="shared" si="1"/>
        <v>67.5</v>
      </c>
      <c r="F20" s="4" t="str">
        <f t="shared" si="2"/>
        <v xml:space="preserve"> </v>
      </c>
      <c r="G20" s="42"/>
      <c r="H20" s="42"/>
      <c r="I20" s="42"/>
    </row>
    <row r="21" spans="1:15" ht="15.75">
      <c r="A21" s="13">
        <v>3274</v>
      </c>
      <c r="B21" s="70" t="s">
        <v>554</v>
      </c>
      <c r="C21" s="1206">
        <v>0</v>
      </c>
      <c r="D21" s="4"/>
      <c r="E21" s="4"/>
      <c r="F21" s="4"/>
      <c r="G21" s="42"/>
      <c r="H21" s="42"/>
      <c r="I21" s="42"/>
    </row>
    <row r="22" spans="1:15" ht="15.75">
      <c r="A22" s="17" t="s">
        <v>42</v>
      </c>
      <c r="B22" s="70" t="s">
        <v>41</v>
      </c>
      <c r="C22" s="1206">
        <v>0</v>
      </c>
      <c r="D22" s="4">
        <f t="shared" si="0"/>
        <v>0</v>
      </c>
      <c r="E22" s="4">
        <f t="shared" si="1"/>
        <v>0</v>
      </c>
      <c r="F22" s="4">
        <f t="shared" si="2"/>
        <v>0</v>
      </c>
      <c r="G22" s="42"/>
      <c r="H22" s="42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206">
        <v>0</v>
      </c>
      <c r="D23" s="4">
        <f t="shared" si="0"/>
        <v>0</v>
      </c>
      <c r="E23" s="4">
        <f t="shared" si="1"/>
        <v>0</v>
      </c>
      <c r="F23" s="4">
        <f t="shared" si="2"/>
        <v>0</v>
      </c>
      <c r="G23" s="42"/>
      <c r="H23" s="42"/>
      <c r="I23" s="42"/>
    </row>
    <row r="24" spans="1:15" ht="15.75">
      <c r="A24" s="14" t="s">
        <v>38</v>
      </c>
      <c r="B24" s="70" t="s">
        <v>37</v>
      </c>
      <c r="C24" s="1206">
        <v>0</v>
      </c>
      <c r="D24" s="4">
        <f t="shared" si="0"/>
        <v>0</v>
      </c>
      <c r="E24" s="4">
        <f t="shared" si="1"/>
        <v>0</v>
      </c>
      <c r="F24" s="4">
        <v>0</v>
      </c>
      <c r="G24" s="42"/>
      <c r="H24" s="42"/>
      <c r="I24" s="42"/>
    </row>
    <row r="25" spans="1:15" ht="15.75">
      <c r="A25" s="16" t="s">
        <v>36</v>
      </c>
      <c r="B25" s="70" t="s">
        <v>35</v>
      </c>
      <c r="C25" s="1206">
        <v>0</v>
      </c>
      <c r="D25" s="4">
        <f t="shared" si="0"/>
        <v>0</v>
      </c>
      <c r="E25" s="4">
        <f t="shared" si="1"/>
        <v>0</v>
      </c>
      <c r="F25" s="4">
        <f t="shared" si="2"/>
        <v>0</v>
      </c>
      <c r="G25" s="42"/>
      <c r="H25" s="42"/>
      <c r="I25" s="42"/>
    </row>
    <row r="26" spans="1:15" ht="15.75">
      <c r="A26" s="16" t="s">
        <v>34</v>
      </c>
      <c r="B26" s="70" t="s">
        <v>33</v>
      </c>
      <c r="C26" s="1206">
        <v>0</v>
      </c>
      <c r="D26" s="4">
        <f t="shared" si="0"/>
        <v>0</v>
      </c>
      <c r="E26" s="4">
        <f t="shared" si="1"/>
        <v>0</v>
      </c>
      <c r="F26" s="4">
        <f t="shared" si="2"/>
        <v>0</v>
      </c>
      <c r="G26" s="42"/>
      <c r="H26" s="42"/>
      <c r="I26" s="42"/>
    </row>
    <row r="27" spans="1:15" ht="15.75">
      <c r="A27" s="16" t="s">
        <v>32</v>
      </c>
      <c r="B27" s="70" t="s">
        <v>31</v>
      </c>
      <c r="C27" s="1206">
        <v>0</v>
      </c>
      <c r="D27" s="4">
        <f t="shared" si="0"/>
        <v>0</v>
      </c>
      <c r="E27" s="4">
        <f t="shared" si="1"/>
        <v>0</v>
      </c>
      <c r="F27" s="4">
        <f t="shared" si="2"/>
        <v>0</v>
      </c>
      <c r="G27" s="42"/>
      <c r="H27" s="42"/>
      <c r="I27" s="42"/>
    </row>
    <row r="28" spans="1:15" ht="15.75">
      <c r="A28" s="137">
        <v>3291</v>
      </c>
      <c r="B28" s="33" t="s">
        <v>325</v>
      </c>
      <c r="C28" s="1206">
        <v>0</v>
      </c>
      <c r="D28" s="4">
        <f t="shared" si="0"/>
        <v>0</v>
      </c>
      <c r="E28" s="4">
        <f t="shared" si="1"/>
        <v>0</v>
      </c>
      <c r="F28" s="4">
        <f t="shared" si="2"/>
        <v>0</v>
      </c>
      <c r="G28" s="42"/>
      <c r="H28" s="42"/>
      <c r="I28" s="42"/>
    </row>
    <row r="29" spans="1:15" ht="15.75">
      <c r="A29" s="137" t="s">
        <v>526</v>
      </c>
      <c r="B29" s="33" t="s">
        <v>523</v>
      </c>
      <c r="C29" s="1206">
        <v>642.5</v>
      </c>
      <c r="D29" s="4">
        <f>+C29*9%</f>
        <v>57.824999999999996</v>
      </c>
      <c r="E29" s="4">
        <f>+D29</f>
        <v>57.824999999999996</v>
      </c>
      <c r="F29" s="4" t="str">
        <f>IF(D29&gt;0," ",C29*18%)</f>
        <v xml:space="preserve"> </v>
      </c>
      <c r="G29" s="42"/>
      <c r="H29" s="42"/>
      <c r="I29" s="42"/>
    </row>
    <row r="30" spans="1:15" ht="15.75">
      <c r="A30" s="137" t="s">
        <v>527</v>
      </c>
      <c r="B30" s="33" t="s">
        <v>524</v>
      </c>
      <c r="C30" s="1206">
        <v>6650</v>
      </c>
      <c r="D30" s="4">
        <f>+C30*9%</f>
        <v>598.5</v>
      </c>
      <c r="E30" s="4">
        <f>+D30</f>
        <v>598.5</v>
      </c>
      <c r="F30" s="4" t="str">
        <f>IF(D30&gt;0," ",C30*18%)</f>
        <v xml:space="preserve"> </v>
      </c>
      <c r="G30" s="42"/>
      <c r="H30" s="42"/>
      <c r="I30" s="42"/>
    </row>
    <row r="31" spans="1:15" ht="15.75">
      <c r="A31" s="137" t="s">
        <v>528</v>
      </c>
      <c r="B31" s="33" t="s">
        <v>529</v>
      </c>
      <c r="C31" s="1206">
        <v>250</v>
      </c>
      <c r="D31" s="4">
        <f>+C31*9%</f>
        <v>22.5</v>
      </c>
      <c r="E31" s="4">
        <f>+D31</f>
        <v>22.5</v>
      </c>
      <c r="F31" s="4" t="str">
        <f>IF(D31&gt;0," ",C31*18%)</f>
        <v xml:space="preserve"> </v>
      </c>
      <c r="G31" s="42"/>
      <c r="H31" s="42">
        <v>0</v>
      </c>
      <c r="I31" s="42"/>
    </row>
    <row r="32" spans="1:15" ht="15.75">
      <c r="A32" s="137" t="s">
        <v>531</v>
      </c>
      <c r="B32" s="33" t="s">
        <v>532</v>
      </c>
      <c r="C32" s="1206">
        <v>150</v>
      </c>
      <c r="D32" s="4">
        <f>+C32*9%</f>
        <v>13.5</v>
      </c>
      <c r="E32" s="4">
        <f>+D32</f>
        <v>13.5</v>
      </c>
      <c r="F32" s="4" t="str">
        <f>IF(D32&gt;0," ",C32*18%)</f>
        <v xml:space="preserve"> </v>
      </c>
      <c r="G32" s="42"/>
      <c r="H32" s="42"/>
      <c r="I32" s="42"/>
    </row>
    <row r="33" spans="1:9" ht="15.75">
      <c r="A33" s="13">
        <v>3300</v>
      </c>
      <c r="B33" s="70" t="s">
        <v>29</v>
      </c>
      <c r="C33" s="1206">
        <v>151834.6</v>
      </c>
      <c r="D33" s="4">
        <f t="shared" si="0"/>
        <v>13665.114</v>
      </c>
      <c r="E33" s="4">
        <f t="shared" si="1"/>
        <v>13665.114</v>
      </c>
      <c r="F33" s="4">
        <v>0</v>
      </c>
      <c r="G33" s="42">
        <v>0</v>
      </c>
      <c r="H33" s="42"/>
      <c r="I33" s="42"/>
    </row>
    <row r="34" spans="1:9" ht="15.75">
      <c r="A34" s="14" t="s">
        <v>401</v>
      </c>
      <c r="B34" s="70" t="s">
        <v>154</v>
      </c>
      <c r="C34" s="1206">
        <v>0</v>
      </c>
      <c r="D34" s="4">
        <f t="shared" si="0"/>
        <v>0</v>
      </c>
      <c r="E34" s="4">
        <f t="shared" si="1"/>
        <v>0</v>
      </c>
      <c r="F34" s="4">
        <f t="shared" si="2"/>
        <v>0</v>
      </c>
      <c r="G34" s="42"/>
      <c r="H34" s="42"/>
      <c r="I34" s="42"/>
    </row>
    <row r="35" spans="1:9" ht="15.75">
      <c r="A35" s="160">
        <v>3302</v>
      </c>
      <c r="B35" s="70" t="s">
        <v>525</v>
      </c>
      <c r="C35" s="1206">
        <v>0</v>
      </c>
      <c r="D35" s="4">
        <f t="shared" si="0"/>
        <v>0</v>
      </c>
      <c r="E35" s="4">
        <f t="shared" si="1"/>
        <v>0</v>
      </c>
      <c r="F35" s="4">
        <f t="shared" si="2"/>
        <v>0</v>
      </c>
      <c r="G35" s="42"/>
      <c r="H35" s="42"/>
      <c r="I35" s="42"/>
    </row>
    <row r="36" spans="1:9" ht="15.75">
      <c r="A36" s="14" t="s">
        <v>28</v>
      </c>
      <c r="B36" s="70" t="s">
        <v>27</v>
      </c>
      <c r="C36" s="1206">
        <v>0</v>
      </c>
      <c r="D36" s="4">
        <f t="shared" si="0"/>
        <v>0</v>
      </c>
      <c r="E36" s="4">
        <f t="shared" si="1"/>
        <v>0</v>
      </c>
      <c r="F36" s="4">
        <f t="shared" si="2"/>
        <v>0</v>
      </c>
      <c r="G36" s="42"/>
      <c r="H36" s="42"/>
      <c r="I36" s="42"/>
    </row>
    <row r="37" spans="1:9" ht="15.75">
      <c r="A37" s="16" t="s">
        <v>114</v>
      </c>
      <c r="B37" s="70" t="s">
        <v>115</v>
      </c>
      <c r="C37" s="1206">
        <v>735</v>
      </c>
      <c r="D37" s="4">
        <f t="shared" si="0"/>
        <v>66.149999999999991</v>
      </c>
      <c r="E37" s="4">
        <f t="shared" si="1"/>
        <v>66.149999999999991</v>
      </c>
      <c r="F37" s="4" t="str">
        <f t="shared" si="2"/>
        <v xml:space="preserve"> </v>
      </c>
      <c r="G37" s="42"/>
      <c r="H37" s="42"/>
      <c r="I37" s="42"/>
    </row>
    <row r="38" spans="1:9" ht="15.75">
      <c r="A38" s="13" t="s">
        <v>26</v>
      </c>
      <c r="B38" s="70" t="s">
        <v>25</v>
      </c>
      <c r="C38" s="1206">
        <v>302.41000000000003</v>
      </c>
      <c r="D38" s="4">
        <f t="shared" si="0"/>
        <v>27.216900000000003</v>
      </c>
      <c r="E38" s="4">
        <f t="shared" si="1"/>
        <v>27.216900000000003</v>
      </c>
      <c r="F38" s="4">
        <v>0</v>
      </c>
      <c r="G38" s="42">
        <v>0</v>
      </c>
      <c r="H38" s="42">
        <v>0</v>
      </c>
      <c r="I38" s="42"/>
    </row>
    <row r="39" spans="1:9" ht="15.75">
      <c r="A39" s="13" t="s">
        <v>24</v>
      </c>
      <c r="B39" s="70" t="s">
        <v>23</v>
      </c>
      <c r="C39" s="1206">
        <v>3550</v>
      </c>
      <c r="D39" s="4">
        <f t="shared" si="0"/>
        <v>319.5</v>
      </c>
      <c r="E39" s="4">
        <f t="shared" si="1"/>
        <v>319.5</v>
      </c>
      <c r="F39" s="4" t="str">
        <f>IF(D39&gt;0," ",C39*18%)</f>
        <v xml:space="preserve"> </v>
      </c>
      <c r="G39" s="42">
        <v>0</v>
      </c>
      <c r="H39" s="42"/>
      <c r="I39" s="42"/>
    </row>
    <row r="40" spans="1:9" ht="15.75">
      <c r="A40" s="13" t="s">
        <v>22</v>
      </c>
      <c r="B40" s="70" t="s">
        <v>21</v>
      </c>
      <c r="C40" s="1206">
        <v>4250</v>
      </c>
      <c r="D40" s="4">
        <f t="shared" si="0"/>
        <v>382.5</v>
      </c>
      <c r="E40" s="4">
        <f t="shared" si="1"/>
        <v>382.5</v>
      </c>
      <c r="F40" s="4">
        <v>0</v>
      </c>
      <c r="G40" s="42">
        <v>0</v>
      </c>
      <c r="H40" s="42">
        <v>0</v>
      </c>
      <c r="I40" s="42"/>
    </row>
    <row r="41" spans="1:9" ht="15.75">
      <c r="A41" s="13" t="s">
        <v>20</v>
      </c>
      <c r="B41" s="70" t="s">
        <v>19</v>
      </c>
      <c r="C41" s="1206">
        <v>4534.6000000000004</v>
      </c>
      <c r="D41" s="4">
        <f t="shared" si="0"/>
        <v>408.11400000000003</v>
      </c>
      <c r="E41" s="4">
        <f t="shared" si="1"/>
        <v>408.11400000000003</v>
      </c>
      <c r="F41" s="4" t="str">
        <f t="shared" si="2"/>
        <v xml:space="preserve"> </v>
      </c>
      <c r="G41" s="42"/>
      <c r="H41" s="42"/>
      <c r="I41" s="42"/>
    </row>
    <row r="42" spans="1:9" ht="15.75">
      <c r="A42" s="14" t="s">
        <v>18</v>
      </c>
      <c r="B42" s="70" t="s">
        <v>17</v>
      </c>
      <c r="C42" s="1206">
        <v>7890</v>
      </c>
      <c r="D42" s="4">
        <f>+C42*9%</f>
        <v>710.1</v>
      </c>
      <c r="E42" s="4">
        <f t="shared" si="1"/>
        <v>710.1</v>
      </c>
      <c r="F42" s="4" t="str">
        <f t="shared" si="2"/>
        <v xml:space="preserve"> </v>
      </c>
      <c r="G42" s="42"/>
      <c r="H42" s="42"/>
      <c r="I42" s="42"/>
    </row>
    <row r="43" spans="1:9" ht="15.75">
      <c r="A43" s="14" t="s">
        <v>16</v>
      </c>
      <c r="B43" s="70" t="s">
        <v>15</v>
      </c>
      <c r="C43" s="1206">
        <v>1050</v>
      </c>
      <c r="D43" s="4">
        <f t="shared" si="0"/>
        <v>94.5</v>
      </c>
      <c r="E43" s="4">
        <f t="shared" si="1"/>
        <v>94.5</v>
      </c>
      <c r="F43" s="4" t="str">
        <f t="shared" si="2"/>
        <v xml:space="preserve"> </v>
      </c>
      <c r="G43" s="42"/>
      <c r="H43" s="42"/>
      <c r="I43" s="42"/>
    </row>
    <row r="44" spans="1:9" ht="15.75">
      <c r="A44" s="14" t="s">
        <v>14</v>
      </c>
      <c r="B44" s="70" t="s">
        <v>13</v>
      </c>
      <c r="C44" s="1206">
        <v>2330</v>
      </c>
      <c r="D44" s="4">
        <f>+C44*9%</f>
        <v>209.7</v>
      </c>
      <c r="E44" s="4">
        <f t="shared" si="1"/>
        <v>209.7</v>
      </c>
      <c r="F44" s="4" t="str">
        <f t="shared" si="2"/>
        <v xml:space="preserve"> </v>
      </c>
      <c r="G44" s="42">
        <v>0</v>
      </c>
      <c r="H44" s="42"/>
      <c r="I44" s="42"/>
    </row>
    <row r="45" spans="1:9" ht="15.75">
      <c r="A45" s="14" t="s">
        <v>396</v>
      </c>
      <c r="B45" s="70" t="s">
        <v>286</v>
      </c>
      <c r="C45" s="1206">
        <v>0</v>
      </c>
      <c r="D45" s="4">
        <f t="shared" si="0"/>
        <v>0</v>
      </c>
      <c r="E45" s="4">
        <f t="shared" si="1"/>
        <v>0</v>
      </c>
      <c r="F45" s="4">
        <f t="shared" si="2"/>
        <v>0</v>
      </c>
      <c r="G45" s="42"/>
      <c r="H45" s="42"/>
      <c r="I45" s="42"/>
    </row>
    <row r="46" spans="1:9" ht="15.75">
      <c r="A46" s="14" t="s">
        <v>12</v>
      </c>
      <c r="B46" s="70" t="s">
        <v>11</v>
      </c>
      <c r="C46" s="1206">
        <v>0</v>
      </c>
      <c r="D46" s="4">
        <f t="shared" si="0"/>
        <v>0</v>
      </c>
      <c r="E46" s="4">
        <f t="shared" si="1"/>
        <v>0</v>
      </c>
      <c r="F46" s="4">
        <f>IF(D46&gt;0," ",C46*18%)</f>
        <v>0</v>
      </c>
      <c r="G46" s="42"/>
      <c r="H46" s="42"/>
      <c r="I46" s="42"/>
    </row>
    <row r="47" spans="1:9" ht="15.75">
      <c r="A47" s="14" t="s">
        <v>397</v>
      </c>
      <c r="B47" s="70" t="s">
        <v>290</v>
      </c>
      <c r="C47" s="1206">
        <f>1132756-1131376</f>
        <v>1380</v>
      </c>
      <c r="D47" s="4">
        <f>+C47*9%</f>
        <v>124.19999999999999</v>
      </c>
      <c r="E47" s="4">
        <f t="shared" si="1"/>
        <v>124.19999999999999</v>
      </c>
      <c r="F47" s="4" t="str">
        <f t="shared" si="2"/>
        <v xml:space="preserve"> </v>
      </c>
      <c r="G47" s="42"/>
      <c r="H47" s="42">
        <v>0</v>
      </c>
      <c r="I47" s="42"/>
    </row>
    <row r="48" spans="1:9" ht="15.75">
      <c r="A48" s="14" t="s">
        <v>398</v>
      </c>
      <c r="B48" s="70" t="s">
        <v>156</v>
      </c>
      <c r="C48" s="1206">
        <v>0</v>
      </c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42"/>
      <c r="H48" s="42"/>
      <c r="I48" s="42"/>
    </row>
    <row r="49" spans="1:10" ht="15.75">
      <c r="A49" s="14" t="s">
        <v>399</v>
      </c>
      <c r="B49" s="70" t="s">
        <v>335</v>
      </c>
      <c r="C49" s="1206">
        <v>0</v>
      </c>
      <c r="D49" s="4">
        <f t="shared" si="0"/>
        <v>0</v>
      </c>
      <c r="E49" s="4">
        <f>+D49</f>
        <v>0</v>
      </c>
      <c r="F49" s="4"/>
      <c r="G49" s="42"/>
      <c r="H49" s="42"/>
      <c r="I49" s="42"/>
    </row>
    <row r="50" spans="1:10" ht="15.75">
      <c r="A50" s="14">
        <v>3324</v>
      </c>
      <c r="B50" s="70" t="s">
        <v>438</v>
      </c>
      <c r="C50" s="1206">
        <v>0</v>
      </c>
      <c r="D50" s="4">
        <f>+C50*0.09</f>
        <v>0</v>
      </c>
      <c r="E50" s="4">
        <f>+D50</f>
        <v>0</v>
      </c>
      <c r="F50" s="4"/>
      <c r="G50" s="42"/>
      <c r="H50" s="42"/>
      <c r="I50" s="42"/>
    </row>
    <row r="51" spans="1:10" ht="15.75">
      <c r="A51" s="161">
        <v>3325</v>
      </c>
      <c r="B51" s="70" t="s">
        <v>606</v>
      </c>
      <c r="C51" s="1206">
        <v>0</v>
      </c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42"/>
      <c r="I51" s="42"/>
    </row>
    <row r="52" spans="1:10" ht="15.75">
      <c r="A52" s="14" t="s">
        <v>400</v>
      </c>
      <c r="B52" s="70" t="s">
        <v>300</v>
      </c>
      <c r="C52" s="1206">
        <v>23834</v>
      </c>
      <c r="D52" s="4">
        <f t="shared" si="0"/>
        <v>2145.06</v>
      </c>
      <c r="E52" s="4">
        <f t="shared" si="1"/>
        <v>2145.06</v>
      </c>
      <c r="F52" s="4" t="str">
        <f t="shared" si="2"/>
        <v xml:space="preserve"> </v>
      </c>
      <c r="G52" s="42">
        <v>0</v>
      </c>
      <c r="H52" s="42">
        <v>0</v>
      </c>
      <c r="I52" s="42"/>
    </row>
    <row r="53" spans="1:10" ht="15.75">
      <c r="A53" s="14">
        <v>3359</v>
      </c>
      <c r="B53" s="70" t="s">
        <v>683</v>
      </c>
      <c r="C53" s="1206">
        <v>0</v>
      </c>
      <c r="D53" s="4">
        <f>+C53*9%</f>
        <v>0</v>
      </c>
      <c r="E53" s="4">
        <f>+D53</f>
        <v>0</v>
      </c>
      <c r="F53" s="4"/>
      <c r="G53" s="42">
        <v>0</v>
      </c>
      <c r="H53" s="42">
        <v>0</v>
      </c>
      <c r="I53" s="42"/>
      <c r="J53" s="1" t="s">
        <v>5</v>
      </c>
    </row>
    <row r="54" spans="1:10" ht="15.75">
      <c r="A54" s="14">
        <v>3825</v>
      </c>
      <c r="B54" s="70" t="s">
        <v>646</v>
      </c>
      <c r="C54" s="1206">
        <v>0</v>
      </c>
      <c r="D54" s="4">
        <f>+C54*9%</f>
        <v>0</v>
      </c>
      <c r="E54" s="4">
        <f>+D54</f>
        <v>0</v>
      </c>
      <c r="F54" s="4"/>
      <c r="G54" s="42"/>
      <c r="H54" s="42"/>
      <c r="I54" s="42"/>
    </row>
    <row r="55" spans="1:10" ht="15.75">
      <c r="A55" s="14">
        <v>3362</v>
      </c>
      <c r="B55" s="70" t="s">
        <v>739</v>
      </c>
      <c r="C55" s="1206">
        <v>0</v>
      </c>
      <c r="D55" s="4"/>
      <c r="E55" s="4"/>
      <c r="F55" s="4"/>
      <c r="G55" s="42"/>
      <c r="H55" s="42"/>
      <c r="I55" s="42"/>
    </row>
    <row r="56" spans="1:10" ht="15.75">
      <c r="A56" s="14">
        <v>3340</v>
      </c>
      <c r="B56" s="70" t="s">
        <v>785</v>
      </c>
      <c r="C56" s="1206">
        <v>0</v>
      </c>
      <c r="D56" s="4">
        <f>+C56*9%</f>
        <v>0</v>
      </c>
      <c r="E56" s="4">
        <f>+D56</f>
        <v>0</v>
      </c>
      <c r="F56" s="4"/>
      <c r="G56" s="42"/>
      <c r="H56" s="42"/>
      <c r="I56" s="42"/>
    </row>
    <row r="57" spans="1:10" ht="15.75">
      <c r="A57" s="15" t="s">
        <v>10</v>
      </c>
      <c r="B57" s="70"/>
      <c r="C57" s="1206"/>
      <c r="D57" s="4"/>
      <c r="E57" s="4"/>
      <c r="F57" s="4"/>
      <c r="G57" s="42"/>
      <c r="H57" s="42"/>
      <c r="I57" s="42"/>
    </row>
    <row r="58" spans="1:10" ht="15.75">
      <c r="A58" s="14" t="s">
        <v>9</v>
      </c>
      <c r="B58" s="70" t="s">
        <v>8</v>
      </c>
      <c r="C58" s="1206">
        <v>0</v>
      </c>
      <c r="D58" s="4">
        <f t="shared" si="0"/>
        <v>0</v>
      </c>
      <c r="E58" s="4">
        <f t="shared" si="1"/>
        <v>0</v>
      </c>
      <c r="F58" s="4">
        <f t="shared" si="2"/>
        <v>0</v>
      </c>
      <c r="G58" s="42">
        <v>0</v>
      </c>
      <c r="H58" s="42"/>
      <c r="I58" s="42"/>
    </row>
    <row r="59" spans="1:10" ht="15.75">
      <c r="A59" s="13" t="s">
        <v>7</v>
      </c>
      <c r="B59" s="70" t="s">
        <v>6</v>
      </c>
      <c r="C59" s="1206">
        <f>221900-3740</f>
        <v>218160</v>
      </c>
      <c r="D59" s="4">
        <f>+C59*9%</f>
        <v>19634.399999999998</v>
      </c>
      <c r="E59" s="4">
        <f t="shared" si="1"/>
        <v>19634.399999999998</v>
      </c>
      <c r="F59" s="4" t="str">
        <f>IF(D59&gt;0," ",C59*18%)</f>
        <v xml:space="preserve"> </v>
      </c>
      <c r="G59" s="42">
        <v>3740</v>
      </c>
      <c r="H59" s="42">
        <v>0</v>
      </c>
      <c r="I59" s="42">
        <v>0</v>
      </c>
    </row>
    <row r="60" spans="1:10" ht="15.75">
      <c r="A60" s="5" t="s">
        <v>5</v>
      </c>
      <c r="B60" s="70" t="s">
        <v>4</v>
      </c>
      <c r="C60" s="134"/>
      <c r="D60" s="4"/>
      <c r="E60" s="4"/>
      <c r="F60" s="4"/>
      <c r="G60" s="42"/>
      <c r="H60" s="42"/>
      <c r="I60" s="42"/>
    </row>
    <row r="61" spans="1:10" ht="15.75">
      <c r="A61" s="434"/>
      <c r="B61" s="432" t="s">
        <v>465</v>
      </c>
      <c r="C61" s="134"/>
      <c r="D61" s="433">
        <f>+C61*0.09</f>
        <v>0</v>
      </c>
      <c r="E61" s="433">
        <f>+D61</f>
        <v>0</v>
      </c>
      <c r="F61" s="433"/>
      <c r="G61" s="42"/>
      <c r="H61" s="42"/>
      <c r="I61" s="42"/>
    </row>
    <row r="62" spans="1:10" ht="16.5" thickBot="1">
      <c r="A62" s="12"/>
      <c r="B62" s="11" t="s">
        <v>3</v>
      </c>
      <c r="C62" s="10">
        <f>SUM(C9:C61)</f>
        <v>464993.11</v>
      </c>
      <c r="D62" s="10">
        <f>SUM(D9:D61)</f>
        <v>41849.3799</v>
      </c>
      <c r="E62" s="10">
        <f>SUM(E9:E61)</f>
        <v>41849.3799</v>
      </c>
      <c r="F62" s="10">
        <f>SUM(F9:F61)</f>
        <v>0</v>
      </c>
      <c r="G62" s="10">
        <f>SUM(G9:G59)</f>
        <v>3740</v>
      </c>
      <c r="H62" s="10">
        <f>SUM(H9:H59)</f>
        <v>0</v>
      </c>
      <c r="I62" s="10">
        <f>SUM(I9:I59)</f>
        <v>0</v>
      </c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9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41849.3799</v>
      </c>
    </row>
    <row r="66" spans="1:9" ht="15.75">
      <c r="A66" s="1228" t="s">
        <v>75</v>
      </c>
      <c r="B66" s="1228"/>
      <c r="C66" s="1228"/>
      <c r="D66" s="1228"/>
      <c r="E66" s="1228"/>
      <c r="F66" s="1228"/>
    </row>
    <row r="67" spans="1:9" ht="15.75">
      <c r="A67" s="28"/>
      <c r="B67" s="28"/>
      <c r="C67" s="28"/>
      <c r="D67" s="28"/>
      <c r="E67" s="28"/>
      <c r="F67" s="28"/>
    </row>
    <row r="68" spans="1:9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9" ht="15" customHeight="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9">
      <c r="A70" s="1247"/>
      <c r="B70" s="1248"/>
      <c r="C70" s="1249"/>
      <c r="D70" s="1236"/>
      <c r="E70" s="1236"/>
      <c r="F70" s="1232"/>
      <c r="G70" s="1" t="s">
        <v>5</v>
      </c>
      <c r="H70" s="1" t="s">
        <v>5</v>
      </c>
    </row>
    <row r="71" spans="1:9" ht="15.75">
      <c r="A71" s="1241" t="s">
        <v>80</v>
      </c>
      <c r="B71" s="1242"/>
      <c r="C71" s="1243"/>
      <c r="D71" s="105">
        <f>+D62</f>
        <v>41849.3799</v>
      </c>
      <c r="E71" s="105">
        <f>+E62</f>
        <v>41849.3799</v>
      </c>
      <c r="F71" s="105">
        <f>+F62</f>
        <v>0</v>
      </c>
    </row>
    <row r="72" spans="1:9" ht="15.75">
      <c r="A72" s="43" t="s">
        <v>103</v>
      </c>
      <c r="B72" s="43"/>
      <c r="C72" s="43">
        <f>G62</f>
        <v>3740</v>
      </c>
      <c r="D72" s="106">
        <f>+C72*0.09</f>
        <v>336.59999999999997</v>
      </c>
      <c r="E72" s="106">
        <f>+C72*0.09</f>
        <v>336.59999999999997</v>
      </c>
      <c r="F72" s="105">
        <v>0</v>
      </c>
    </row>
    <row r="73" spans="1:9" ht="15.75">
      <c r="A73" s="43"/>
      <c r="B73" s="43"/>
      <c r="C73" s="43"/>
      <c r="D73" s="105">
        <f>SUM(D71:D72)</f>
        <v>42185.979899999998</v>
      </c>
      <c r="E73" s="105">
        <f>+D73</f>
        <v>42185.979899999998</v>
      </c>
      <c r="F73" s="105">
        <v>0</v>
      </c>
      <c r="I73" s="32"/>
    </row>
    <row r="74" spans="1:9" ht="15.75">
      <c r="A74" s="1241" t="s">
        <v>104</v>
      </c>
      <c r="B74" s="1242"/>
      <c r="C74" s="1243"/>
      <c r="D74" s="108">
        <v>42179.47</v>
      </c>
      <c r="E74" s="108">
        <f>+D74</f>
        <v>42179.47</v>
      </c>
      <c r="F74" s="108">
        <v>0</v>
      </c>
    </row>
    <row r="75" spans="1:9" ht="15.75">
      <c r="A75" s="1250" t="s">
        <v>79</v>
      </c>
      <c r="B75" s="1251"/>
      <c r="C75" s="1252"/>
      <c r="D75" s="108">
        <f>+D73-D74</f>
        <v>6.5098999999972875</v>
      </c>
      <c r="E75" s="108">
        <f>+E73-E74</f>
        <v>6.5098999999972875</v>
      </c>
      <c r="F75" s="108">
        <f>IF(F71&gt;F74,F71,F74)</f>
        <v>0</v>
      </c>
      <c r="G75" s="1">
        <f>D75/9%</f>
        <v>72.332222222192087</v>
      </c>
    </row>
    <row r="76" spans="1:9" ht="15.75">
      <c r="A76" s="3"/>
      <c r="B76" s="2"/>
      <c r="C76" s="3"/>
      <c r="D76" s="3"/>
      <c r="E76" s="3"/>
      <c r="F76" s="3"/>
    </row>
    <row r="77" spans="1:9" ht="15" customHeight="1">
      <c r="A77" s="27" t="s">
        <v>77</v>
      </c>
      <c r="B77" s="2"/>
      <c r="C77" s="3"/>
      <c r="D77" s="3"/>
      <c r="E77" s="3"/>
      <c r="F77" s="3"/>
    </row>
    <row r="78" spans="1:9" ht="15" customHeight="1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9">
      <c r="A79" s="1221"/>
      <c r="B79" s="1222"/>
      <c r="C79" s="1223"/>
      <c r="D79" s="1254" t="s">
        <v>67</v>
      </c>
      <c r="E79" s="1235"/>
      <c r="F79" s="1235"/>
      <c r="G79" s="458"/>
    </row>
    <row r="80" spans="1:9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2977</v>
      </c>
      <c r="E81" s="108">
        <f>+D81</f>
        <v>2977</v>
      </c>
      <c r="F81" s="108">
        <v>0</v>
      </c>
      <c r="G81" s="32">
        <f t="shared" ref="G81:I83" si="3">+D81/2</f>
        <v>1488.5</v>
      </c>
      <c r="H81" s="32">
        <f t="shared" si="3"/>
        <v>1488.5</v>
      </c>
      <c r="I81" s="32">
        <f t="shared" si="3"/>
        <v>0</v>
      </c>
    </row>
    <row r="82" spans="1:9" ht="15.75">
      <c r="A82" s="1224" t="s">
        <v>83</v>
      </c>
      <c r="B82" s="1224"/>
      <c r="C82" s="1224"/>
      <c r="D82" s="105">
        <f>+C93</f>
        <v>29.61</v>
      </c>
      <c r="E82" s="105">
        <f>+D82</f>
        <v>29.61</v>
      </c>
      <c r="F82" s="105">
        <v>0</v>
      </c>
      <c r="G82" s="32">
        <f t="shared" si="3"/>
        <v>14.805</v>
      </c>
      <c r="H82" s="32">
        <f t="shared" si="3"/>
        <v>14.805</v>
      </c>
      <c r="I82" s="32">
        <f t="shared" si="3"/>
        <v>0</v>
      </c>
    </row>
    <row r="83" spans="1:9" ht="17.25" customHeight="1">
      <c r="A83" s="1215" t="s">
        <v>82</v>
      </c>
      <c r="B83" s="1215"/>
      <c r="C83" s="1215"/>
      <c r="D83" s="105">
        <f>+D81-D82</f>
        <v>2947.39</v>
      </c>
      <c r="E83" s="105">
        <f>+E81-E82</f>
        <v>2947.39</v>
      </c>
      <c r="F83" s="105">
        <f>+F81-F82</f>
        <v>0</v>
      </c>
      <c r="G83" s="32">
        <f t="shared" si="3"/>
        <v>1473.6949999999999</v>
      </c>
      <c r="H83" s="32">
        <f t="shared" si="3"/>
        <v>1473.6949999999999</v>
      </c>
      <c r="I83" s="32">
        <f t="shared" si="3"/>
        <v>0</v>
      </c>
    </row>
    <row r="85" spans="1:9">
      <c r="A85" s="73"/>
      <c r="B85" s="73"/>
      <c r="D85" s="73"/>
      <c r="G85" s="147"/>
    </row>
    <row r="86" spans="1:9">
      <c r="B86" s="145" t="s">
        <v>411</v>
      </c>
      <c r="C86" s="112"/>
      <c r="D86" s="112"/>
      <c r="E86" s="112"/>
    </row>
    <row r="87" spans="1:9">
      <c r="B87" s="252" t="s">
        <v>322</v>
      </c>
      <c r="C87" s="141" t="s">
        <v>89</v>
      </c>
      <c r="D87" s="141" t="s">
        <v>67</v>
      </c>
      <c r="E87" s="171" t="s">
        <v>68</v>
      </c>
    </row>
    <row r="88" spans="1:9">
      <c r="A88" s="204"/>
      <c r="B88" s="1" t="s">
        <v>102</v>
      </c>
      <c r="C88" s="1">
        <v>29.61</v>
      </c>
      <c r="D88" s="1">
        <f>+C88</f>
        <v>29.61</v>
      </c>
    </row>
    <row r="89" spans="1:9">
      <c r="A89" s="204"/>
      <c r="B89" s="1" t="s">
        <v>102</v>
      </c>
      <c r="D89" s="1">
        <f>+C89</f>
        <v>0</v>
      </c>
    </row>
    <row r="90" spans="1:9">
      <c r="A90" s="1" t="s">
        <v>534</v>
      </c>
      <c r="B90" s="486" t="s">
        <v>440</v>
      </c>
      <c r="D90" s="1">
        <f>+C90</f>
        <v>0</v>
      </c>
    </row>
    <row r="91" spans="1:9">
      <c r="A91" s="1" t="s">
        <v>534</v>
      </c>
      <c r="B91" s="1" t="s">
        <v>538</v>
      </c>
      <c r="D91" s="1">
        <f>+C91</f>
        <v>0</v>
      </c>
    </row>
    <row r="92" spans="1:9">
      <c r="A92" s="204"/>
      <c r="B92" s="1" t="s">
        <v>102</v>
      </c>
      <c r="C92" s="1">
        <v>0</v>
      </c>
      <c r="D92" s="1">
        <f>+C92</f>
        <v>0</v>
      </c>
    </row>
    <row r="93" spans="1:9" ht="15.75" thickBot="1">
      <c r="B93" s="141" t="s">
        <v>135</v>
      </c>
      <c r="C93" s="366">
        <f>SUM(C88:C92)</f>
        <v>29.61</v>
      </c>
      <c r="D93" s="366">
        <f>SUM(D88:D92)</f>
        <v>29.61</v>
      </c>
      <c r="E93" s="182"/>
    </row>
    <row r="94" spans="1:9" ht="16.5" thickTop="1" thickBot="1">
      <c r="C94" s="69"/>
      <c r="D94" s="69"/>
    </row>
    <row r="95" spans="1:9">
      <c r="A95" s="1255"/>
      <c r="B95" s="1256"/>
      <c r="C95" s="1256"/>
      <c r="D95" s="1256"/>
      <c r="E95" s="1256"/>
      <c r="F95" s="1257"/>
    </row>
    <row r="96" spans="1:9" ht="15.75" thickBot="1">
      <c r="A96" s="1258"/>
      <c r="B96" s="1259"/>
      <c r="C96" s="1259"/>
      <c r="D96" s="1259"/>
      <c r="E96" s="1259"/>
      <c r="F96" s="1260"/>
    </row>
    <row r="99" spans="1:5">
      <c r="A99" s="73"/>
      <c r="B99" s="73"/>
    </row>
    <row r="101" spans="1:5">
      <c r="A101" s="932"/>
      <c r="B101" s="932"/>
      <c r="C101" s="932"/>
      <c r="D101" s="932"/>
      <c r="E101" s="932"/>
    </row>
    <row r="102" spans="1:5">
      <c r="A102" s="945"/>
      <c r="B102" s="932"/>
      <c r="C102" s="932"/>
      <c r="D102" s="932"/>
      <c r="E102" s="932"/>
    </row>
    <row r="103" spans="1:5">
      <c r="A103" s="945"/>
      <c r="B103" s="932"/>
      <c r="C103" s="932"/>
      <c r="D103" s="932"/>
      <c r="E103" s="932"/>
    </row>
    <row r="104" spans="1:5">
      <c r="A104" s="945"/>
      <c r="B104" s="932"/>
      <c r="C104" s="932"/>
      <c r="D104" s="932"/>
      <c r="E104" s="932"/>
    </row>
  </sheetData>
  <mergeCells count="29">
    <mergeCell ref="A95:F96"/>
    <mergeCell ref="I7:I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H7:H8"/>
    <mergeCell ref="A80:C80"/>
    <mergeCell ref="A81:C81"/>
    <mergeCell ref="A82:C82"/>
    <mergeCell ref="A83:C83"/>
    <mergeCell ref="F78:F79"/>
    <mergeCell ref="G7:G8"/>
    <mergeCell ref="A71:C71"/>
    <mergeCell ref="A66:F66"/>
    <mergeCell ref="A69:C70"/>
    <mergeCell ref="D69:D70"/>
    <mergeCell ref="E69:E70"/>
    <mergeCell ref="F69:F70"/>
    <mergeCell ref="A74:C74"/>
    <mergeCell ref="A75:C75"/>
    <mergeCell ref="A78:C79"/>
    <mergeCell ref="D78:D79"/>
    <mergeCell ref="E78:E79"/>
  </mergeCells>
  <conditionalFormatting sqref="A10:B21 E81:F89 A81:A94 F90:F91 E92:F94">
    <cfRule type="containsText" dxfId="553" priority="37" operator="containsText" text="LESS COLLECTED">
      <formula>NOT(ISERROR(SEARCH("LESS COLLECTED",A10)))</formula>
    </cfRule>
  </conditionalFormatting>
  <conditionalFormatting sqref="A22:B34">
    <cfRule type="containsText" dxfId="552" priority="44" operator="containsText" text="LESS COLLECTED">
      <formula>NOT(ISERROR(SEARCH("LESS COLLECTED",A22)))</formula>
    </cfRule>
  </conditionalFormatting>
  <conditionalFormatting sqref="A28:B32">
    <cfRule type="containsText" dxfId="551" priority="43" operator="containsText" text="EXCESS COLLECTED">
      <formula>NOT(ISERROR(SEARCH("EXCESS COLLECTED",A28)))</formula>
    </cfRule>
  </conditionalFormatting>
  <conditionalFormatting sqref="A35:B35 D35:F35">
    <cfRule type="containsText" dxfId="550" priority="21" operator="containsText" text="EXCESS COLLECTED">
      <formula>NOT(ISERROR(SEARCH("EXCESS COLLECTED",A35)))</formula>
    </cfRule>
  </conditionalFormatting>
  <conditionalFormatting sqref="A35:B50">
    <cfRule type="containsText" dxfId="549" priority="24" operator="containsText" text="LESS COLLECTED">
      <formula>NOT(ISERROR(SEARCH("LESS COLLECTED",A35)))</formula>
    </cfRule>
  </conditionalFormatting>
  <conditionalFormatting sqref="A47:B56">
    <cfRule type="containsText" dxfId="548" priority="10" operator="containsText" text="EXCESS COLLECTED">
      <formula>NOT(ISERROR(SEARCH("EXCESS COLLECTED",A47)))</formula>
    </cfRule>
  </conditionalFormatting>
  <conditionalFormatting sqref="A51:B56">
    <cfRule type="containsText" dxfId="547" priority="11" operator="containsText" text="LESS COLLECTED">
      <formula>NOT(ISERROR(SEARCH("LESS COLLECTED",A51)))</formula>
    </cfRule>
  </conditionalFormatting>
  <conditionalFormatting sqref="A57:B62">
    <cfRule type="containsText" dxfId="546" priority="53" operator="containsText" text="LESS COLLECTED">
      <formula>NOT(ISERROR(SEARCH("LESS COLLECTED",A57)))</formula>
    </cfRule>
  </conditionalFormatting>
  <conditionalFormatting sqref="A1:XFD7 A8:F8 A66:XFD73 J8:XFD8 A9:B9 H74:XFD74 A75:XFD79 A80:F80 H80:XFD80 G81:XFD96 A97:XFD1048576 D9:XFD9">
    <cfRule type="containsText" dxfId="545" priority="127" operator="containsText" text="LESS COLLECTED">
      <formula>NOT(ISERROR(SEARCH("LESS COLLECTED",A1)))</formula>
    </cfRule>
  </conditionalFormatting>
  <conditionalFormatting sqref="A63:XFD65">
    <cfRule type="containsText" dxfId="544" priority="6" operator="containsText" text="LESS COLLECTED">
      <formula>NOT(ISERROR(SEARCH("LESS COLLECTED",A63)))</formula>
    </cfRule>
  </conditionalFormatting>
  <conditionalFormatting sqref="B61">
    <cfRule type="containsText" dxfId="543" priority="52" operator="containsText" text="EXCESS COLLECTED">
      <formula>NOT(ISERROR(SEARCH("EXCESS COLLECTED",B61)))</formula>
    </cfRule>
  </conditionalFormatting>
  <conditionalFormatting sqref="B81:D82">
    <cfRule type="containsText" dxfId="542" priority="4" operator="containsText" text="LESS COLLECTED">
      <formula>NOT(ISERROR(SEARCH("LESS COLLECTED",B81)))</formula>
    </cfRule>
  </conditionalFormatting>
  <conditionalFormatting sqref="C60:C61">
    <cfRule type="containsText" dxfId="541" priority="9" operator="containsText" text="LESS COLLECTED">
      <formula>NOT(ISERROR(SEARCH("LESS COLLECTED",C60)))</formula>
    </cfRule>
  </conditionalFormatting>
  <conditionalFormatting sqref="C62:XFD62">
    <cfRule type="containsText" dxfId="540" priority="16" operator="containsText" text="LESS COLLECTED">
      <formula>NOT(ISERROR(SEARCH("LESS COLLECTED",C62)))</formula>
    </cfRule>
  </conditionalFormatting>
  <conditionalFormatting sqref="D82">
    <cfRule type="containsText" dxfId="539" priority="3" operator="containsText" text="EXCESS COLLECTED">
      <formula>NOT(ISERROR(SEARCH("EXCESS COLLECTED",D82)))</formula>
    </cfRule>
  </conditionalFormatting>
  <conditionalFormatting sqref="D53:E56">
    <cfRule type="containsText" dxfId="538" priority="12" operator="containsText" text="EXCESS COLLECTED">
      <formula>NOT(ISERROR(SEARCH("EXCESS COLLECTED",D53)))</formula>
    </cfRule>
  </conditionalFormatting>
  <conditionalFormatting sqref="D7:F8 D69:E70 A72:F73 B86:D87 B88:B92 D88:D93 B93:D94">
    <cfRule type="containsText" dxfId="537" priority="120" operator="containsText" text="EXCESS COLLECTED">
      <formula>NOT(ISERROR(SEARCH("EXCESS COLLECTED",A7)))</formula>
    </cfRule>
  </conditionalFormatting>
  <conditionalFormatting sqref="D7:F8 D69:E70 A72:F74 B83:D87 B88:B92 D88:D93 B93:D94">
    <cfRule type="containsText" dxfId="536" priority="121" operator="containsText" text="LESS COLLECTED">
      <formula>NOT(ISERROR(SEARCH("LESS COLLECTED",A7)))</formula>
    </cfRule>
  </conditionalFormatting>
  <conditionalFormatting sqref="D10:F50">
    <cfRule type="containsText" dxfId="535" priority="22" operator="containsText" text="LESS COLLECTED">
      <formula>NOT(ISERROR(SEARCH("LESS COLLECTED",D10)))</formula>
    </cfRule>
  </conditionalFormatting>
  <conditionalFormatting sqref="D49:F51">
    <cfRule type="containsText" dxfId="534" priority="17" operator="containsText" text="EXCESS COLLECTED">
      <formula>NOT(ISERROR(SEARCH("EXCESS COLLECTED",D49)))</formula>
    </cfRule>
  </conditionalFormatting>
  <conditionalFormatting sqref="D51:F52">
    <cfRule type="containsText" dxfId="533" priority="18" operator="containsText" text="LESS COLLECTED">
      <formula>NOT(ISERROR(SEARCH("LESS COLLECTED",D51)))</formula>
    </cfRule>
  </conditionalFormatting>
  <conditionalFormatting sqref="D53:F61">
    <cfRule type="containsText" dxfId="532" priority="13" operator="containsText" text="LESS COLLECTED">
      <formula>NOT(ISERROR(SEARCH("LESS COLLECTED",D53)))</formula>
    </cfRule>
  </conditionalFormatting>
  <conditionalFormatting sqref="G65">
    <cfRule type="containsText" dxfId="531" priority="5" operator="containsText" text="EXCESS COLLECTED">
      <formula>NOT(ISERROR(SEARCH("EXCESS COLLECTED",G65)))</formula>
    </cfRule>
  </conditionalFormatting>
  <conditionalFormatting sqref="G10:XFD61">
    <cfRule type="containsText" dxfId="530" priority="45" operator="containsText" text="LESS COLLECTED">
      <formula>NOT(ISERROR(SEARCH("LESS COLLECTED",G10)))</formula>
    </cfRule>
  </conditionalFormatting>
  <conditionalFormatting sqref="C10:C59">
    <cfRule type="containsText" dxfId="529" priority="1" operator="containsText" text="LESS COLLECTED">
      <formula>NOT(ISERROR(SEARCH("LESS COLLECTED",C10)))</formula>
    </cfRule>
  </conditionalFormatting>
  <conditionalFormatting sqref="C9">
    <cfRule type="containsText" dxfId="528" priority="2" operator="containsText" text="LESS COLLECTED">
      <formula>NOT(ISERROR(SEARCH("LESS COLLECTED",C9)))</formula>
    </cfRule>
  </conditionalFormatting>
  <pageMargins left="1.2555118109999999" right="0.61811023600000004" top="0" bottom="0" header="0.31496062992126" footer="0.31496062992126"/>
  <pageSetup scale="5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92D050"/>
  </sheetPr>
  <dimension ref="A1:J95"/>
  <sheetViews>
    <sheetView topLeftCell="A74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3.42578125" style="1" customWidth="1"/>
    <col min="4" max="5" width="15.140625" style="1" bestFit="1" customWidth="1"/>
    <col min="6" max="6" width="11.42578125" style="1" customWidth="1"/>
    <col min="7" max="7" width="19.85546875" style="1" customWidth="1"/>
    <col min="8" max="8" width="9.85546875" style="1" bestFit="1" customWidth="1"/>
    <col min="9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84</v>
      </c>
      <c r="B3" s="1229"/>
      <c r="C3" s="1229"/>
      <c r="D3" s="1229"/>
      <c r="E3" s="1229"/>
      <c r="F3" s="1229"/>
    </row>
    <row r="4" spans="1:10" ht="15.75">
      <c r="A4" s="1229" t="s">
        <v>367</v>
      </c>
      <c r="B4" s="1229"/>
      <c r="C4" s="1229"/>
      <c r="D4" s="1229"/>
      <c r="E4" s="1229"/>
      <c r="F4" s="1229"/>
    </row>
    <row r="5" spans="1:10" ht="15.75">
      <c r="A5" s="1228" t="str">
        <f>+RAKHIAL!A5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 customHeight="1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40" t="s">
        <v>383</v>
      </c>
      <c r="H7" s="1240" t="s">
        <v>384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40"/>
      <c r="H8" s="1240"/>
    </row>
    <row r="9" spans="1:10" ht="15.75">
      <c r="A9" s="13">
        <v>3303</v>
      </c>
      <c r="B9" s="70" t="s">
        <v>609</v>
      </c>
      <c r="C9" s="16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42"/>
      <c r="H9" s="42"/>
    </row>
    <row r="10" spans="1:10" ht="15.75">
      <c r="A10" s="18">
        <v>3200</v>
      </c>
      <c r="B10" s="70" t="s">
        <v>61</v>
      </c>
      <c r="C10" s="16">
        <v>0</v>
      </c>
      <c r="D10" s="4">
        <f t="shared" si="0"/>
        <v>0</v>
      </c>
      <c r="E10" s="4">
        <f>+D10</f>
        <v>0</v>
      </c>
      <c r="F10" s="4">
        <v>0</v>
      </c>
      <c r="G10" s="42"/>
      <c r="H10" s="42"/>
    </row>
    <row r="11" spans="1:10" ht="15.75">
      <c r="A11" s="13" t="s">
        <v>60</v>
      </c>
      <c r="B11" s="70" t="s">
        <v>59</v>
      </c>
      <c r="C11" s="16"/>
      <c r="D11" s="4">
        <f t="shared" si="0"/>
        <v>0</v>
      </c>
      <c r="E11" s="4">
        <f t="shared" ref="E11:E60" si="1">+D11</f>
        <v>0</v>
      </c>
      <c r="F11" s="4">
        <v>0</v>
      </c>
      <c r="G11" s="42"/>
      <c r="H11" s="42"/>
    </row>
    <row r="12" spans="1:10" ht="15.75">
      <c r="A12" s="14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42"/>
      <c r="H12" s="42"/>
    </row>
    <row r="13" spans="1:10" ht="15.75">
      <c r="A13" s="13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42"/>
      <c r="H13" s="42"/>
    </row>
    <row r="14" spans="1:10" ht="15.75">
      <c r="A14" s="13" t="s">
        <v>54</v>
      </c>
      <c r="B14" s="70" t="s">
        <v>53</v>
      </c>
      <c r="C14" s="16"/>
      <c r="D14" s="4">
        <f t="shared" si="0"/>
        <v>0</v>
      </c>
      <c r="E14" s="4">
        <f t="shared" si="1"/>
        <v>0</v>
      </c>
      <c r="F14" s="4">
        <f>IF(D14&gt;0," ",C14*18%)</f>
        <v>0</v>
      </c>
      <c r="G14" s="42">
        <v>0</v>
      </c>
      <c r="H14" s="42"/>
    </row>
    <row r="15" spans="1:10" ht="15.75">
      <c r="A15" s="13" t="s">
        <v>52</v>
      </c>
      <c r="B15" s="70" t="s">
        <v>51</v>
      </c>
      <c r="C15" s="16"/>
      <c r="D15" s="4">
        <f t="shared" si="0"/>
        <v>0</v>
      </c>
      <c r="E15" s="4">
        <f t="shared" si="1"/>
        <v>0</v>
      </c>
      <c r="F15" s="4">
        <v>0</v>
      </c>
      <c r="G15" s="42"/>
      <c r="H15" s="42"/>
    </row>
    <row r="16" spans="1:10" ht="15.75">
      <c r="A16" s="14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>IF(D16&gt;0," ",C16*18%)</f>
        <v>0</v>
      </c>
      <c r="G16" s="42"/>
      <c r="H16" s="42"/>
    </row>
    <row r="17" spans="1:8" ht="15.75">
      <c r="A17" s="14" t="s">
        <v>48</v>
      </c>
      <c r="B17" s="70" t="s">
        <v>47</v>
      </c>
      <c r="C17" s="16">
        <v>500</v>
      </c>
      <c r="D17" s="4">
        <f t="shared" si="0"/>
        <v>45</v>
      </c>
      <c r="E17" s="4">
        <f t="shared" si="1"/>
        <v>45</v>
      </c>
      <c r="F17" s="4">
        <v>0</v>
      </c>
      <c r="G17" s="42"/>
      <c r="H17" s="611"/>
    </row>
    <row r="18" spans="1:8" ht="15.75">
      <c r="A18" s="14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>IF(D18&gt;0," ",C18*18%)</f>
        <v>0</v>
      </c>
      <c r="G18" s="42"/>
      <c r="H18" s="42"/>
    </row>
    <row r="19" spans="1:8" ht="15.75">
      <c r="A19" s="13" t="s">
        <v>44</v>
      </c>
      <c r="B19" s="70" t="s">
        <v>43</v>
      </c>
      <c r="C19" s="16">
        <v>13000</v>
      </c>
      <c r="D19" s="4">
        <f t="shared" si="0"/>
        <v>1170</v>
      </c>
      <c r="E19" s="4">
        <f t="shared" si="1"/>
        <v>1170</v>
      </c>
      <c r="F19" s="4">
        <v>0</v>
      </c>
      <c r="G19" s="42">
        <v>0</v>
      </c>
      <c r="H19" s="42">
        <v>0</v>
      </c>
    </row>
    <row r="20" spans="1:8" ht="15.75">
      <c r="A20" s="13">
        <v>3271</v>
      </c>
      <c r="B20" s="70" t="s">
        <v>533</v>
      </c>
      <c r="C20" s="16"/>
      <c r="D20" s="4">
        <f t="shared" si="0"/>
        <v>0</v>
      </c>
      <c r="E20" s="4">
        <f t="shared" si="1"/>
        <v>0</v>
      </c>
      <c r="F20" s="4"/>
      <c r="G20" s="42"/>
      <c r="H20" s="42"/>
    </row>
    <row r="21" spans="1:8" ht="15.75">
      <c r="A21" s="13">
        <v>3274</v>
      </c>
      <c r="B21" s="70" t="s">
        <v>554</v>
      </c>
      <c r="C21" s="16"/>
      <c r="D21" s="4"/>
      <c r="E21" s="4"/>
      <c r="F21" s="4"/>
      <c r="G21" s="42"/>
      <c r="H21" s="42"/>
    </row>
    <row r="22" spans="1:8" ht="15.75">
      <c r="A22" s="17" t="s">
        <v>42</v>
      </c>
      <c r="B22" s="70" t="s">
        <v>41</v>
      </c>
      <c r="C22" s="16"/>
      <c r="D22" s="4">
        <f t="shared" ref="D22:D38" si="2">+C22*9%</f>
        <v>0</v>
      </c>
      <c r="E22" s="4">
        <f>+D22</f>
        <v>0</v>
      </c>
      <c r="F22" s="4">
        <f>IF(D22&gt;0," ",C22*18%)</f>
        <v>0</v>
      </c>
      <c r="G22" s="266">
        <v>0</v>
      </c>
      <c r="H22" s="266">
        <v>0</v>
      </c>
    </row>
    <row r="23" spans="1:8" ht="15.75">
      <c r="A23" s="14" t="s">
        <v>40</v>
      </c>
      <c r="B23" s="70" t="s">
        <v>39</v>
      </c>
      <c r="C23" s="16"/>
      <c r="D23" s="4">
        <f t="shared" si="2"/>
        <v>0</v>
      </c>
      <c r="E23" s="4">
        <f t="shared" si="1"/>
        <v>0</v>
      </c>
      <c r="F23" s="4">
        <f>IF(D23&gt;0," ",C23*18%)</f>
        <v>0</v>
      </c>
      <c r="G23" s="42"/>
      <c r="H23" s="42"/>
    </row>
    <row r="24" spans="1:8" ht="15.75">
      <c r="A24" s="14" t="s">
        <v>38</v>
      </c>
      <c r="B24" s="70" t="s">
        <v>37</v>
      </c>
      <c r="C24" s="16"/>
      <c r="D24" s="4">
        <f t="shared" si="2"/>
        <v>0</v>
      </c>
      <c r="E24" s="4">
        <f t="shared" si="1"/>
        <v>0</v>
      </c>
      <c r="F24" s="4">
        <v>0</v>
      </c>
      <c r="G24" s="42"/>
      <c r="H24" s="42"/>
    </row>
    <row r="25" spans="1:8" ht="15.75">
      <c r="A25" s="16" t="s">
        <v>36</v>
      </c>
      <c r="B25" s="70" t="s">
        <v>35</v>
      </c>
      <c r="C25" s="16"/>
      <c r="D25" s="4">
        <f t="shared" si="2"/>
        <v>0</v>
      </c>
      <c r="E25" s="4">
        <f t="shared" si="1"/>
        <v>0</v>
      </c>
      <c r="F25" s="4"/>
      <c r="G25" s="42"/>
      <c r="H25" s="42"/>
    </row>
    <row r="26" spans="1:8" ht="15.75">
      <c r="A26" s="16" t="s">
        <v>34</v>
      </c>
      <c r="B26" s="70" t="s">
        <v>33</v>
      </c>
      <c r="C26" s="16"/>
      <c r="D26" s="4">
        <f t="shared" si="2"/>
        <v>0</v>
      </c>
      <c r="E26" s="4">
        <f t="shared" si="1"/>
        <v>0</v>
      </c>
      <c r="F26" s="4">
        <f t="shared" ref="F26:F32" si="3">IF(D26&gt;0," ",C26*18%)</f>
        <v>0</v>
      </c>
      <c r="G26" s="42"/>
      <c r="H26" s="42"/>
    </row>
    <row r="27" spans="1:8" ht="15.75">
      <c r="A27" s="16" t="s">
        <v>32</v>
      </c>
      <c r="B27" s="70" t="s">
        <v>31</v>
      </c>
      <c r="C27" s="16"/>
      <c r="D27" s="4">
        <f t="shared" si="2"/>
        <v>0</v>
      </c>
      <c r="E27" s="4">
        <f t="shared" si="1"/>
        <v>0</v>
      </c>
      <c r="F27" s="4">
        <f t="shared" si="3"/>
        <v>0</v>
      </c>
      <c r="G27" s="42"/>
      <c r="H27" s="42"/>
    </row>
    <row r="28" spans="1:8" ht="15.75">
      <c r="A28" s="137">
        <v>3291</v>
      </c>
      <c r="B28" s="70" t="s">
        <v>325</v>
      </c>
      <c r="C28" s="16"/>
      <c r="D28" s="4">
        <f t="shared" si="2"/>
        <v>0</v>
      </c>
      <c r="E28" s="4">
        <f>+D28</f>
        <v>0</v>
      </c>
      <c r="F28" s="4">
        <f t="shared" si="3"/>
        <v>0</v>
      </c>
      <c r="G28" s="42"/>
      <c r="H28" s="42"/>
    </row>
    <row r="29" spans="1:8" ht="15.75">
      <c r="A29" s="137" t="s">
        <v>526</v>
      </c>
      <c r="B29" s="33" t="s">
        <v>523</v>
      </c>
      <c r="C29" s="16">
        <v>207.5</v>
      </c>
      <c r="D29" s="4">
        <f t="shared" si="2"/>
        <v>18.675000000000001</v>
      </c>
      <c r="E29" s="4">
        <f>+D29</f>
        <v>18.675000000000001</v>
      </c>
      <c r="F29" s="4" t="str">
        <f t="shared" si="3"/>
        <v xml:space="preserve"> </v>
      </c>
      <c r="G29" s="42"/>
      <c r="H29" s="42"/>
    </row>
    <row r="30" spans="1:8" ht="15.75">
      <c r="A30" s="137" t="s">
        <v>527</v>
      </c>
      <c r="B30" s="33" t="s">
        <v>524</v>
      </c>
      <c r="C30" s="16"/>
      <c r="D30" s="4">
        <f t="shared" si="2"/>
        <v>0</v>
      </c>
      <c r="E30" s="4">
        <f>+D30</f>
        <v>0</v>
      </c>
      <c r="F30" s="4">
        <v>0</v>
      </c>
      <c r="G30" s="42"/>
      <c r="H30" s="42">
        <v>0</v>
      </c>
    </row>
    <row r="31" spans="1:8" ht="15.75">
      <c r="A31" s="137" t="s">
        <v>528</v>
      </c>
      <c r="B31" s="33" t="s">
        <v>529</v>
      </c>
      <c r="C31" s="16"/>
      <c r="D31" s="4">
        <f t="shared" si="2"/>
        <v>0</v>
      </c>
      <c r="E31" s="4">
        <f>+D31</f>
        <v>0</v>
      </c>
      <c r="F31" s="4">
        <f t="shared" si="3"/>
        <v>0</v>
      </c>
      <c r="G31" s="42"/>
      <c r="H31" s="42"/>
    </row>
    <row r="32" spans="1:8" ht="15.75">
      <c r="A32" s="137" t="s">
        <v>531</v>
      </c>
      <c r="B32" s="33" t="s">
        <v>532</v>
      </c>
      <c r="C32" s="16"/>
      <c r="D32" s="4">
        <f t="shared" si="2"/>
        <v>0</v>
      </c>
      <c r="E32" s="4">
        <f>+D32</f>
        <v>0</v>
      </c>
      <c r="F32" s="4">
        <f t="shared" si="3"/>
        <v>0</v>
      </c>
      <c r="G32" s="42"/>
      <c r="H32" s="42"/>
    </row>
    <row r="33" spans="1:8" ht="15.75">
      <c r="A33" s="13" t="s">
        <v>30</v>
      </c>
      <c r="B33" s="70" t="s">
        <v>29</v>
      </c>
      <c r="C33" s="16">
        <v>24176.3</v>
      </c>
      <c r="D33" s="4">
        <f t="shared" si="2"/>
        <v>2175.8669999999997</v>
      </c>
      <c r="E33" s="4">
        <f t="shared" si="1"/>
        <v>2175.8669999999997</v>
      </c>
      <c r="F33" s="4">
        <v>0</v>
      </c>
      <c r="G33" s="42">
        <v>0</v>
      </c>
      <c r="H33" s="42"/>
    </row>
    <row r="34" spans="1:8" ht="15.75">
      <c r="A34" s="13">
        <v>3301</v>
      </c>
      <c r="B34" s="70" t="s">
        <v>154</v>
      </c>
      <c r="C34" s="16"/>
      <c r="D34" s="4">
        <f t="shared" si="2"/>
        <v>0</v>
      </c>
      <c r="E34" s="4">
        <f>+D34</f>
        <v>0</v>
      </c>
      <c r="F34" s="4">
        <f>IF(D34&gt;0," ",C34*18%)</f>
        <v>0</v>
      </c>
      <c r="G34" s="42"/>
      <c r="H34" s="42"/>
    </row>
    <row r="35" spans="1:8" ht="15.75">
      <c r="A35" s="160">
        <v>3302</v>
      </c>
      <c r="B35" s="70" t="s">
        <v>525</v>
      </c>
      <c r="C35" s="16"/>
      <c r="D35" s="4">
        <f t="shared" si="2"/>
        <v>0</v>
      </c>
      <c r="E35" s="4">
        <f>+D35</f>
        <v>0</v>
      </c>
      <c r="F35" s="4">
        <f>IF(D35&gt;0," ",C35*18%)</f>
        <v>0</v>
      </c>
      <c r="G35" s="42"/>
      <c r="H35" s="42"/>
    </row>
    <row r="36" spans="1:8" ht="15.75">
      <c r="A36" s="14" t="s">
        <v>28</v>
      </c>
      <c r="B36" s="70" t="s">
        <v>27</v>
      </c>
      <c r="C36" s="16"/>
      <c r="D36" s="4">
        <f t="shared" si="2"/>
        <v>0</v>
      </c>
      <c r="E36" s="4">
        <f t="shared" si="1"/>
        <v>0</v>
      </c>
      <c r="F36" s="4">
        <f>IF(D36&gt;0," ",C36*18%)</f>
        <v>0</v>
      </c>
      <c r="G36" s="42"/>
      <c r="H36" s="42"/>
    </row>
    <row r="37" spans="1:8" ht="15.75">
      <c r="A37" s="16" t="s">
        <v>114</v>
      </c>
      <c r="B37" s="70" t="s">
        <v>115</v>
      </c>
      <c r="C37" s="16"/>
      <c r="D37" s="4">
        <f t="shared" si="2"/>
        <v>0</v>
      </c>
      <c r="E37" s="4">
        <f>+D37</f>
        <v>0</v>
      </c>
      <c r="F37" s="4">
        <f>IF(D37&gt;0," ",C37*18%)</f>
        <v>0</v>
      </c>
      <c r="G37" s="42"/>
      <c r="H37" s="42"/>
    </row>
    <row r="38" spans="1:8" ht="15.75">
      <c r="A38" s="14" t="s">
        <v>26</v>
      </c>
      <c r="B38" s="70" t="s">
        <v>25</v>
      </c>
      <c r="C38" s="16">
        <v>102.5</v>
      </c>
      <c r="D38" s="4">
        <f t="shared" si="2"/>
        <v>9.2249999999999996</v>
      </c>
      <c r="E38" s="4">
        <f>+D38</f>
        <v>9.2249999999999996</v>
      </c>
      <c r="F38" s="4">
        <v>0</v>
      </c>
      <c r="G38" s="169"/>
      <c r="H38" s="611"/>
    </row>
    <row r="39" spans="1:8" ht="15.75">
      <c r="A39" s="13" t="s">
        <v>24</v>
      </c>
      <c r="B39" s="70" t="s">
        <v>23</v>
      </c>
      <c r="C39" s="16">
        <v>2250</v>
      </c>
      <c r="D39" s="4">
        <f t="shared" ref="D39:D45" si="4">+C39*9%</f>
        <v>202.5</v>
      </c>
      <c r="E39" s="4">
        <f t="shared" si="1"/>
        <v>202.5</v>
      </c>
      <c r="F39" s="4">
        <v>0</v>
      </c>
      <c r="G39" s="42"/>
      <c r="H39" s="42">
        <v>0</v>
      </c>
    </row>
    <row r="40" spans="1:8" ht="15.75">
      <c r="A40" s="13" t="s">
        <v>22</v>
      </c>
      <c r="B40" s="70" t="s">
        <v>21</v>
      </c>
      <c r="C40" s="16">
        <v>750</v>
      </c>
      <c r="D40" s="4">
        <f t="shared" si="4"/>
        <v>67.5</v>
      </c>
      <c r="E40" s="4">
        <f t="shared" si="1"/>
        <v>67.5</v>
      </c>
      <c r="F40" s="4">
        <v>0</v>
      </c>
      <c r="G40" s="42"/>
      <c r="H40" s="42"/>
    </row>
    <row r="41" spans="1:8" ht="15.75">
      <c r="A41" s="13" t="s">
        <v>20</v>
      </c>
      <c r="B41" s="70" t="s">
        <v>19</v>
      </c>
      <c r="C41" s="16">
        <v>2400</v>
      </c>
      <c r="D41" s="4">
        <f t="shared" si="4"/>
        <v>216</v>
      </c>
      <c r="E41" s="4">
        <f t="shared" si="1"/>
        <v>216</v>
      </c>
      <c r="F41" s="4">
        <v>0</v>
      </c>
      <c r="G41" s="42"/>
      <c r="H41" s="42"/>
    </row>
    <row r="42" spans="1:8" ht="15.75">
      <c r="A42" s="14" t="s">
        <v>18</v>
      </c>
      <c r="B42" s="70" t="s">
        <v>17</v>
      </c>
      <c r="C42" s="16">
        <v>1530</v>
      </c>
      <c r="D42" s="4">
        <f t="shared" si="4"/>
        <v>137.69999999999999</v>
      </c>
      <c r="E42" s="4">
        <f t="shared" si="1"/>
        <v>137.69999999999999</v>
      </c>
      <c r="F42" s="4">
        <v>0</v>
      </c>
      <c r="G42" s="42"/>
      <c r="H42" s="42"/>
    </row>
    <row r="43" spans="1:8" ht="15.75">
      <c r="A43" s="14" t="s">
        <v>16</v>
      </c>
      <c r="B43" s="70" t="s">
        <v>15</v>
      </c>
      <c r="C43" s="16"/>
      <c r="D43" s="4">
        <f t="shared" si="4"/>
        <v>0</v>
      </c>
      <c r="E43" s="4">
        <f t="shared" si="1"/>
        <v>0</v>
      </c>
      <c r="F43" s="4">
        <v>0</v>
      </c>
      <c r="G43" s="42"/>
      <c r="H43" s="42">
        <v>0</v>
      </c>
    </row>
    <row r="44" spans="1:8" ht="15.75">
      <c r="A44" s="14" t="s">
        <v>14</v>
      </c>
      <c r="B44" s="70" t="s">
        <v>13</v>
      </c>
      <c r="C44" s="16">
        <v>253</v>
      </c>
      <c r="D44" s="4">
        <f t="shared" si="4"/>
        <v>22.77</v>
      </c>
      <c r="E44" s="4">
        <f t="shared" si="1"/>
        <v>22.77</v>
      </c>
      <c r="F44" s="4">
        <v>0</v>
      </c>
      <c r="G44" s="42"/>
      <c r="H44" s="42"/>
    </row>
    <row r="45" spans="1:8" ht="15.75">
      <c r="A45" s="14" t="s">
        <v>396</v>
      </c>
      <c r="B45" s="70" t="s">
        <v>286</v>
      </c>
      <c r="C45" s="16"/>
      <c r="D45" s="4">
        <f t="shared" si="4"/>
        <v>0</v>
      </c>
      <c r="E45" s="4">
        <f t="shared" si="1"/>
        <v>0</v>
      </c>
      <c r="F45" s="4">
        <v>0</v>
      </c>
      <c r="G45" s="42"/>
      <c r="H45" s="42"/>
    </row>
    <row r="46" spans="1:8" ht="15.75">
      <c r="A46" s="14" t="s">
        <v>12</v>
      </c>
      <c r="B46" s="70" t="s">
        <v>11</v>
      </c>
      <c r="C46" s="16"/>
      <c r="D46" s="4">
        <f>+C46*9%</f>
        <v>0</v>
      </c>
      <c r="E46" s="4">
        <f t="shared" si="1"/>
        <v>0</v>
      </c>
      <c r="F46" s="4">
        <f>IF(D46&gt;0," ",C46*18%)</f>
        <v>0</v>
      </c>
      <c r="G46" s="42"/>
      <c r="H46" s="42"/>
    </row>
    <row r="47" spans="1:8" ht="15.75">
      <c r="A47" s="14" t="s">
        <v>397</v>
      </c>
      <c r="B47" s="70" t="s">
        <v>290</v>
      </c>
      <c r="C47" s="16"/>
      <c r="D47" s="4">
        <f>+C47*9%</f>
        <v>0</v>
      </c>
      <c r="E47" s="4">
        <f t="shared" si="1"/>
        <v>0</v>
      </c>
      <c r="F47" s="4">
        <f>IF(D47&gt;0," ",C47*18%)</f>
        <v>0</v>
      </c>
      <c r="G47" s="42"/>
      <c r="H47" s="42"/>
    </row>
    <row r="48" spans="1:8" ht="15.75">
      <c r="A48" s="14" t="s">
        <v>398</v>
      </c>
      <c r="B48" s="70" t="s">
        <v>156</v>
      </c>
      <c r="C48" s="16"/>
      <c r="D48" s="4">
        <f>+C48*9%</f>
        <v>0</v>
      </c>
      <c r="E48" s="4">
        <f t="shared" si="1"/>
        <v>0</v>
      </c>
      <c r="F48" s="4">
        <f>IF(D48&gt;0," ",C48*18%)</f>
        <v>0</v>
      </c>
      <c r="G48" s="42"/>
      <c r="H48" s="42"/>
    </row>
    <row r="49" spans="1:8" ht="15.75">
      <c r="A49" s="14" t="s">
        <v>399</v>
      </c>
      <c r="B49" s="70" t="s">
        <v>335</v>
      </c>
      <c r="C49" s="16"/>
      <c r="D49" s="4">
        <f>+C49*9%</f>
        <v>0</v>
      </c>
      <c r="E49" s="4">
        <f t="shared" ref="E49:E54" si="5">+D49</f>
        <v>0</v>
      </c>
      <c r="F49" s="4"/>
      <c r="G49" s="42"/>
      <c r="H49" s="42"/>
    </row>
    <row r="50" spans="1:8" ht="15.75">
      <c r="A50" s="14">
        <v>3324</v>
      </c>
      <c r="B50" s="70" t="s">
        <v>438</v>
      </c>
      <c r="C50" s="16"/>
      <c r="D50" s="4">
        <f>+C50*9%</f>
        <v>0</v>
      </c>
      <c r="E50" s="4">
        <f t="shared" si="5"/>
        <v>0</v>
      </c>
      <c r="F50" s="4">
        <f>IF(D50&gt;0," ",C50*18%)</f>
        <v>0</v>
      </c>
      <c r="G50" s="42"/>
      <c r="H50" s="42"/>
    </row>
    <row r="51" spans="1:8" ht="15.75">
      <c r="A51" s="161">
        <v>3325</v>
      </c>
      <c r="B51" s="70" t="s">
        <v>606</v>
      </c>
      <c r="C51" s="16"/>
      <c r="D51" s="4">
        <f>+C51*2.5%</f>
        <v>0</v>
      </c>
      <c r="E51" s="4">
        <f t="shared" si="5"/>
        <v>0</v>
      </c>
      <c r="F51" s="4">
        <f>IF(D51&gt;0," ",C51*18%)</f>
        <v>0</v>
      </c>
      <c r="G51" s="42"/>
      <c r="H51" s="42"/>
    </row>
    <row r="52" spans="1:8" ht="15.75">
      <c r="A52" s="14" t="s">
        <v>400</v>
      </c>
      <c r="B52" s="70" t="s">
        <v>300</v>
      </c>
      <c r="C52" s="16">
        <v>5426.5</v>
      </c>
      <c r="D52" s="4">
        <f>+C52*9%</f>
        <v>488.38499999999999</v>
      </c>
      <c r="E52" s="4">
        <f t="shared" si="5"/>
        <v>488.38499999999999</v>
      </c>
      <c r="F52" s="4" t="str">
        <f>IF(D52&gt;0," ",C52*18%)</f>
        <v xml:space="preserve"> </v>
      </c>
      <c r="G52" s="42"/>
      <c r="H52" s="42"/>
    </row>
    <row r="53" spans="1:8" ht="15.75">
      <c r="A53" s="14">
        <v>3359</v>
      </c>
      <c r="B53" s="70" t="s">
        <v>683</v>
      </c>
      <c r="C53" s="16"/>
      <c r="D53" s="4">
        <f>+C53*9%</f>
        <v>0</v>
      </c>
      <c r="E53" s="4">
        <f t="shared" si="5"/>
        <v>0</v>
      </c>
      <c r="F53" s="4"/>
      <c r="G53" s="42"/>
      <c r="H53" s="42"/>
    </row>
    <row r="54" spans="1:8" ht="15.75">
      <c r="A54" s="14">
        <v>3380</v>
      </c>
      <c r="B54" s="70" t="s">
        <v>530</v>
      </c>
      <c r="C54" s="16">
        <v>510</v>
      </c>
      <c r="D54" s="4">
        <f>+C54*9%</f>
        <v>45.9</v>
      </c>
      <c r="E54" s="4">
        <f t="shared" si="5"/>
        <v>45.9</v>
      </c>
      <c r="F54" s="4" t="str">
        <f>IF(D54&gt;0," ",C54*18%)</f>
        <v xml:space="preserve"> </v>
      </c>
      <c r="G54" s="42"/>
      <c r="H54" s="42"/>
    </row>
    <row r="55" spans="1:8" ht="15.75">
      <c r="A55" s="14">
        <v>3825</v>
      </c>
      <c r="B55" s="70" t="s">
        <v>646</v>
      </c>
      <c r="C55" s="16">
        <v>0</v>
      </c>
      <c r="D55" s="4"/>
      <c r="E55" s="4"/>
      <c r="F55" s="4"/>
      <c r="G55" s="42"/>
      <c r="H55" s="42"/>
    </row>
    <row r="56" spans="1:8" ht="15.75">
      <c r="A56" s="14">
        <v>3362</v>
      </c>
      <c r="B56" s="70" t="s">
        <v>739</v>
      </c>
      <c r="C56" s="16">
        <v>0</v>
      </c>
      <c r="D56" s="4"/>
      <c r="E56" s="4"/>
      <c r="F56" s="4"/>
      <c r="G56" s="42"/>
      <c r="H56" s="42"/>
    </row>
    <row r="57" spans="1:8" ht="15.75">
      <c r="A57" s="14">
        <v>3340</v>
      </c>
      <c r="B57" s="70" t="s">
        <v>785</v>
      </c>
      <c r="C57" s="4">
        <v>0</v>
      </c>
      <c r="D57" s="4">
        <f>+C57*9%</f>
        <v>0</v>
      </c>
      <c r="E57" s="4">
        <f>+D57</f>
        <v>0</v>
      </c>
      <c r="F57" s="4"/>
      <c r="G57" s="42"/>
      <c r="H57" s="42"/>
    </row>
    <row r="58" spans="1:8" ht="15.75">
      <c r="A58" s="15" t="s">
        <v>10</v>
      </c>
      <c r="B58" s="70"/>
      <c r="C58" s="16">
        <v>0</v>
      </c>
      <c r="D58" s="4"/>
      <c r="E58" s="4"/>
      <c r="F58" s="4"/>
      <c r="G58" s="42"/>
      <c r="H58" s="42"/>
    </row>
    <row r="59" spans="1:8" ht="15.75">
      <c r="A59" s="14" t="s">
        <v>9</v>
      </c>
      <c r="B59" s="70" t="s">
        <v>8</v>
      </c>
      <c r="C59" s="16">
        <v>0</v>
      </c>
      <c r="D59" s="4">
        <f>+C59*9%</f>
        <v>0</v>
      </c>
      <c r="E59" s="4">
        <f t="shared" si="1"/>
        <v>0</v>
      </c>
      <c r="F59" s="4">
        <v>0</v>
      </c>
      <c r="G59" s="42"/>
      <c r="H59" s="42">
        <v>0</v>
      </c>
    </row>
    <row r="60" spans="1:8" ht="15.75">
      <c r="A60" s="13" t="s">
        <v>7</v>
      </c>
      <c r="B60" s="70" t="s">
        <v>6</v>
      </c>
      <c r="C60" s="16">
        <v>0</v>
      </c>
      <c r="D60" s="4">
        <f>+C60*9%</f>
        <v>0</v>
      </c>
      <c r="E60" s="4">
        <f t="shared" si="1"/>
        <v>0</v>
      </c>
      <c r="F60" s="4">
        <f>IF(D60&gt;0," ",C60*18%)</f>
        <v>0</v>
      </c>
      <c r="G60" s="42">
        <v>0</v>
      </c>
      <c r="H60" s="42">
        <v>0</v>
      </c>
    </row>
    <row r="61" spans="1:8" ht="15.75">
      <c r="A61" s="5" t="s">
        <v>5</v>
      </c>
      <c r="B61" s="70" t="s">
        <v>4</v>
      </c>
      <c r="C61" s="16">
        <v>0</v>
      </c>
      <c r="D61" s="4"/>
      <c r="E61" s="4"/>
      <c r="F61" s="4"/>
      <c r="G61" s="42"/>
      <c r="H61" s="42"/>
    </row>
    <row r="62" spans="1:8" ht="15.75">
      <c r="A62" s="434"/>
      <c r="B62" s="432" t="s">
        <v>465</v>
      </c>
      <c r="C62" s="16">
        <v>0</v>
      </c>
      <c r="D62" s="4">
        <f>+C62*9%</f>
        <v>0</v>
      </c>
      <c r="E62" s="433">
        <f>+D62</f>
        <v>0</v>
      </c>
      <c r="F62" s="433"/>
      <c r="G62" s="42"/>
      <c r="H62" s="42"/>
    </row>
    <row r="63" spans="1:8" ht="16.5" thickBot="1">
      <c r="A63" s="12"/>
      <c r="B63" s="11" t="s">
        <v>3</v>
      </c>
      <c r="C63" s="10">
        <f t="shared" ref="C63:H63" si="6">SUM(C9:C62)</f>
        <v>51105.8</v>
      </c>
      <c r="D63" s="10">
        <f>SUM(D9:D62)</f>
        <v>4599.521999999999</v>
      </c>
      <c r="E63" s="10">
        <f>SUM(E9:E62)</f>
        <v>4599.521999999999</v>
      </c>
      <c r="F63" s="10">
        <f t="shared" si="6"/>
        <v>0</v>
      </c>
      <c r="G63" s="42">
        <f>SUM(G9:G62)</f>
        <v>0</v>
      </c>
      <c r="H63" s="42">
        <f t="shared" si="6"/>
        <v>0</v>
      </c>
    </row>
    <row r="64" spans="1:8" ht="16.5" thickTop="1">
      <c r="A64" s="9" t="s">
        <v>2</v>
      </c>
      <c r="B64" s="8"/>
      <c r="C64" s="7"/>
      <c r="D64" s="7"/>
      <c r="E64" s="7"/>
      <c r="F64" s="6"/>
      <c r="G64" s="1" t="s">
        <v>317</v>
      </c>
    </row>
    <row r="65" spans="1:7" ht="15.75">
      <c r="A65" s="5" t="s">
        <v>1</v>
      </c>
      <c r="B65" s="43" t="s">
        <v>0</v>
      </c>
      <c r="C65" s="25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7" ht="15.75">
      <c r="A66" s="5" t="s">
        <v>359</v>
      </c>
      <c r="B66" s="43" t="s">
        <v>360</v>
      </c>
      <c r="C66" s="25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4599.5219999999999</v>
      </c>
    </row>
    <row r="67" spans="1:7" ht="15.75">
      <c r="A67" s="1228" t="s">
        <v>75</v>
      </c>
      <c r="B67" s="1228"/>
      <c r="C67" s="1228"/>
      <c r="D67" s="1228"/>
      <c r="E67" s="1228"/>
      <c r="F67" s="1228"/>
    </row>
    <row r="68" spans="1:7" ht="15" customHeight="1">
      <c r="A68" s="29" t="s">
        <v>76</v>
      </c>
      <c r="B68" s="29"/>
      <c r="C68" s="3"/>
      <c r="D68" s="3"/>
      <c r="E68" s="3"/>
      <c r="F68" s="3"/>
    </row>
    <row r="69" spans="1:7" ht="15" customHeight="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7">
      <c r="A70" s="1247"/>
      <c r="B70" s="1248"/>
      <c r="C70" s="1249"/>
      <c r="D70" s="1236"/>
      <c r="E70" s="1236"/>
      <c r="F70" s="1232"/>
    </row>
    <row r="71" spans="1:7" ht="15.75">
      <c r="A71" s="59" t="s">
        <v>80</v>
      </c>
      <c r="B71" s="60"/>
      <c r="C71" s="63"/>
      <c r="D71" s="105">
        <f>+D63</f>
        <v>4599.521999999999</v>
      </c>
      <c r="E71" s="105">
        <f>+E63</f>
        <v>4599.521999999999</v>
      </c>
      <c r="F71" s="105">
        <f>+F63</f>
        <v>0</v>
      </c>
    </row>
    <row r="72" spans="1:7" ht="15.75">
      <c r="A72" s="43" t="s">
        <v>103</v>
      </c>
      <c r="B72" s="43"/>
      <c r="C72" s="70">
        <f>+G63</f>
        <v>0</v>
      </c>
      <c r="D72" s="106">
        <f>+C72*0.09</f>
        <v>0</v>
      </c>
      <c r="E72" s="106">
        <f>+C72*0.09</f>
        <v>0</v>
      </c>
      <c r="F72" s="106">
        <v>0</v>
      </c>
      <c r="G72" s="1" t="s">
        <v>5</v>
      </c>
    </row>
    <row r="73" spans="1:7" ht="15.75">
      <c r="A73" s="43"/>
      <c r="B73" s="43"/>
      <c r="C73" s="70"/>
      <c r="D73" s="105">
        <f>+D71+D72</f>
        <v>4599.521999999999</v>
      </c>
      <c r="E73" s="105">
        <f>+E71+E72</f>
        <v>4599.521999999999</v>
      </c>
      <c r="F73" s="105">
        <v>0</v>
      </c>
    </row>
    <row r="74" spans="1:7" ht="15.75">
      <c r="A74" s="59" t="s">
        <v>104</v>
      </c>
      <c r="B74" s="60"/>
      <c r="C74" s="63"/>
      <c r="D74" s="108">
        <v>4599.8900000000003</v>
      </c>
      <c r="E74" s="108">
        <f>+D74</f>
        <v>4599.8900000000003</v>
      </c>
      <c r="F74" s="108">
        <v>0</v>
      </c>
    </row>
    <row r="75" spans="1:7" ht="15.75">
      <c r="A75" s="1250" t="s">
        <v>79</v>
      </c>
      <c r="B75" s="1251"/>
      <c r="C75" s="1252"/>
      <c r="D75" s="108">
        <f>+D73-D74</f>
        <v>-0.3680000000013024</v>
      </c>
      <c r="E75" s="108">
        <f>+E73-E74</f>
        <v>-0.3680000000013024</v>
      </c>
      <c r="F75" s="108">
        <f>IF(F71&gt;F74,F71,F74)</f>
        <v>0</v>
      </c>
      <c r="G75" s="1">
        <f>+D75/9%</f>
        <v>-4.0888888889033606</v>
      </c>
    </row>
    <row r="76" spans="1:7" ht="15.75">
      <c r="A76" s="3"/>
      <c r="B76" s="2"/>
      <c r="C76" s="3"/>
      <c r="D76" s="3"/>
      <c r="E76" s="3"/>
      <c r="F76" s="3"/>
    </row>
    <row r="77" spans="1:7" ht="15" customHeight="1">
      <c r="A77" s="27" t="s">
        <v>77</v>
      </c>
      <c r="B77" s="2"/>
      <c r="C77" s="3"/>
      <c r="D77" s="3"/>
      <c r="E77" s="3"/>
      <c r="F77" s="3"/>
    </row>
    <row r="78" spans="1:7" ht="15" customHeight="1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7">
      <c r="A79" s="1221"/>
      <c r="B79" s="1222"/>
      <c r="C79" s="1223"/>
      <c r="D79" s="1254" t="s">
        <v>67</v>
      </c>
      <c r="E79" s="1235"/>
      <c r="F79" s="1235"/>
    </row>
    <row r="80" spans="1:7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3174.75</v>
      </c>
      <c r="E81" s="108">
        <f>+D81</f>
        <v>3174.75</v>
      </c>
      <c r="F81" s="58">
        <v>0</v>
      </c>
      <c r="G81" s="147">
        <f t="shared" ref="G81:I83" si="7">+D81/2</f>
        <v>1587.375</v>
      </c>
      <c r="H81" s="147">
        <f t="shared" si="7"/>
        <v>1587.375</v>
      </c>
      <c r="I81" s="147">
        <f t="shared" si="7"/>
        <v>0</v>
      </c>
    </row>
    <row r="82" spans="1:9" ht="15.75">
      <c r="A82" s="1224" t="s">
        <v>83</v>
      </c>
      <c r="B82" s="1224"/>
      <c r="C82" s="1224"/>
      <c r="D82" s="105">
        <f>+C91</f>
        <v>0</v>
      </c>
      <c r="E82" s="105">
        <f>+D82</f>
        <v>0</v>
      </c>
      <c r="F82" s="56">
        <v>0</v>
      </c>
      <c r="G82" s="147">
        <f t="shared" si="7"/>
        <v>0</v>
      </c>
      <c r="H82" s="147">
        <f t="shared" si="7"/>
        <v>0</v>
      </c>
      <c r="I82" s="147">
        <f t="shared" si="7"/>
        <v>0</v>
      </c>
    </row>
    <row r="83" spans="1:9" ht="15.75">
      <c r="A83" s="1215" t="s">
        <v>82</v>
      </c>
      <c r="B83" s="1215"/>
      <c r="C83" s="1215"/>
      <c r="D83" s="105">
        <f>+D81-D82</f>
        <v>3174.75</v>
      </c>
      <c r="E83" s="105">
        <f>+E81-E82</f>
        <v>3174.75</v>
      </c>
      <c r="F83" s="56">
        <f>+F81-F82</f>
        <v>0</v>
      </c>
      <c r="G83" s="147">
        <f t="shared" si="7"/>
        <v>1587.375</v>
      </c>
      <c r="H83" s="147">
        <f t="shared" si="7"/>
        <v>1587.375</v>
      </c>
      <c r="I83" s="147">
        <f t="shared" si="7"/>
        <v>0</v>
      </c>
    </row>
    <row r="84" spans="1:9">
      <c r="B84" s="73"/>
    </row>
    <row r="85" spans="1:9">
      <c r="A85" s="40"/>
      <c r="B85" s="40"/>
      <c r="D85" s="1" t="s">
        <v>5</v>
      </c>
    </row>
    <row r="87" spans="1:9">
      <c r="B87" s="145" t="s">
        <v>101</v>
      </c>
      <c r="C87" s="112"/>
      <c r="E87" s="112"/>
    </row>
    <row r="88" spans="1:9">
      <c r="B88" s="145" t="s">
        <v>322</v>
      </c>
      <c r="C88" s="145" t="s">
        <v>67</v>
      </c>
      <c r="D88" s="169" t="s">
        <v>155</v>
      </c>
      <c r="E88" s="112"/>
    </row>
    <row r="89" spans="1:9">
      <c r="B89" s="146" t="s">
        <v>440</v>
      </c>
      <c r="C89" s="146">
        <v>0</v>
      </c>
      <c r="D89" s="146">
        <f>+C89</f>
        <v>0</v>
      </c>
      <c r="E89" s="112"/>
    </row>
    <row r="90" spans="1:9">
      <c r="B90" s="146" t="s">
        <v>440</v>
      </c>
      <c r="C90" s="146">
        <v>0</v>
      </c>
      <c r="D90" s="146">
        <f>+C90</f>
        <v>0</v>
      </c>
      <c r="E90" s="146"/>
    </row>
    <row r="91" spans="1:9" ht="15.75" thickBot="1">
      <c r="B91" s="146"/>
      <c r="C91" s="181">
        <f>+SUM(C89:C90)</f>
        <v>0</v>
      </c>
      <c r="D91" s="181">
        <f>+SUM(D89:D90)</f>
        <v>0</v>
      </c>
      <c r="E91" s="182"/>
    </row>
    <row r="92" spans="1:9" ht="15.75" thickTop="1">
      <c r="C92" s="69"/>
      <c r="D92" s="69"/>
    </row>
    <row r="93" spans="1:9">
      <c r="A93" s="143"/>
      <c r="B93" s="143"/>
      <c r="C93" s="143"/>
      <c r="D93" s="143"/>
      <c r="E93" s="143"/>
    </row>
    <row r="95" spans="1:9">
      <c r="D95" s="1" t="s">
        <v>112</v>
      </c>
    </row>
  </sheetData>
  <mergeCells count="25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A82:C82"/>
    <mergeCell ref="A83:C83"/>
    <mergeCell ref="D78:D79"/>
    <mergeCell ref="E78:E79"/>
    <mergeCell ref="F78:F79"/>
    <mergeCell ref="A80:C80"/>
    <mergeCell ref="A81:C81"/>
    <mergeCell ref="A78:C79"/>
    <mergeCell ref="F69:F70"/>
    <mergeCell ref="A69:C70"/>
    <mergeCell ref="A75:C75"/>
    <mergeCell ref="A67:F67"/>
    <mergeCell ref="D69:D70"/>
    <mergeCell ref="E69:E70"/>
  </mergeCells>
  <conditionalFormatting sqref="A28:A30">
    <cfRule type="containsText" dxfId="527" priority="71" operator="containsText" text="EXCESS COLLECTED">
      <formula>NOT(ISERROR(SEARCH("EXCESS COLLECTED",A28)))</formula>
    </cfRule>
    <cfRule type="containsText" dxfId="526" priority="72" operator="containsText" text="LESS COLLECTED">
      <formula>NOT(ISERROR(SEARCH("LESS COLLECTED",A28)))</formula>
    </cfRule>
  </conditionalFormatting>
  <conditionalFormatting sqref="A22:B22 D22:H22">
    <cfRule type="containsText" dxfId="525" priority="20" operator="containsText" text="EXCESS COLLECTED">
      <formula>NOT(ISERROR(SEARCH("EXCESS COLLECTED",A22)))</formula>
    </cfRule>
  </conditionalFormatting>
  <conditionalFormatting sqref="A31:B32">
    <cfRule type="containsText" dxfId="524" priority="59" operator="containsText" text="EXCESS COLLECTED">
      <formula>NOT(ISERROR(SEARCH("EXCESS COLLECTED",A31)))</formula>
    </cfRule>
  </conditionalFormatting>
  <conditionalFormatting sqref="A31:B34 D52:F56 G49:XFD73 A63:F68">
    <cfRule type="containsText" dxfId="523" priority="60" operator="containsText" text="LESS COLLECTED">
      <formula>NOT(ISERROR(SEARCH("LESS COLLECTED",A31)))</formula>
    </cfRule>
  </conditionalFormatting>
  <conditionalFormatting sqref="A35:B35 D35:F35">
    <cfRule type="containsText" dxfId="522" priority="29" operator="containsText" text="EXCESS COLLECTED">
      <formula>NOT(ISERROR(SEARCH("EXCESS COLLECTED",A35)))</formula>
    </cfRule>
  </conditionalFormatting>
  <conditionalFormatting sqref="A35:B50">
    <cfRule type="containsText" dxfId="521" priority="32" operator="containsText" text="LESS COLLECTED">
      <formula>NOT(ISERROR(SEARCH("LESS COLLECTED",A35)))</formula>
    </cfRule>
  </conditionalFormatting>
  <conditionalFormatting sqref="A47:B56">
    <cfRule type="containsText" dxfId="520" priority="27" operator="containsText" text="EXCESS COLLECTED">
      <formula>NOT(ISERROR(SEARCH("EXCESS COLLECTED",A47)))</formula>
    </cfRule>
  </conditionalFormatting>
  <conditionalFormatting sqref="A51:B52">
    <cfRule type="containsText" dxfId="519" priority="28" operator="containsText" text="LESS COLLECTED">
      <formula>NOT(ISERROR(SEARCH("LESS COLLECTED",A51)))</formula>
    </cfRule>
  </conditionalFormatting>
  <conditionalFormatting sqref="A53:B57">
    <cfRule type="containsText" dxfId="518" priority="2" operator="containsText" text="LESS COLLECTED">
      <formula>NOT(ISERROR(SEARCH("LESS COLLECTED",A53)))</formula>
    </cfRule>
  </conditionalFormatting>
  <conditionalFormatting sqref="A58:B62">
    <cfRule type="containsText" dxfId="517" priority="74" operator="containsText" text="LESS COLLECTED">
      <formula>NOT(ISERROR(SEARCH("LESS COLLECTED",A58)))</formula>
    </cfRule>
  </conditionalFormatting>
  <conditionalFormatting sqref="A7:F8 A69:F84 B87:D92">
    <cfRule type="containsText" dxfId="516" priority="124" operator="containsText" text="LESS COLLECTED">
      <formula>NOT(ISERROR(SEARCH("LESS COLLECTED",A7)))</formula>
    </cfRule>
  </conditionalFormatting>
  <conditionalFormatting sqref="A57:F57">
    <cfRule type="containsText" dxfId="515" priority="1" operator="containsText" text="EXCESS COLLECTED">
      <formula>NOT(ISERROR(SEARCH("EXCESS COLLECTED",A57)))</formula>
    </cfRule>
  </conditionalFormatting>
  <conditionalFormatting sqref="A86:F92 A1:XFD3 A4 G4:XFD4 A5:XFD6 I7:XFD8 I74:XFD74 G74:G75 H75:XFD75 G76:XFD79 H80:XFD80 J81:XFD83 G84:XFD1048576 A85 C85:F85 F93:F1048576 A94:E1048576">
    <cfRule type="containsText" dxfId="514" priority="128" operator="containsText" text="LESS COLLECTED">
      <formula>NOT(ISERROR(SEARCH("LESS COLLECTED",A1)))</formula>
    </cfRule>
  </conditionalFormatting>
  <conditionalFormatting sqref="B28:B30">
    <cfRule type="containsText" dxfId="513" priority="70" operator="containsText" text="LESS COLLECTED">
      <formula>NOT(ISERROR(SEARCH("LESS COLLECTED",B28)))</formula>
    </cfRule>
  </conditionalFormatting>
  <conditionalFormatting sqref="B29:B30">
    <cfRule type="containsText" dxfId="512" priority="69" operator="containsText" text="EXCESS COLLECTED">
      <formula>NOT(ISERROR(SEARCH("EXCESS COLLECTED",B29)))</formula>
    </cfRule>
  </conditionalFormatting>
  <conditionalFormatting sqref="B62">
    <cfRule type="containsText" dxfId="511" priority="73" operator="containsText" text="EXCESS COLLECTED">
      <formula>NOT(ISERROR(SEARCH("EXCESS COLLECTED",B62)))</formula>
    </cfRule>
  </conditionalFormatting>
  <conditionalFormatting sqref="C10:C57">
    <cfRule type="containsText" dxfId="510" priority="4" operator="containsText" text="LESS COLLECTED">
      <formula>NOT(ISERROR(SEARCH("LESS COLLECTED",C10)))</formula>
    </cfRule>
  </conditionalFormatting>
  <conditionalFormatting sqref="D53:E53">
    <cfRule type="containsText" dxfId="509" priority="47" operator="containsText" text="EXCESS COLLECTED">
      <formula>NOT(ISERROR(SEARCH("EXCESS COLLECTED",D53)))</formula>
    </cfRule>
  </conditionalFormatting>
  <conditionalFormatting sqref="D50:F51">
    <cfRule type="containsText" dxfId="508" priority="26" operator="containsText" text="LESS COLLECTED">
      <formula>NOT(ISERROR(SEARCH("LESS COLLECTED",D50)))</formula>
    </cfRule>
  </conditionalFormatting>
  <conditionalFormatting sqref="D51:F51">
    <cfRule type="containsText" dxfId="507" priority="25" operator="containsText" text="EXCESS COLLECTED">
      <formula>NOT(ISERROR(SEARCH("EXCESS COLLECTED",D51)))</formula>
    </cfRule>
  </conditionalFormatting>
  <conditionalFormatting sqref="D57:F57">
    <cfRule type="containsText" dxfId="506" priority="6" operator="containsText" text="LESS COLLECTED">
      <formula>NOT(ISERROR(SEARCH("LESS COLLECTED",D57)))</formula>
    </cfRule>
  </conditionalFormatting>
  <conditionalFormatting sqref="D68:F68">
    <cfRule type="containsText" dxfId="505" priority="14" operator="containsText" text="EXCESS COLLECTED">
      <formula>NOT(ISERROR(SEARCH("EXCESS COLLECTED",D68)))</formula>
    </cfRule>
  </conditionalFormatting>
  <conditionalFormatting sqref="D10:XFD22 A10:B27 A9:XFD9 C58:F63">
    <cfRule type="containsText" dxfId="504" priority="21" operator="containsText" text="LESS COLLECTED">
      <formula>NOT(ISERROR(SEARCH("LESS COLLECTED",A9)))</formula>
    </cfRule>
  </conditionalFormatting>
  <conditionalFormatting sqref="D23:XFD48">
    <cfRule type="containsText" dxfId="503" priority="30" operator="containsText" text="LESS COLLECTED">
      <formula>NOT(ISERROR(SEARCH("LESS COLLECTED",D23)))</formula>
    </cfRule>
  </conditionalFormatting>
  <conditionalFormatting sqref="E49:F49">
    <cfRule type="containsText" dxfId="502" priority="83" operator="containsText" text="EXCESS COLLECTED">
      <formula>NOT(ISERROR(SEARCH("EXCESS COLLECTED",E49)))</formula>
    </cfRule>
    <cfRule type="containsText" dxfId="501" priority="84" operator="containsText" text="LESS COLLECTED">
      <formula>NOT(ISERROR(SEARCH("LESS COLLECTED",E49)))</formula>
    </cfRule>
  </conditionalFormatting>
  <conditionalFormatting sqref="G61:G62 D7:F8 D69:E70 A72:F73 B87:D92">
    <cfRule type="containsText" dxfId="500" priority="123" operator="containsText" text="EXCESS COLLECTED">
      <formula>NOT(ISERROR(SEARCH("EXCESS COLLECTED",A7)))</formula>
    </cfRule>
  </conditionalFormatting>
  <conditionalFormatting sqref="G66">
    <cfRule type="containsText" dxfId="499" priority="16" operator="containsText" text="EXCESS COLLECTED">
      <formula>NOT(ISERROR(SEARCH("EXCESS COLLECTED",G66)))</formula>
    </cfRule>
  </conditionalFormatting>
  <conditionalFormatting sqref="G7:H7">
    <cfRule type="containsText" dxfId="498" priority="37" operator="containsText" text="EXCESS COLLECTED">
      <formula>NOT(ISERROR(SEARCH("EXCESS COLLECTED",G7)))</formula>
    </cfRule>
    <cfRule type="containsText" dxfId="497" priority="38" operator="containsText" text="LESS COLLECTED">
      <formula>NOT(ISERROR(SEARCH("LESS COLLECTED",G7)))</formula>
    </cfRule>
  </conditionalFormatting>
  <pageMargins left="0.905511811" right="0.81496062999999996" top="0" bottom="0" header="0.31496062992126" footer="0.31496062992126"/>
  <pageSetup paperSize="9" scale="6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92D050"/>
  </sheetPr>
  <dimension ref="A1:R102"/>
  <sheetViews>
    <sheetView topLeftCell="A73" workbookViewId="0">
      <selection activeCell="D74" sqref="D74"/>
    </sheetView>
  </sheetViews>
  <sheetFormatPr defaultColWidth="9.140625" defaultRowHeight="15"/>
  <cols>
    <col min="1" max="1" width="23.42578125" style="1" customWidth="1"/>
    <col min="2" max="2" width="44.5703125" style="1" bestFit="1" customWidth="1"/>
    <col min="3" max="3" width="13.7109375" style="1" bestFit="1" customWidth="1"/>
    <col min="4" max="4" width="22.28515625" style="1" bestFit="1" customWidth="1"/>
    <col min="5" max="5" width="16.7109375" style="1" bestFit="1" customWidth="1"/>
    <col min="6" max="6" width="22.140625" style="1" customWidth="1"/>
    <col min="7" max="7" width="14.42578125" style="1" customWidth="1"/>
    <col min="8" max="8" width="13.28515625" style="32" customWidth="1"/>
    <col min="9" max="9" width="14.85546875" style="1" customWidth="1"/>
    <col min="10" max="14" width="9.140625" style="1"/>
    <col min="15" max="15" width="1.42578125" style="1" bestFit="1" customWidth="1"/>
    <col min="16" max="16384" width="9.140625" style="1"/>
  </cols>
  <sheetData>
    <row r="1" spans="1:18" ht="15.75">
      <c r="A1" s="1228" t="s">
        <v>73</v>
      </c>
      <c r="B1" s="1228"/>
      <c r="C1" s="1228"/>
      <c r="D1" s="1228"/>
      <c r="E1" s="1228"/>
      <c r="F1" s="1228"/>
    </row>
    <row r="2" spans="1:18" ht="15.75">
      <c r="A2" s="41"/>
      <c r="B2" s="41"/>
      <c r="C2" s="41"/>
      <c r="D2" s="41"/>
      <c r="E2" s="41"/>
      <c r="F2" s="41"/>
    </row>
    <row r="3" spans="1:18" ht="15.75">
      <c r="A3" s="1229" t="s">
        <v>86</v>
      </c>
      <c r="B3" s="1229"/>
      <c r="C3" s="1229"/>
      <c r="D3" s="1229"/>
      <c r="E3" s="1229"/>
      <c r="F3" s="1229"/>
    </row>
    <row r="4" spans="1:18" ht="15.75">
      <c r="A4" s="1229" t="s">
        <v>349</v>
      </c>
      <c r="B4" s="1229"/>
      <c r="C4" s="1229"/>
      <c r="D4" s="1229"/>
      <c r="E4" s="1229"/>
      <c r="F4" s="1229"/>
    </row>
    <row r="5" spans="1:18" ht="15.75">
      <c r="A5" s="1228" t="str">
        <f>+'NEW SHARDA'!A5:F5</f>
        <v>SUMMARY OF INCOME FOR THE MONTH OF SEP 2026</v>
      </c>
      <c r="B5" s="1228"/>
      <c r="C5" s="1228"/>
      <c r="D5" s="1228"/>
      <c r="E5" s="1228"/>
      <c r="F5" s="1228"/>
    </row>
    <row r="6" spans="1:18" ht="15.75">
      <c r="A6" s="24" t="s">
        <v>5</v>
      </c>
      <c r="B6" s="3"/>
      <c r="C6" s="23"/>
      <c r="D6" s="1230"/>
      <c r="E6" s="1230"/>
      <c r="F6" s="3"/>
    </row>
    <row r="7" spans="1:18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8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8" ht="15.75">
      <c r="A9" s="31">
        <v>3303</v>
      </c>
      <c r="B9" s="70" t="s">
        <v>299</v>
      </c>
      <c r="C9" s="1197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8" ht="15.75">
      <c r="A10" s="31" t="s">
        <v>87</v>
      </c>
      <c r="B10" s="70" t="s">
        <v>61</v>
      </c>
      <c r="C10" s="1197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42"/>
      <c r="H10" s="156"/>
      <c r="I10" s="42"/>
      <c r="O10" s="1" t="s">
        <v>799</v>
      </c>
      <c r="P10" s="1">
        <v>580</v>
      </c>
      <c r="R10" s="1">
        <f>+P10</f>
        <v>580</v>
      </c>
    </row>
    <row r="11" spans="1:18" s="512" customFormat="1" ht="15.75">
      <c r="A11" s="13" t="s">
        <v>60</v>
      </c>
      <c r="B11" s="70" t="s">
        <v>59</v>
      </c>
      <c r="C11" s="1197">
        <v>175</v>
      </c>
      <c r="D11" s="367">
        <f t="shared" si="0"/>
        <v>15.75</v>
      </c>
      <c r="E11" s="4">
        <f t="shared" ref="E11:E58" si="1">+D11</f>
        <v>15.75</v>
      </c>
      <c r="F11" s="4" t="str">
        <f t="shared" ref="F11:F59" si="2">IF(D11&gt;0," ",C11*18%)</f>
        <v xml:space="preserve"> </v>
      </c>
      <c r="G11" s="42"/>
      <c r="H11" s="932"/>
      <c r="I11" s="42"/>
      <c r="J11" s="1"/>
      <c r="K11" s="1"/>
      <c r="L11" s="1"/>
      <c r="M11" s="1"/>
      <c r="N11"/>
      <c r="O11" s="1" t="s">
        <v>799</v>
      </c>
      <c r="P11" s="1">
        <v>146</v>
      </c>
      <c r="Q11" s="1"/>
      <c r="R11" s="1">
        <f t="shared" ref="R11:R22" si="3">+P11</f>
        <v>146</v>
      </c>
    </row>
    <row r="12" spans="1:18" ht="15.75">
      <c r="A12" s="14" t="s">
        <v>58</v>
      </c>
      <c r="B12" s="70" t="s">
        <v>57</v>
      </c>
      <c r="C12" s="1197">
        <v>0</v>
      </c>
      <c r="D12" s="4">
        <f t="shared" si="0"/>
        <v>0</v>
      </c>
      <c r="E12" s="4">
        <f>+D12</f>
        <v>0</v>
      </c>
      <c r="F12" s="4">
        <f t="shared" si="2"/>
        <v>0</v>
      </c>
      <c r="G12" s="42"/>
      <c r="H12" s="156"/>
      <c r="I12" s="42"/>
      <c r="N12"/>
      <c r="O12" s="1" t="s">
        <v>799</v>
      </c>
      <c r="P12" s="1">
        <v>91700</v>
      </c>
      <c r="R12" s="1">
        <f t="shared" si="3"/>
        <v>91700</v>
      </c>
    </row>
    <row r="13" spans="1:18" ht="15.75">
      <c r="A13" s="13" t="s">
        <v>56</v>
      </c>
      <c r="B13" s="70" t="s">
        <v>55</v>
      </c>
      <c r="C13" s="1197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156"/>
      <c r="I13" s="42"/>
      <c r="N13"/>
      <c r="O13" s="1" t="s">
        <v>799</v>
      </c>
      <c r="P13" s="1">
        <v>2040</v>
      </c>
      <c r="R13" s="1">
        <f t="shared" si="3"/>
        <v>2040</v>
      </c>
    </row>
    <row r="14" spans="1:18" ht="15.75">
      <c r="A14" s="14" t="s">
        <v>54</v>
      </c>
      <c r="B14" s="70" t="s">
        <v>53</v>
      </c>
      <c r="C14" s="1197">
        <f>8249-146</f>
        <v>8103</v>
      </c>
      <c r="D14" s="4">
        <f t="shared" si="0"/>
        <v>729.27</v>
      </c>
      <c r="E14" s="4">
        <f>+D14</f>
        <v>729.27</v>
      </c>
      <c r="F14" s="4">
        <v>0</v>
      </c>
      <c r="G14" s="42">
        <v>146</v>
      </c>
      <c r="H14" s="156"/>
      <c r="I14" s="42"/>
      <c r="O14" s="1" t="s">
        <v>799</v>
      </c>
      <c r="P14" s="1">
        <v>330</v>
      </c>
      <c r="R14" s="1">
        <f t="shared" si="3"/>
        <v>330</v>
      </c>
    </row>
    <row r="15" spans="1:18" s="512" customFormat="1" ht="15.75">
      <c r="A15" s="13" t="s">
        <v>52</v>
      </c>
      <c r="B15" s="70" t="s">
        <v>51</v>
      </c>
      <c r="C15" s="1197">
        <v>0</v>
      </c>
      <c r="D15" s="4">
        <f t="shared" si="0"/>
        <v>0</v>
      </c>
      <c r="E15" s="4">
        <f t="shared" si="1"/>
        <v>0</v>
      </c>
      <c r="F15" s="4">
        <f t="shared" si="2"/>
        <v>0</v>
      </c>
      <c r="G15" s="42"/>
      <c r="H15" s="156"/>
      <c r="I15" s="42"/>
      <c r="J15" s="1"/>
      <c r="K15" s="1"/>
      <c r="L15" s="1"/>
      <c r="M15" s="1"/>
      <c r="N15" s="1"/>
      <c r="O15" s="1" t="s">
        <v>799</v>
      </c>
      <c r="P15" s="1">
        <v>1250</v>
      </c>
      <c r="Q15" s="1"/>
      <c r="R15" s="1">
        <f t="shared" si="3"/>
        <v>1250</v>
      </c>
    </row>
    <row r="16" spans="1:18" ht="15.75">
      <c r="A16" s="14" t="s">
        <v>50</v>
      </c>
      <c r="B16" s="70" t="s">
        <v>49</v>
      </c>
      <c r="C16" s="1197">
        <v>0</v>
      </c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156"/>
      <c r="I16" s="42"/>
      <c r="O16" s="1" t="s">
        <v>799</v>
      </c>
      <c r="P16" s="1">
        <v>2973.9</v>
      </c>
      <c r="R16" s="1">
        <f t="shared" si="3"/>
        <v>2973.9</v>
      </c>
    </row>
    <row r="17" spans="1:18" ht="15.75">
      <c r="A17" s="14" t="s">
        <v>48</v>
      </c>
      <c r="B17" s="70" t="s">
        <v>47</v>
      </c>
      <c r="C17" s="1197">
        <v>0</v>
      </c>
      <c r="D17" s="4">
        <f t="shared" si="0"/>
        <v>0</v>
      </c>
      <c r="E17" s="4">
        <f t="shared" si="1"/>
        <v>0</v>
      </c>
      <c r="F17" s="4">
        <f>IF(D17&gt;0," ",C17*18%)</f>
        <v>0</v>
      </c>
      <c r="G17" s="42"/>
      <c r="H17" s="156"/>
      <c r="I17" s="42"/>
      <c r="O17" s="1" t="s">
        <v>799</v>
      </c>
      <c r="P17" s="1">
        <v>7834.15</v>
      </c>
      <c r="R17" s="1">
        <f t="shared" si="3"/>
        <v>7834.15</v>
      </c>
    </row>
    <row r="18" spans="1:18" ht="15.75">
      <c r="A18" s="14" t="s">
        <v>46</v>
      </c>
      <c r="B18" s="70" t="s">
        <v>45</v>
      </c>
      <c r="C18" s="1197">
        <v>0</v>
      </c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156"/>
      <c r="I18" s="42"/>
      <c r="O18" s="1" t="s">
        <v>799</v>
      </c>
      <c r="P18" s="1">
        <v>6850</v>
      </c>
      <c r="R18" s="1">
        <f t="shared" si="3"/>
        <v>6850</v>
      </c>
    </row>
    <row r="19" spans="1:18" ht="15.75">
      <c r="A19" s="13" t="s">
        <v>44</v>
      </c>
      <c r="B19" s="70" t="s">
        <v>43</v>
      </c>
      <c r="C19" s="1197">
        <v>8000</v>
      </c>
      <c r="D19" s="4">
        <f t="shared" si="0"/>
        <v>720</v>
      </c>
      <c r="E19" s="4">
        <f t="shared" si="1"/>
        <v>720</v>
      </c>
      <c r="F19" s="4">
        <v>0</v>
      </c>
      <c r="G19" s="156"/>
      <c r="H19" s="156"/>
      <c r="I19" s="42"/>
      <c r="J19" s="1" t="s">
        <v>5</v>
      </c>
      <c r="L19" s="32"/>
      <c r="O19" s="1" t="s">
        <v>799</v>
      </c>
      <c r="P19" s="1">
        <v>3900</v>
      </c>
      <c r="R19" s="1">
        <f t="shared" si="3"/>
        <v>3900</v>
      </c>
    </row>
    <row r="20" spans="1:18" ht="15.75">
      <c r="A20" s="13">
        <v>3271</v>
      </c>
      <c r="B20" s="70" t="s">
        <v>533</v>
      </c>
      <c r="C20" s="1197">
        <v>4900</v>
      </c>
      <c r="D20" s="4">
        <f t="shared" si="0"/>
        <v>441</v>
      </c>
      <c r="E20" s="4">
        <f t="shared" si="1"/>
        <v>441</v>
      </c>
      <c r="F20" s="4"/>
      <c r="G20" s="42"/>
      <c r="H20" s="156"/>
      <c r="I20" s="42"/>
      <c r="J20" s="1" t="s">
        <v>5</v>
      </c>
      <c r="L20" s="32"/>
      <c r="O20" s="1" t="s">
        <v>799</v>
      </c>
      <c r="P20" s="1">
        <v>36518.559999999998</v>
      </c>
      <c r="R20" s="1">
        <f t="shared" si="3"/>
        <v>36518.559999999998</v>
      </c>
    </row>
    <row r="21" spans="1:18" ht="15.75">
      <c r="A21" s="13">
        <v>3274</v>
      </c>
      <c r="B21" s="70" t="s">
        <v>554</v>
      </c>
      <c r="C21" s="1197">
        <v>0</v>
      </c>
      <c r="D21" s="4"/>
      <c r="E21" s="4"/>
      <c r="F21" s="4"/>
      <c r="G21" s="42"/>
      <c r="H21" s="156"/>
      <c r="I21" s="42"/>
      <c r="J21" s="1" t="s">
        <v>5</v>
      </c>
      <c r="L21" s="32"/>
      <c r="O21" s="1" t="s">
        <v>799</v>
      </c>
      <c r="P21" s="1">
        <v>7410</v>
      </c>
      <c r="R21" s="1">
        <f t="shared" si="3"/>
        <v>7410</v>
      </c>
    </row>
    <row r="22" spans="1:18" ht="15.75">
      <c r="A22" s="17" t="s">
        <v>42</v>
      </c>
      <c r="B22" s="70" t="s">
        <v>41</v>
      </c>
      <c r="C22" s="1197">
        <v>0</v>
      </c>
      <c r="D22" s="4">
        <f t="shared" ref="D22:D48" si="4">+C22*9%</f>
        <v>0</v>
      </c>
      <c r="E22" s="4">
        <f t="shared" si="1"/>
        <v>0</v>
      </c>
      <c r="F22" s="4">
        <f t="shared" si="2"/>
        <v>0</v>
      </c>
      <c r="G22" s="42"/>
      <c r="H22" s="156"/>
      <c r="I22" s="42"/>
      <c r="L22" s="32"/>
      <c r="O22" s="1" t="s">
        <v>799</v>
      </c>
      <c r="P22" s="1">
        <v>3986</v>
      </c>
      <c r="R22" s="1">
        <f t="shared" si="3"/>
        <v>3986</v>
      </c>
    </row>
    <row r="23" spans="1:18" ht="15.75">
      <c r="A23" s="14" t="s">
        <v>40</v>
      </c>
      <c r="B23" s="70" t="s">
        <v>39</v>
      </c>
      <c r="C23" s="1197">
        <v>0</v>
      </c>
      <c r="D23" s="4">
        <f t="shared" si="4"/>
        <v>0</v>
      </c>
      <c r="E23" s="4">
        <f t="shared" si="1"/>
        <v>0</v>
      </c>
      <c r="F23" s="4">
        <f t="shared" si="2"/>
        <v>0</v>
      </c>
      <c r="G23" s="42"/>
      <c r="H23" s="156"/>
      <c r="I23" s="42"/>
      <c r="L23" s="32"/>
      <c r="O23" s="1" t="s">
        <v>799</v>
      </c>
      <c r="P23" s="1">
        <v>8698</v>
      </c>
      <c r="Q23" s="1">
        <v>6393</v>
      </c>
      <c r="R23" s="1">
        <f>+P23-Q26</f>
        <v>0</v>
      </c>
    </row>
    <row r="24" spans="1:18" ht="15.75">
      <c r="A24" s="14" t="s">
        <v>38</v>
      </c>
      <c r="B24" s="70" t="s">
        <v>37</v>
      </c>
      <c r="C24" s="1197">
        <v>0</v>
      </c>
      <c r="D24" s="4">
        <f t="shared" si="4"/>
        <v>0</v>
      </c>
      <c r="E24" s="4">
        <f t="shared" si="1"/>
        <v>0</v>
      </c>
      <c r="F24" s="4" t="s">
        <v>5</v>
      </c>
      <c r="G24" s="42"/>
      <c r="H24" s="156"/>
      <c r="I24" s="42"/>
      <c r="L24" s="32"/>
      <c r="O24" s="1" t="s">
        <v>799</v>
      </c>
      <c r="P24" s="1">
        <v>25305</v>
      </c>
      <c r="R24" s="1">
        <f>+P24</f>
        <v>25305</v>
      </c>
    </row>
    <row r="25" spans="1:18" ht="15.75">
      <c r="A25" s="16" t="s">
        <v>36</v>
      </c>
      <c r="B25" s="70" t="s">
        <v>35</v>
      </c>
      <c r="C25" s="1197">
        <v>0</v>
      </c>
      <c r="D25" s="4">
        <f t="shared" si="4"/>
        <v>0</v>
      </c>
      <c r="E25" s="4">
        <f t="shared" si="1"/>
        <v>0</v>
      </c>
      <c r="F25" s="4">
        <f t="shared" si="2"/>
        <v>0</v>
      </c>
      <c r="G25" s="42"/>
      <c r="H25" s="156"/>
      <c r="I25" s="42"/>
      <c r="L25" s="32"/>
      <c r="P25" s="1">
        <v>366</v>
      </c>
      <c r="R25" s="1">
        <f>+P25</f>
        <v>366</v>
      </c>
    </row>
    <row r="26" spans="1:18" ht="15.75">
      <c r="A26" s="16" t="s">
        <v>34</v>
      </c>
      <c r="B26" s="70" t="s">
        <v>33</v>
      </c>
      <c r="C26" s="1197">
        <v>0</v>
      </c>
      <c r="D26" s="4">
        <f t="shared" si="4"/>
        <v>0</v>
      </c>
      <c r="E26" s="4">
        <f t="shared" si="1"/>
        <v>0</v>
      </c>
      <c r="F26" s="4">
        <f t="shared" si="2"/>
        <v>0</v>
      </c>
      <c r="G26" s="42"/>
      <c r="H26" s="156"/>
      <c r="I26" s="42"/>
      <c r="P26" s="1">
        <v>57300</v>
      </c>
      <c r="Q26" s="1">
        <v>8698</v>
      </c>
      <c r="R26" s="1">
        <f>+P26-Q23</f>
        <v>50907</v>
      </c>
    </row>
    <row r="27" spans="1:18" ht="15.75">
      <c r="A27" s="16" t="s">
        <v>32</v>
      </c>
      <c r="B27" s="70" t="s">
        <v>31</v>
      </c>
      <c r="C27" s="1197">
        <v>0</v>
      </c>
      <c r="D27" s="4">
        <f t="shared" si="4"/>
        <v>0</v>
      </c>
      <c r="E27" s="4">
        <f t="shared" si="1"/>
        <v>0</v>
      </c>
      <c r="F27" s="4">
        <f t="shared" si="2"/>
        <v>0</v>
      </c>
      <c r="G27" s="42"/>
      <c r="H27" s="156"/>
      <c r="I27" s="42"/>
      <c r="P27" s="1">
        <f>SUM(P10:P26)</f>
        <v>257187.61</v>
      </c>
      <c r="Q27" s="1">
        <f>SUM(Q23:Q26)</f>
        <v>15091</v>
      </c>
      <c r="R27" s="1">
        <f>SUM(R10:R26)</f>
        <v>242096.61</v>
      </c>
    </row>
    <row r="28" spans="1:18" ht="15.75">
      <c r="A28" s="137">
        <v>3291</v>
      </c>
      <c r="B28" s="33" t="s">
        <v>325</v>
      </c>
      <c r="C28" s="1197">
        <v>0</v>
      </c>
      <c r="D28" s="4">
        <f t="shared" si="4"/>
        <v>0</v>
      </c>
      <c r="E28" s="4">
        <f t="shared" si="1"/>
        <v>0</v>
      </c>
      <c r="F28" s="4">
        <f t="shared" si="2"/>
        <v>0</v>
      </c>
      <c r="G28" s="42"/>
      <c r="H28" s="156"/>
      <c r="I28" s="42"/>
      <c r="R28" s="1">
        <f>R27*9%</f>
        <v>21788.694899999999</v>
      </c>
    </row>
    <row r="29" spans="1:18" ht="15.75">
      <c r="A29" s="137" t="s">
        <v>526</v>
      </c>
      <c r="B29" s="33" t="s">
        <v>523</v>
      </c>
      <c r="C29" s="1197">
        <v>1992.5</v>
      </c>
      <c r="D29" s="4">
        <f t="shared" si="4"/>
        <v>179.32499999999999</v>
      </c>
      <c r="E29" s="4">
        <f t="shared" ref="E29:E35" si="5">+D29</f>
        <v>179.32499999999999</v>
      </c>
      <c r="F29" s="4" t="str">
        <f>IF(D29&gt;0," ",C29*18%)</f>
        <v xml:space="preserve"> </v>
      </c>
      <c r="G29" s="42"/>
      <c r="H29" s="156"/>
      <c r="I29" s="42"/>
    </row>
    <row r="30" spans="1:18" ht="15.75">
      <c r="A30" s="137" t="s">
        <v>527</v>
      </c>
      <c r="B30" s="33" t="s">
        <v>524</v>
      </c>
      <c r="C30" s="1197">
        <v>2750</v>
      </c>
      <c r="D30" s="4">
        <f t="shared" si="4"/>
        <v>247.5</v>
      </c>
      <c r="E30" s="4">
        <f t="shared" si="5"/>
        <v>247.5</v>
      </c>
      <c r="F30" s="4" t="str">
        <f>IF(D30&gt;0," ",C30*18%)</f>
        <v xml:space="preserve"> </v>
      </c>
      <c r="G30" s="42"/>
      <c r="H30" s="156"/>
      <c r="I30" s="42"/>
    </row>
    <row r="31" spans="1:18" ht="15.75">
      <c r="A31" s="137" t="s">
        <v>528</v>
      </c>
      <c r="B31" s="33" t="s">
        <v>529</v>
      </c>
      <c r="C31" s="1197">
        <v>1400</v>
      </c>
      <c r="D31" s="4">
        <f t="shared" si="4"/>
        <v>126</v>
      </c>
      <c r="E31" s="4">
        <f t="shared" si="5"/>
        <v>126</v>
      </c>
      <c r="F31" s="4" t="str">
        <f>IF(D31&gt;0," ",C31*18%)</f>
        <v xml:space="preserve"> </v>
      </c>
      <c r="G31" s="42"/>
      <c r="H31" s="156"/>
      <c r="I31" s="42"/>
    </row>
    <row r="32" spans="1:18" ht="15.75">
      <c r="A32" s="137" t="s">
        <v>531</v>
      </c>
      <c r="B32" s="33" t="s">
        <v>532</v>
      </c>
      <c r="C32" s="1197">
        <v>0</v>
      </c>
      <c r="D32" s="4">
        <f t="shared" si="4"/>
        <v>0</v>
      </c>
      <c r="E32" s="4">
        <f t="shared" si="5"/>
        <v>0</v>
      </c>
      <c r="F32" s="4">
        <f>IF(D32&gt;0," ",C32*18%)</f>
        <v>0</v>
      </c>
      <c r="G32" s="42"/>
      <c r="H32" s="156"/>
      <c r="I32" s="42"/>
      <c r="J32" s="1" t="s">
        <v>5</v>
      </c>
    </row>
    <row r="33" spans="1:10" ht="15.75">
      <c r="A33" s="13" t="s">
        <v>30</v>
      </c>
      <c r="B33" s="70" t="s">
        <v>29</v>
      </c>
      <c r="C33" s="1197">
        <v>211522.2</v>
      </c>
      <c r="D33" s="4">
        <f t="shared" si="4"/>
        <v>19036.998</v>
      </c>
      <c r="E33" s="4">
        <f t="shared" si="5"/>
        <v>19036.998</v>
      </c>
      <c r="F33" s="4">
        <v>0</v>
      </c>
      <c r="G33" s="42"/>
      <c r="H33" s="156"/>
      <c r="I33" s="42"/>
      <c r="J33" s="1" t="s">
        <v>5</v>
      </c>
    </row>
    <row r="34" spans="1:10" ht="15.75">
      <c r="A34" s="13">
        <v>3301</v>
      </c>
      <c r="B34" s="70" t="s">
        <v>154</v>
      </c>
      <c r="C34" s="1197">
        <v>0</v>
      </c>
      <c r="D34" s="4">
        <f t="shared" si="4"/>
        <v>0</v>
      </c>
      <c r="E34" s="4">
        <f t="shared" si="5"/>
        <v>0</v>
      </c>
      <c r="F34" s="4">
        <f t="shared" si="2"/>
        <v>0</v>
      </c>
      <c r="G34" s="42"/>
      <c r="H34" s="156"/>
      <c r="I34" s="42"/>
    </row>
    <row r="35" spans="1:10" ht="15.75">
      <c r="A35" s="13">
        <v>3302</v>
      </c>
      <c r="B35" s="70" t="s">
        <v>525</v>
      </c>
      <c r="C35" s="1197">
        <v>0</v>
      </c>
      <c r="D35" s="4">
        <f t="shared" si="4"/>
        <v>0</v>
      </c>
      <c r="E35" s="4">
        <f t="shared" si="5"/>
        <v>0</v>
      </c>
      <c r="F35" s="4">
        <f t="shared" si="2"/>
        <v>0</v>
      </c>
      <c r="G35" s="42"/>
      <c r="H35" s="156"/>
      <c r="I35" s="42"/>
    </row>
    <row r="36" spans="1:10" ht="15.75">
      <c r="A36" s="14" t="s">
        <v>28</v>
      </c>
      <c r="B36" s="70" t="s">
        <v>27</v>
      </c>
      <c r="C36" s="1197">
        <v>0</v>
      </c>
      <c r="D36" s="4">
        <f t="shared" si="4"/>
        <v>0</v>
      </c>
      <c r="E36" s="4">
        <f t="shared" si="1"/>
        <v>0</v>
      </c>
      <c r="F36" s="4">
        <f t="shared" si="2"/>
        <v>0</v>
      </c>
      <c r="G36" s="42"/>
      <c r="H36" s="156"/>
      <c r="I36" s="42"/>
    </row>
    <row r="37" spans="1:10" ht="15.75">
      <c r="A37" s="16" t="s">
        <v>114</v>
      </c>
      <c r="B37" s="70" t="s">
        <v>115</v>
      </c>
      <c r="C37" s="1197">
        <v>0</v>
      </c>
      <c r="D37" s="4">
        <f t="shared" si="4"/>
        <v>0</v>
      </c>
      <c r="E37" s="4">
        <f t="shared" si="1"/>
        <v>0</v>
      </c>
      <c r="F37" s="4">
        <f t="shared" si="2"/>
        <v>0</v>
      </c>
      <c r="G37" s="42"/>
      <c r="H37" s="156"/>
      <c r="I37" s="42"/>
    </row>
    <row r="38" spans="1:10" ht="15.75">
      <c r="A38" s="13" t="s">
        <v>26</v>
      </c>
      <c r="B38" s="70" t="s">
        <v>25</v>
      </c>
      <c r="C38" s="1197">
        <v>1315.75</v>
      </c>
      <c r="D38" s="4">
        <f t="shared" si="4"/>
        <v>118.41749999999999</v>
      </c>
      <c r="E38" s="4">
        <f t="shared" si="1"/>
        <v>118.41749999999999</v>
      </c>
      <c r="F38" s="4" t="str">
        <f t="shared" si="2"/>
        <v xml:space="preserve"> </v>
      </c>
      <c r="G38" s="42"/>
      <c r="H38" s="156"/>
      <c r="I38" s="42"/>
    </row>
    <row r="39" spans="1:10" ht="15.75">
      <c r="A39" s="13" t="s">
        <v>24</v>
      </c>
      <c r="B39" s="70" t="s">
        <v>23</v>
      </c>
      <c r="C39" s="1197">
        <v>5950</v>
      </c>
      <c r="D39" s="4">
        <f t="shared" si="4"/>
        <v>535.5</v>
      </c>
      <c r="E39" s="4">
        <f t="shared" si="1"/>
        <v>535.5</v>
      </c>
      <c r="F39" s="4" t="str">
        <f t="shared" si="2"/>
        <v xml:space="preserve"> </v>
      </c>
      <c r="G39" s="42"/>
      <c r="H39" s="156"/>
      <c r="I39" s="42"/>
    </row>
    <row r="40" spans="1:10" ht="15.75">
      <c r="A40" s="13" t="s">
        <v>22</v>
      </c>
      <c r="B40" s="70" t="s">
        <v>21</v>
      </c>
      <c r="C40" s="1197">
        <v>7700</v>
      </c>
      <c r="D40" s="4">
        <f t="shared" si="4"/>
        <v>693</v>
      </c>
      <c r="E40" s="4">
        <f t="shared" si="1"/>
        <v>693</v>
      </c>
      <c r="F40" s="4" t="str">
        <f t="shared" si="2"/>
        <v xml:space="preserve"> </v>
      </c>
      <c r="G40" s="42"/>
      <c r="H40" s="156"/>
      <c r="I40" s="42"/>
    </row>
    <row r="41" spans="1:10" ht="15.75">
      <c r="A41" s="13" t="s">
        <v>20</v>
      </c>
      <c r="B41" s="70" t="s">
        <v>19</v>
      </c>
      <c r="C41" s="1197">
        <v>17000</v>
      </c>
      <c r="D41" s="4">
        <f t="shared" si="4"/>
        <v>1530</v>
      </c>
      <c r="E41" s="4">
        <f t="shared" si="1"/>
        <v>1530</v>
      </c>
      <c r="F41" s="4" t="str">
        <f t="shared" si="2"/>
        <v xml:space="preserve"> </v>
      </c>
      <c r="G41" s="16">
        <v>0</v>
      </c>
      <c r="H41" s="156">
        <v>0</v>
      </c>
      <c r="I41" s="42"/>
    </row>
    <row r="42" spans="1:10" ht="15.75">
      <c r="A42" s="14" t="s">
        <v>18</v>
      </c>
      <c r="B42" s="70" t="s">
        <v>17</v>
      </c>
      <c r="C42" s="1197">
        <v>7620</v>
      </c>
      <c r="D42" s="4">
        <f t="shared" si="4"/>
        <v>685.8</v>
      </c>
      <c r="E42" s="4">
        <f t="shared" si="1"/>
        <v>685.8</v>
      </c>
      <c r="F42" s="4" t="str">
        <f t="shared" si="2"/>
        <v xml:space="preserve"> </v>
      </c>
      <c r="G42" s="42"/>
      <c r="H42" s="156"/>
      <c r="I42" s="42"/>
    </row>
    <row r="43" spans="1:10" ht="15.75">
      <c r="A43" s="14" t="s">
        <v>16</v>
      </c>
      <c r="B43" s="70" t="s">
        <v>15</v>
      </c>
      <c r="C43" s="1197">
        <v>6250</v>
      </c>
      <c r="D43" s="4">
        <f t="shared" si="4"/>
        <v>562.5</v>
      </c>
      <c r="E43" s="4">
        <f t="shared" si="1"/>
        <v>562.5</v>
      </c>
      <c r="F43" s="4">
        <v>0</v>
      </c>
      <c r="G43" s="42"/>
      <c r="H43" s="156"/>
      <c r="I43" s="42"/>
    </row>
    <row r="44" spans="1:10" ht="15.75">
      <c r="A44" s="14" t="s">
        <v>14</v>
      </c>
      <c r="B44" s="70" t="s">
        <v>13</v>
      </c>
      <c r="C44" s="1197">
        <v>3657</v>
      </c>
      <c r="D44" s="4">
        <f t="shared" si="4"/>
        <v>329.13</v>
      </c>
      <c r="E44" s="4">
        <f t="shared" si="1"/>
        <v>329.13</v>
      </c>
      <c r="F44" s="4" t="str">
        <f t="shared" si="2"/>
        <v xml:space="preserve"> </v>
      </c>
      <c r="G44" s="42"/>
      <c r="H44" s="156"/>
      <c r="I44" s="42"/>
    </row>
    <row r="45" spans="1:10" ht="15.75">
      <c r="A45" s="14">
        <v>3317</v>
      </c>
      <c r="B45" s="70" t="s">
        <v>286</v>
      </c>
      <c r="C45" s="1197">
        <v>0</v>
      </c>
      <c r="D45" s="4">
        <f t="shared" si="4"/>
        <v>0</v>
      </c>
      <c r="E45" s="4">
        <f t="shared" si="1"/>
        <v>0</v>
      </c>
      <c r="F45" s="4">
        <f t="shared" si="2"/>
        <v>0</v>
      </c>
      <c r="G45" s="42"/>
      <c r="H45" s="156"/>
      <c r="I45" s="42"/>
    </row>
    <row r="46" spans="1:10" ht="15.75">
      <c r="A46" s="14" t="s">
        <v>12</v>
      </c>
      <c r="B46" s="70" t="s">
        <v>11</v>
      </c>
      <c r="C46" s="1197">
        <v>0</v>
      </c>
      <c r="D46" s="4">
        <f t="shared" si="4"/>
        <v>0</v>
      </c>
      <c r="E46" s="4">
        <f t="shared" si="1"/>
        <v>0</v>
      </c>
      <c r="F46" s="4">
        <f t="shared" si="2"/>
        <v>0</v>
      </c>
      <c r="G46" s="42"/>
      <c r="H46" s="156"/>
      <c r="I46" s="42"/>
    </row>
    <row r="47" spans="1:10" ht="15.75">
      <c r="A47" s="14">
        <v>3320</v>
      </c>
      <c r="B47" s="70" t="s">
        <v>290</v>
      </c>
      <c r="C47" s="1197">
        <f>489185-489185</f>
        <v>0</v>
      </c>
      <c r="D47" s="4">
        <f t="shared" si="4"/>
        <v>0</v>
      </c>
      <c r="E47" s="4">
        <f t="shared" si="1"/>
        <v>0</v>
      </c>
      <c r="F47" s="4">
        <v>0</v>
      </c>
      <c r="G47" s="42"/>
      <c r="H47" s="156"/>
      <c r="I47" s="42"/>
    </row>
    <row r="48" spans="1:10" ht="15.75">
      <c r="A48" s="14">
        <v>3321</v>
      </c>
      <c r="B48" s="70" t="s">
        <v>156</v>
      </c>
      <c r="C48" s="1197">
        <v>0</v>
      </c>
      <c r="D48" s="4">
        <f t="shared" si="4"/>
        <v>0</v>
      </c>
      <c r="E48" s="4">
        <f t="shared" si="1"/>
        <v>0</v>
      </c>
      <c r="F48" s="4">
        <f t="shared" si="2"/>
        <v>0</v>
      </c>
      <c r="G48" s="42"/>
      <c r="H48" s="156"/>
      <c r="I48" s="42"/>
    </row>
    <row r="49" spans="1:10" ht="15.75">
      <c r="A49" s="14">
        <v>3322</v>
      </c>
      <c r="B49" s="70" t="s">
        <v>335</v>
      </c>
      <c r="C49" s="1197">
        <v>0</v>
      </c>
      <c r="D49" s="4">
        <f>+C49*5%</f>
        <v>0</v>
      </c>
      <c r="E49" s="4">
        <f>+D49</f>
        <v>0</v>
      </c>
      <c r="F49" s="4"/>
      <c r="G49" s="42"/>
      <c r="H49" s="156"/>
      <c r="I49" s="42"/>
    </row>
    <row r="50" spans="1:10" ht="15.75">
      <c r="A50" s="14">
        <v>3324</v>
      </c>
      <c r="B50" s="70" t="s">
        <v>438</v>
      </c>
      <c r="C50" s="1197">
        <v>0</v>
      </c>
      <c r="D50" s="4">
        <f>+C50*9%</f>
        <v>0</v>
      </c>
      <c r="E50" s="4">
        <f t="shared" si="1"/>
        <v>0</v>
      </c>
      <c r="F50" s="4"/>
      <c r="G50" s="42"/>
      <c r="H50" s="156"/>
      <c r="I50" s="42"/>
    </row>
    <row r="51" spans="1:10" ht="15.75">
      <c r="A51" s="161">
        <v>3325</v>
      </c>
      <c r="B51" s="70" t="s">
        <v>606</v>
      </c>
      <c r="C51" s="1197">
        <v>0</v>
      </c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156"/>
      <c r="I51" s="42"/>
    </row>
    <row r="52" spans="1:10" ht="15.75">
      <c r="A52" s="14">
        <v>3391</v>
      </c>
      <c r="B52" s="70" t="s">
        <v>300</v>
      </c>
      <c r="C52" s="1197">
        <v>39300.25</v>
      </c>
      <c r="D52" s="4">
        <f>+C52*9%</f>
        <v>3537.0225</v>
      </c>
      <c r="E52" s="4">
        <f t="shared" si="1"/>
        <v>3537.0225</v>
      </c>
      <c r="F52" s="4" t="str">
        <f t="shared" si="2"/>
        <v xml:space="preserve"> </v>
      </c>
      <c r="G52" s="42"/>
      <c r="H52" s="156"/>
      <c r="I52" s="42"/>
    </row>
    <row r="53" spans="1:10" ht="15.75">
      <c r="A53" s="14">
        <v>3359</v>
      </c>
      <c r="B53" s="70" t="s">
        <v>683</v>
      </c>
      <c r="C53" s="1197">
        <v>0</v>
      </c>
      <c r="D53" s="4">
        <f>+C53*9%</f>
        <v>0</v>
      </c>
      <c r="E53" s="4">
        <f>+D53</f>
        <v>0</v>
      </c>
      <c r="F53" s="4">
        <v>0</v>
      </c>
      <c r="G53" s="42">
        <v>0</v>
      </c>
      <c r="H53" s="156"/>
      <c r="I53" s="42"/>
    </row>
    <row r="54" spans="1:10" ht="15.75">
      <c r="A54" s="14">
        <v>3825</v>
      </c>
      <c r="B54" s="70" t="s">
        <v>646</v>
      </c>
      <c r="C54" s="1197">
        <v>0</v>
      </c>
      <c r="D54" s="4">
        <f>+C54*9%</f>
        <v>0</v>
      </c>
      <c r="E54" s="4">
        <f>+D54</f>
        <v>0</v>
      </c>
      <c r="F54" s="4">
        <f>IF(D54&gt;0," ",C54*18%)</f>
        <v>0</v>
      </c>
      <c r="G54" s="42">
        <v>0</v>
      </c>
      <c r="H54" s="156"/>
      <c r="I54" s="42"/>
    </row>
    <row r="55" spans="1:10" ht="15.75">
      <c r="A55" s="14">
        <v>3362</v>
      </c>
      <c r="B55" s="70" t="s">
        <v>739</v>
      </c>
      <c r="C55" s="1197">
        <v>0</v>
      </c>
      <c r="D55" s="4"/>
      <c r="E55" s="4"/>
      <c r="F55" s="4"/>
      <c r="G55" s="42"/>
      <c r="H55" s="156"/>
      <c r="I55" s="42"/>
    </row>
    <row r="56" spans="1:10" ht="15.75">
      <c r="A56" s="14">
        <v>3340</v>
      </c>
      <c r="B56" s="70" t="s">
        <v>785</v>
      </c>
      <c r="C56" s="1197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10" ht="15.75">
      <c r="A57" s="15" t="s">
        <v>10</v>
      </c>
      <c r="B57" s="70"/>
      <c r="C57" s="1197"/>
      <c r="D57" s="4"/>
      <c r="E57" s="4"/>
      <c r="F57" s="4"/>
      <c r="G57" s="42"/>
      <c r="H57" s="156"/>
      <c r="I57" s="42"/>
    </row>
    <row r="58" spans="1:10" ht="15.75">
      <c r="A58" s="14" t="s">
        <v>9</v>
      </c>
      <c r="B58" s="70" t="s">
        <v>8</v>
      </c>
      <c r="C58" s="1197">
        <v>24007</v>
      </c>
      <c r="D58" s="4">
        <f>+C58*9%</f>
        <v>2160.63</v>
      </c>
      <c r="E58" s="4">
        <f t="shared" si="1"/>
        <v>2160.63</v>
      </c>
      <c r="F58" s="4">
        <v>0</v>
      </c>
      <c r="G58" s="42"/>
      <c r="H58" s="156"/>
      <c r="I58" s="42"/>
      <c r="J58" s="32"/>
    </row>
    <row r="59" spans="1:10" ht="15.75">
      <c r="A59" s="13" t="s">
        <v>7</v>
      </c>
      <c r="B59" s="70" t="s">
        <v>6</v>
      </c>
      <c r="C59" s="1197">
        <f>87700-4292</f>
        <v>83408</v>
      </c>
      <c r="D59" s="4">
        <f>+C59*9%</f>
        <v>7506.7199999999993</v>
      </c>
      <c r="E59" s="4">
        <f>+D59</f>
        <v>7506.7199999999993</v>
      </c>
      <c r="F59" s="4" t="str">
        <f t="shared" si="2"/>
        <v xml:space="preserve"> </v>
      </c>
      <c r="G59" s="16">
        <v>4292</v>
      </c>
      <c r="H59" s="156"/>
      <c r="I59" s="42"/>
    </row>
    <row r="60" spans="1:10" ht="15.75">
      <c r="A60" s="5" t="s">
        <v>5</v>
      </c>
      <c r="B60" s="70" t="s">
        <v>4</v>
      </c>
      <c r="C60" s="16">
        <v>0</v>
      </c>
      <c r="D60" s="4">
        <f>+C60*9%</f>
        <v>0</v>
      </c>
      <c r="E60" s="4">
        <f>+D60</f>
        <v>0</v>
      </c>
      <c r="F60" s="4"/>
      <c r="G60" s="42"/>
      <c r="H60" s="156"/>
      <c r="I60" s="42"/>
    </row>
    <row r="61" spans="1:10" ht="15.75">
      <c r="A61" s="434"/>
      <c r="B61" s="432" t="s">
        <v>465</v>
      </c>
      <c r="C61" s="16">
        <v>0</v>
      </c>
      <c r="D61" s="433">
        <f>+C61*9%</f>
        <v>0</v>
      </c>
      <c r="E61" s="433">
        <f>+D61</f>
        <v>0</v>
      </c>
      <c r="F61" s="433"/>
      <c r="G61" s="42"/>
      <c r="H61" s="156"/>
      <c r="I61" s="42"/>
    </row>
    <row r="62" spans="1:10" ht="16.5" thickBot="1">
      <c r="A62" s="12"/>
      <c r="B62" s="11" t="s">
        <v>3</v>
      </c>
      <c r="C62" s="10">
        <f>+SUM(C9:C61)</f>
        <v>435050.7</v>
      </c>
      <c r="D62" s="10">
        <f>+SUM(D9:D61)</f>
        <v>39154.563000000002</v>
      </c>
      <c r="E62" s="10">
        <f>+SUM(E9:E61)</f>
        <v>39154.563000000002</v>
      </c>
      <c r="F62" s="10">
        <f>SUM(F9:F59)</f>
        <v>0</v>
      </c>
      <c r="G62" s="10">
        <f>SUM(G9:G60)</f>
        <v>4438</v>
      </c>
      <c r="H62" s="10">
        <f>SUM(H9:H59)</f>
        <v>0</v>
      </c>
      <c r="I62" s="10"/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9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39154.563000000002</v>
      </c>
    </row>
    <row r="66" spans="1:9" ht="15.75">
      <c r="A66" s="1228" t="s">
        <v>75</v>
      </c>
      <c r="B66" s="1228"/>
      <c r="C66" s="1228"/>
      <c r="D66" s="1228"/>
      <c r="E66" s="1228"/>
      <c r="F66" s="1228"/>
    </row>
    <row r="67" spans="1:9" ht="15.75">
      <c r="A67" s="28"/>
      <c r="B67" s="28"/>
      <c r="C67" s="28"/>
      <c r="D67" s="28"/>
      <c r="E67" s="28"/>
      <c r="F67" s="28"/>
    </row>
    <row r="68" spans="1:9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9" ht="15" customHeight="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9">
      <c r="A70" s="1247"/>
      <c r="B70" s="1248"/>
      <c r="C70" s="1249"/>
      <c r="D70" s="1236"/>
      <c r="E70" s="1236"/>
      <c r="F70" s="1232"/>
    </row>
    <row r="71" spans="1:9" ht="15.75">
      <c r="A71" s="1241" t="s">
        <v>80</v>
      </c>
      <c r="B71" s="1242"/>
      <c r="C71" s="1243"/>
      <c r="D71" s="105">
        <f>+D62</f>
        <v>39154.563000000002</v>
      </c>
      <c r="E71" s="105">
        <f>+E62</f>
        <v>39154.563000000002</v>
      </c>
      <c r="F71" s="105">
        <f>+F62</f>
        <v>0</v>
      </c>
    </row>
    <row r="72" spans="1:9" ht="15.75">
      <c r="A72" s="43" t="s">
        <v>103</v>
      </c>
      <c r="B72" s="43"/>
      <c r="C72" s="43">
        <f>+G62</f>
        <v>4438</v>
      </c>
      <c r="D72" s="106">
        <f>+C72*0.09</f>
        <v>399.41999999999996</v>
      </c>
      <c r="E72" s="106">
        <f>+C72*0.09</f>
        <v>399.41999999999996</v>
      </c>
      <c r="F72" s="106">
        <v>0</v>
      </c>
      <c r="G72" s="207"/>
    </row>
    <row r="73" spans="1:9" ht="15.75">
      <c r="A73" s="43"/>
      <c r="B73" s="43"/>
      <c r="C73" s="43"/>
      <c r="D73" s="105">
        <f>+D71+D72</f>
        <v>39553.983</v>
      </c>
      <c r="E73" s="105">
        <f>+E71+E72</f>
        <v>39553.983</v>
      </c>
      <c r="F73" s="105">
        <v>0</v>
      </c>
      <c r="G73" s="935"/>
    </row>
    <row r="74" spans="1:9" ht="15.75">
      <c r="A74" s="1241" t="s">
        <v>104</v>
      </c>
      <c r="B74" s="1242"/>
      <c r="C74" s="1243"/>
      <c r="D74" s="108">
        <v>39552.17</v>
      </c>
      <c r="E74" s="108">
        <f>+D74</f>
        <v>39552.17</v>
      </c>
      <c r="F74" s="108">
        <v>0</v>
      </c>
      <c r="G74" s="40"/>
      <c r="I74" s="253"/>
    </row>
    <row r="75" spans="1:9" ht="15.75">
      <c r="A75" s="1250" t="s">
        <v>79</v>
      </c>
      <c r="B75" s="1251"/>
      <c r="C75" s="1252"/>
      <c r="D75" s="108">
        <f>+D73-D74</f>
        <v>1.8130000000019209</v>
      </c>
      <c r="E75" s="108">
        <f>+E73-E74</f>
        <v>1.8130000000019209</v>
      </c>
      <c r="F75" s="108">
        <f>IF(F71&gt;F74,F71,F74)</f>
        <v>0</v>
      </c>
      <c r="G75" s="625">
        <f>+D75/0.09</f>
        <v>20.144444444465787</v>
      </c>
    </row>
    <row r="76" spans="1:9" ht="15.75">
      <c r="A76" s="3"/>
      <c r="B76" s="2"/>
      <c r="C76" s="3"/>
      <c r="D76" s="3"/>
      <c r="E76" s="3"/>
      <c r="F76" s="3"/>
    </row>
    <row r="77" spans="1:9" ht="15.75">
      <c r="A77" s="27" t="s">
        <v>77</v>
      </c>
      <c r="B77" s="2"/>
      <c r="C77" s="3"/>
      <c r="D77" s="254"/>
      <c r="E77" s="3"/>
      <c r="F77" s="3"/>
      <c r="H77" s="32" t="s">
        <v>5</v>
      </c>
    </row>
    <row r="78" spans="1:9" ht="15" customHeight="1">
      <c r="A78" s="1218" t="s">
        <v>65</v>
      </c>
      <c r="B78" s="1219"/>
      <c r="C78" s="1220"/>
      <c r="D78" s="1253" t="s">
        <v>70</v>
      </c>
      <c r="E78" s="1253" t="s">
        <v>71</v>
      </c>
      <c r="F78" s="1253" t="s">
        <v>72</v>
      </c>
    </row>
    <row r="79" spans="1:9" ht="15" customHeight="1">
      <c r="A79" s="1221"/>
      <c r="B79" s="1222"/>
      <c r="C79" s="1223"/>
      <c r="D79" s="1254" t="s">
        <v>67</v>
      </c>
      <c r="E79" s="1254"/>
      <c r="F79" s="1254"/>
    </row>
    <row r="80" spans="1:9">
      <c r="A80" s="1225"/>
      <c r="B80" s="1226"/>
      <c r="C80" s="1227"/>
      <c r="D80" s="42"/>
      <c r="E80" s="42"/>
      <c r="F80" s="42"/>
    </row>
    <row r="81" spans="1:10" ht="15.75">
      <c r="A81" s="1216" t="s">
        <v>69</v>
      </c>
      <c r="B81" s="1216"/>
      <c r="C81" s="1216"/>
      <c r="D81" s="108">
        <v>2287.6799999999998</v>
      </c>
      <c r="E81" s="108">
        <f>+D81</f>
        <v>2287.6799999999998</v>
      </c>
      <c r="F81" s="107">
        <v>0</v>
      </c>
      <c r="G81" s="32">
        <f t="shared" ref="G81:I83" si="6">+D81/2</f>
        <v>1143.8399999999999</v>
      </c>
      <c r="H81" s="32">
        <f t="shared" si="6"/>
        <v>1143.8399999999999</v>
      </c>
      <c r="I81" s="32">
        <f t="shared" si="6"/>
        <v>0</v>
      </c>
    </row>
    <row r="82" spans="1:10" ht="15.75">
      <c r="A82" s="1224" t="s">
        <v>83</v>
      </c>
      <c r="B82" s="1224"/>
      <c r="C82" s="1224"/>
      <c r="D82" s="105">
        <f>+C92</f>
        <v>0</v>
      </c>
      <c r="E82" s="105">
        <f>+D82</f>
        <v>0</v>
      </c>
      <c r="F82" s="109">
        <v>0</v>
      </c>
      <c r="G82" s="32">
        <f t="shared" si="6"/>
        <v>0</v>
      </c>
      <c r="H82" s="32">
        <f t="shared" si="6"/>
        <v>0</v>
      </c>
      <c r="I82" s="32">
        <f t="shared" si="6"/>
        <v>0</v>
      </c>
    </row>
    <row r="83" spans="1:10" ht="15.75">
      <c r="A83" s="1215" t="s">
        <v>82</v>
      </c>
      <c r="B83" s="1215"/>
      <c r="C83" s="1215"/>
      <c r="D83" s="108">
        <f>+D81-D82</f>
        <v>2287.6799999999998</v>
      </c>
      <c r="E83" s="108">
        <f>+E81-E82</f>
        <v>2287.6799999999998</v>
      </c>
      <c r="F83" s="107">
        <f>+F81-F82</f>
        <v>0</v>
      </c>
      <c r="G83" s="32">
        <f t="shared" si="6"/>
        <v>1143.8399999999999</v>
      </c>
      <c r="H83" s="32">
        <f t="shared" si="6"/>
        <v>1143.8399999999999</v>
      </c>
      <c r="I83" s="32">
        <f t="shared" si="6"/>
        <v>0</v>
      </c>
    </row>
    <row r="84" spans="1:10">
      <c r="F84" s="67"/>
    </row>
    <row r="85" spans="1:10" ht="15" customHeight="1">
      <c r="A85" s="604"/>
      <c r="B85" s="604"/>
      <c r="C85" s="604"/>
      <c r="D85" s="604"/>
      <c r="E85" s="604"/>
      <c r="F85" s="604"/>
    </row>
    <row r="86" spans="1:10">
      <c r="B86" s="145" t="s">
        <v>101</v>
      </c>
      <c r="C86" s="112"/>
      <c r="D86" s="112"/>
    </row>
    <row r="87" spans="1:10">
      <c r="B87" s="252" t="s">
        <v>322</v>
      </c>
      <c r="C87" s="169" t="s">
        <v>89</v>
      </c>
      <c r="D87" s="169" t="s">
        <v>67</v>
      </c>
    </row>
    <row r="88" spans="1:10">
      <c r="B88" s="430" t="s">
        <v>102</v>
      </c>
      <c r="C88" s="747">
        <v>0</v>
      </c>
      <c r="D88" s="740">
        <f>C88</f>
        <v>0</v>
      </c>
    </row>
    <row r="89" spans="1:10">
      <c r="B89" s="430" t="s">
        <v>102</v>
      </c>
      <c r="C89" s="740">
        <v>0</v>
      </c>
      <c r="D89" s="740">
        <f>+C89</f>
        <v>0</v>
      </c>
    </row>
    <row r="90" spans="1:10">
      <c r="B90" s="719" t="s">
        <v>440</v>
      </c>
      <c r="C90" s="740"/>
      <c r="D90" s="741">
        <f>C90</f>
        <v>0</v>
      </c>
    </row>
    <row r="91" spans="1:10">
      <c r="B91" s="430" t="s">
        <v>102</v>
      </c>
      <c r="C91" s="627"/>
      <c r="D91" s="740">
        <f>+C91</f>
        <v>0</v>
      </c>
    </row>
    <row r="92" spans="1:10">
      <c r="B92" s="252" t="s">
        <v>148</v>
      </c>
      <c r="C92" s="721">
        <f>+SUM(C88:C91)</f>
        <v>0</v>
      </c>
      <c r="D92" s="721">
        <f>+SUM(D88:D91)</f>
        <v>0</v>
      </c>
      <c r="G92" s="1">
        <f>+C92/2</f>
        <v>0</v>
      </c>
    </row>
    <row r="93" spans="1:10">
      <c r="A93" s="40"/>
    </row>
    <row r="96" spans="1:10">
      <c r="A96" s="1264"/>
      <c r="B96" s="1264"/>
      <c r="C96" s="1264"/>
      <c r="D96" s="1264"/>
      <c r="E96" s="936"/>
      <c r="F96" s="936"/>
      <c r="G96" s="1265"/>
      <c r="H96" s="1265"/>
      <c r="I96" s="936"/>
      <c r="J96" s="936"/>
    </row>
    <row r="97" spans="1:10">
      <c r="A97" s="1264"/>
      <c r="B97" s="1264"/>
      <c r="C97" s="1264"/>
      <c r="D97" s="1264"/>
      <c r="E97" s="936"/>
      <c r="F97" s="937"/>
      <c r="G97" s="1263"/>
      <c r="H97" s="1263"/>
      <c r="I97" s="938"/>
      <c r="J97"/>
    </row>
    <row r="98" spans="1:10">
      <c r="A98" s="1264"/>
      <c r="B98" s="1264"/>
      <c r="C98" s="1264"/>
      <c r="D98" s="1264"/>
      <c r="E98" s="936"/>
      <c r="F98" s="937"/>
      <c r="G98" s="1263"/>
      <c r="H98" s="1263"/>
      <c r="I98" s="938"/>
      <c r="J98"/>
    </row>
    <row r="99" spans="1:10">
      <c r="A99" s="1262"/>
      <c r="B99" s="1262"/>
      <c r="C99" s="1262"/>
      <c r="D99" s="1262"/>
      <c r="E99" s="936"/>
      <c r="F99" s="937"/>
      <c r="G99" s="1263"/>
      <c r="H99" s="1263"/>
      <c r="I99" s="938"/>
      <c r="J99"/>
    </row>
    <row r="100" spans="1:10">
      <c r="A100" s="1264"/>
      <c r="B100" s="1264"/>
      <c r="C100" s="1264"/>
      <c r="D100" s="1264"/>
      <c r="E100" s="936"/>
      <c r="F100" s="937"/>
      <c r="G100" s="1263"/>
      <c r="H100" s="1263"/>
      <c r="I100" s="938"/>
      <c r="J100"/>
    </row>
    <row r="102" spans="1:10">
      <c r="A102" s="40"/>
    </row>
  </sheetData>
  <mergeCells count="38">
    <mergeCell ref="A99:D99"/>
    <mergeCell ref="G99:H99"/>
    <mergeCell ref="A100:D100"/>
    <mergeCell ref="G100:H100"/>
    <mergeCell ref="A96:D96"/>
    <mergeCell ref="G96:H96"/>
    <mergeCell ref="A97:D97"/>
    <mergeCell ref="G97:H97"/>
    <mergeCell ref="A98:D98"/>
    <mergeCell ref="G98:H98"/>
    <mergeCell ref="A71:C71"/>
    <mergeCell ref="A74:C74"/>
    <mergeCell ref="A75:C75"/>
    <mergeCell ref="A81:C81"/>
    <mergeCell ref="A82:C82"/>
    <mergeCell ref="A83:C83"/>
    <mergeCell ref="A80:C80"/>
    <mergeCell ref="F78:F79"/>
    <mergeCell ref="E78:E79"/>
    <mergeCell ref="A78:C79"/>
    <mergeCell ref="D78:D79"/>
    <mergeCell ref="A66:F66"/>
    <mergeCell ref="A69:C70"/>
    <mergeCell ref="D69:D70"/>
    <mergeCell ref="E69:E70"/>
    <mergeCell ref="F69:F70"/>
    <mergeCell ref="I7:I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H7:H8"/>
    <mergeCell ref="G7:G8"/>
  </mergeCells>
  <conditionalFormatting sqref="A102">
    <cfRule type="containsText" dxfId="496" priority="5" operator="containsText" text="EXC">
      <formula>NOT(ISERROR(SEARCH("EXC",A102)))</formula>
    </cfRule>
  </conditionalFormatting>
  <conditionalFormatting sqref="A9:B21 I63:XFD93 G81:H93">
    <cfRule type="containsText" dxfId="495" priority="32" operator="containsText" text="LESS COLLECTED">
      <formula>NOT(ISERROR(SEARCH("LESS COLLECTED",A9)))</formula>
    </cfRule>
  </conditionalFormatting>
  <conditionalFormatting sqref="A22:B50">
    <cfRule type="containsText" dxfId="494" priority="46" operator="containsText" text="LESS COLLECTED">
      <formula>NOT(ISERROR(SEARCH("LESS COLLECTED",A22)))</formula>
    </cfRule>
  </conditionalFormatting>
  <conditionalFormatting sqref="A28:B32">
    <cfRule type="containsText" dxfId="493" priority="45" operator="containsText" text="EXCESS COLLECTED">
      <formula>NOT(ISERROR(SEARCH("EXCESS COLLECTED",A28)))</formula>
    </cfRule>
  </conditionalFormatting>
  <conditionalFormatting sqref="A47:B56">
    <cfRule type="containsText" dxfId="492" priority="8" operator="containsText" text="EXCESS COLLECTED">
      <formula>NOT(ISERROR(SEARCH("EXCESS COLLECTED",A47)))</formula>
    </cfRule>
  </conditionalFormatting>
  <conditionalFormatting sqref="A51:B56">
    <cfRule type="containsText" dxfId="491" priority="9" operator="containsText" text="LESS COLLECTED">
      <formula>NOT(ISERROR(SEARCH("LESS COLLECTED",A51)))</formula>
    </cfRule>
  </conditionalFormatting>
  <conditionalFormatting sqref="A57:B61">
    <cfRule type="containsText" dxfId="490" priority="50" operator="containsText" text="LESS COLLECTED">
      <formula>NOT(ISERROR(SEARCH("LESS COLLECTED",A57)))</formula>
    </cfRule>
  </conditionalFormatting>
  <conditionalFormatting sqref="A1:F8 A92:F93 A91:B91 G1:XFD7 J8:XFD8 H75 G76:H79 H80">
    <cfRule type="containsText" dxfId="489" priority="151" operator="containsText" text="LESS COLLECTED">
      <formula>NOT(ISERROR(SEARCH("LESS COLLECTED",A1)))</formula>
    </cfRule>
  </conditionalFormatting>
  <conditionalFormatting sqref="A72:F73">
    <cfRule type="containsText" dxfId="488" priority="14" operator="containsText" text="EXCESS COLLECTED">
      <formula>NOT(ISERROR(SEARCH("EXCESS COLLECTED",A72)))</formula>
    </cfRule>
  </conditionalFormatting>
  <conditionalFormatting sqref="B61">
    <cfRule type="containsText" dxfId="487" priority="49" operator="containsText" text="EXCESS COLLECTED">
      <formula>NOT(ISERROR(SEARCH("EXCESS COLLECTED",B61)))</formula>
    </cfRule>
  </conditionalFormatting>
  <conditionalFormatting sqref="B88:B91 E91:F91">
    <cfRule type="containsText" dxfId="486" priority="66" operator="containsText" text="LESS COLLECTED">
      <formula>NOT(ISERROR(SEARCH("LESS COLLECTED",B88)))</formula>
    </cfRule>
  </conditionalFormatting>
  <conditionalFormatting sqref="B88:B91">
    <cfRule type="containsText" dxfId="485" priority="65" operator="containsText" text="EXCESS COLLECTED">
      <formula>NOT(ISERROR(SEARCH("EXCESS COLLECTED",B88)))</formula>
    </cfRule>
  </conditionalFormatting>
  <conditionalFormatting sqref="C60:C61">
    <cfRule type="containsText" dxfId="484" priority="31" operator="containsText" text="LESS COLLECTED">
      <formula>NOT(ISERROR(SEARCH("LESS COLLECTED",C60)))</formula>
    </cfRule>
  </conditionalFormatting>
  <conditionalFormatting sqref="D7:F8 F58:F59 D69:E70 B86:D86 C87:D87 D88:D90 B92:D92">
    <cfRule type="containsText" dxfId="483" priority="141" operator="containsText" text="EXCESS COLLECTED">
      <formula>NOT(ISERROR(SEARCH("EXCESS COLLECTED",B7)))</formula>
    </cfRule>
  </conditionalFormatting>
  <conditionalFormatting sqref="D7:F28 D52:F61 A66:F71 B86:F86 C87:F87 D88:F90 B92:D92 A85:A90">
    <cfRule type="containsText" dxfId="482" priority="142" operator="containsText" text="LESS COLLECTED">
      <formula>NOT(ISERROR(SEARCH("LESS COLLECTED",A7)))</formula>
    </cfRule>
  </conditionalFormatting>
  <conditionalFormatting sqref="D29:F32">
    <cfRule type="containsText" dxfId="481" priority="43" operator="containsText" text="LESS COLLECTED">
      <formula>NOT(ISERROR(SEARCH("LESS COLLECTED",D29)))</formula>
    </cfRule>
  </conditionalFormatting>
  <conditionalFormatting sqref="D33:F49 F50">
    <cfRule type="containsText" dxfId="480" priority="64" operator="containsText" text="LESS COLLECTED">
      <formula>NOT(ISERROR(SEARCH("LESS COLLECTED",D33)))</formula>
    </cfRule>
  </conditionalFormatting>
  <conditionalFormatting sqref="D48:F49 F50">
    <cfRule type="containsText" dxfId="479" priority="63" operator="containsText" text="EXCESS COLLECTED">
      <formula>NOT(ISERROR(SEARCH("EXCESS COLLECTED",D48)))</formula>
    </cfRule>
  </conditionalFormatting>
  <conditionalFormatting sqref="D51:F51">
    <cfRule type="containsText" dxfId="478" priority="19" operator="containsText" text="LESS COLLECTED">
      <formula>NOT(ISERROR(SEARCH("LESS COLLECTED",D51)))</formula>
    </cfRule>
  </conditionalFormatting>
  <conditionalFormatting sqref="D51:F56">
    <cfRule type="containsText" dxfId="477" priority="18" operator="containsText" text="EXCESS COLLECTED">
      <formula>NOT(ISERROR(SEARCH("EXCESS COLLECTED",D51)))</formula>
    </cfRule>
  </conditionalFormatting>
  <conditionalFormatting sqref="G41">
    <cfRule type="containsText" dxfId="476" priority="3" operator="containsText" text="LESS COLLECTED">
      <formula>NOT(ISERROR(SEARCH("LESS COLLECTED",G41)))</formula>
    </cfRule>
  </conditionalFormatting>
  <conditionalFormatting sqref="G59">
    <cfRule type="containsText" dxfId="475" priority="2" operator="containsText" text="LESS COLLECTED">
      <formula>NOT(ISERROR(SEARCH("LESS COLLECTED",G59)))</formula>
    </cfRule>
  </conditionalFormatting>
  <conditionalFormatting sqref="G65">
    <cfRule type="containsText" dxfId="474" priority="12" operator="containsText" text="EXCESS COLLECTED">
      <formula>NOT(ISERROR(SEARCH("EXCESS COLLECTED",G65)))</formula>
    </cfRule>
  </conditionalFormatting>
  <conditionalFormatting sqref="G63:H73">
    <cfRule type="containsText" dxfId="473" priority="13" operator="containsText" text="LESS COLLECTED">
      <formula>NOT(ISERROR(SEARCH("LESS COLLECTED",G63)))</formula>
    </cfRule>
  </conditionalFormatting>
  <conditionalFormatting sqref="C9:C59">
    <cfRule type="containsText" dxfId="472" priority="1" operator="containsText" text="LESS COLLECTED">
      <formula>NOT(ISERROR(SEARCH("LESS COLLECTED",C9)))</formula>
    </cfRule>
  </conditionalFormatting>
  <pageMargins left="1.155511811" right="0.118110236220472" top="0.25" bottom="0" header="0.31496062992126" footer="0.31496062992126"/>
  <pageSetup paperSize="9" scale="53" orientation="portrait" r:id="rId1"/>
  <ignoredErrors>
    <ignoredError sqref="D49:D51 G62 D89" formula="1"/>
    <ignoredError sqref="A36:A4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F0"/>
  </sheetPr>
  <dimension ref="A1:O98"/>
  <sheetViews>
    <sheetView topLeftCell="A68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51" style="1" customWidth="1"/>
    <col min="3" max="3" width="13.42578125" style="1" customWidth="1"/>
    <col min="4" max="4" width="17.28515625" style="1" bestFit="1" customWidth="1"/>
    <col min="5" max="5" width="16.140625" style="1" bestFit="1" customWidth="1"/>
    <col min="6" max="6" width="11.42578125" style="1" customWidth="1"/>
    <col min="7" max="7" width="19.85546875" style="1" customWidth="1"/>
    <col min="8" max="8" width="23.42578125" style="32" bestFit="1" customWidth="1"/>
    <col min="9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69" t="s">
        <v>88</v>
      </c>
      <c r="B3" s="1269"/>
      <c r="C3" s="1269"/>
      <c r="D3" s="1269"/>
      <c r="E3" s="1269"/>
      <c r="F3" s="1269"/>
    </row>
    <row r="4" spans="1:10" ht="15.75">
      <c r="A4" s="1229" t="s">
        <v>369</v>
      </c>
      <c r="B4" s="1229"/>
      <c r="C4" s="1229"/>
      <c r="D4" s="1229"/>
      <c r="E4" s="1229"/>
      <c r="F4" s="1229"/>
    </row>
    <row r="5" spans="1:10" ht="15.75">
      <c r="A5" s="1228" t="str">
        <f>+ISANPUR!A5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8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8"/>
      <c r="I8" s="1233"/>
    </row>
    <row r="9" spans="1:10" ht="15.75">
      <c r="A9" s="31">
        <v>3303</v>
      </c>
      <c r="B9" s="70" t="s">
        <v>609</v>
      </c>
      <c r="C9" s="16"/>
      <c r="D9" s="4">
        <f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0" ht="15.75">
      <c r="A10" s="31" t="s">
        <v>87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42"/>
      <c r="H10" s="156"/>
      <c r="I10" s="42"/>
    </row>
    <row r="11" spans="1:10" ht="15.75">
      <c r="A11" s="13" t="s">
        <v>60</v>
      </c>
      <c r="B11" s="70" t="s">
        <v>59</v>
      </c>
      <c r="C11" s="16"/>
      <c r="D11" s="4">
        <f>+C11*9%</f>
        <v>0</v>
      </c>
      <c r="E11" s="4">
        <f>+D11</f>
        <v>0</v>
      </c>
      <c r="F11" s="4">
        <f t="shared" ref="F11:F59" si="0">IF(D11&gt;0," ",C11*18%)</f>
        <v>0</v>
      </c>
      <c r="G11" s="42"/>
      <c r="H11" s="156"/>
      <c r="I11" s="42"/>
    </row>
    <row r="12" spans="1:10" ht="15.75">
      <c r="A12" s="14" t="s">
        <v>58</v>
      </c>
      <c r="B12" s="70" t="s">
        <v>57</v>
      </c>
      <c r="C12" s="16"/>
      <c r="D12" s="4">
        <f t="shared" ref="D12:D59" si="1">+C12*9%</f>
        <v>0</v>
      </c>
      <c r="E12" s="4">
        <f t="shared" ref="E12:E59" si="2">+D12</f>
        <v>0</v>
      </c>
      <c r="F12" s="4">
        <f t="shared" si="0"/>
        <v>0</v>
      </c>
      <c r="G12" s="42"/>
      <c r="H12" s="156"/>
      <c r="I12" s="42"/>
    </row>
    <row r="13" spans="1:10" ht="15.75">
      <c r="A13" s="13" t="s">
        <v>56</v>
      </c>
      <c r="B13" s="70" t="s">
        <v>55</v>
      </c>
      <c r="C13" s="16"/>
      <c r="D13" s="4">
        <f t="shared" si="1"/>
        <v>0</v>
      </c>
      <c r="E13" s="4">
        <f t="shared" si="2"/>
        <v>0</v>
      </c>
      <c r="F13" s="4">
        <f t="shared" si="0"/>
        <v>0</v>
      </c>
      <c r="G13" s="42"/>
      <c r="H13" s="156"/>
      <c r="I13" s="42"/>
    </row>
    <row r="14" spans="1:10" ht="15.75">
      <c r="A14" s="13" t="s">
        <v>54</v>
      </c>
      <c r="B14" s="70" t="s">
        <v>53</v>
      </c>
      <c r="C14" s="16"/>
      <c r="D14" s="4">
        <f t="shared" si="1"/>
        <v>0</v>
      </c>
      <c r="E14" s="4">
        <f t="shared" si="2"/>
        <v>0</v>
      </c>
      <c r="F14" s="4">
        <f t="shared" si="0"/>
        <v>0</v>
      </c>
      <c r="G14" s="42">
        <v>0</v>
      </c>
      <c r="H14" s="156"/>
      <c r="I14" s="42"/>
    </row>
    <row r="15" spans="1:10" ht="15.75">
      <c r="A15" s="13" t="s">
        <v>52</v>
      </c>
      <c r="B15" s="70" t="s">
        <v>51</v>
      </c>
      <c r="C15" s="16"/>
      <c r="D15" s="4">
        <f t="shared" si="1"/>
        <v>0</v>
      </c>
      <c r="E15" s="4">
        <f t="shared" si="2"/>
        <v>0</v>
      </c>
      <c r="F15" s="4">
        <f t="shared" si="0"/>
        <v>0</v>
      </c>
      <c r="G15" s="42"/>
      <c r="H15" s="156"/>
      <c r="I15" s="42"/>
    </row>
    <row r="16" spans="1:10" ht="15.75">
      <c r="A16" s="14" t="s">
        <v>50</v>
      </c>
      <c r="B16" s="70" t="s">
        <v>49</v>
      </c>
      <c r="C16" s="16"/>
      <c r="D16" s="4">
        <f t="shared" si="1"/>
        <v>0</v>
      </c>
      <c r="E16" s="4">
        <f t="shared" si="2"/>
        <v>0</v>
      </c>
      <c r="F16" s="4">
        <f t="shared" si="0"/>
        <v>0</v>
      </c>
      <c r="G16" s="42"/>
      <c r="H16" s="156"/>
      <c r="I16" s="42"/>
    </row>
    <row r="17" spans="1:15" ht="15.75">
      <c r="A17" s="14" t="s">
        <v>48</v>
      </c>
      <c r="B17" s="70" t="s">
        <v>47</v>
      </c>
      <c r="C17" s="16"/>
      <c r="D17" s="4">
        <f t="shared" si="1"/>
        <v>0</v>
      </c>
      <c r="E17" s="4">
        <f t="shared" si="2"/>
        <v>0</v>
      </c>
      <c r="F17" s="4">
        <f t="shared" si="0"/>
        <v>0</v>
      </c>
      <c r="G17" s="42"/>
      <c r="H17" s="156"/>
      <c r="I17" s="42"/>
    </row>
    <row r="18" spans="1:15" ht="15.75">
      <c r="A18" s="14" t="s">
        <v>46</v>
      </c>
      <c r="B18" s="70" t="s">
        <v>45</v>
      </c>
      <c r="C18" s="16"/>
      <c r="D18" s="4">
        <f t="shared" si="1"/>
        <v>0</v>
      </c>
      <c r="E18" s="4">
        <f t="shared" si="2"/>
        <v>0</v>
      </c>
      <c r="F18" s="4">
        <f t="shared" si="0"/>
        <v>0</v>
      </c>
      <c r="G18" s="42"/>
      <c r="H18" s="156"/>
      <c r="I18" s="42"/>
    </row>
    <row r="19" spans="1:15" ht="15.75">
      <c r="A19" s="13">
        <v>3270</v>
      </c>
      <c r="B19" s="70" t="s">
        <v>43</v>
      </c>
      <c r="C19" s="16">
        <v>53950</v>
      </c>
      <c r="D19" s="4">
        <f>+C19*9%</f>
        <v>4855.5</v>
      </c>
      <c r="E19" s="4">
        <f t="shared" si="2"/>
        <v>4855.5</v>
      </c>
      <c r="F19" s="4" t="str">
        <f t="shared" si="0"/>
        <v xml:space="preserve"> </v>
      </c>
      <c r="G19" s="42">
        <v>0</v>
      </c>
      <c r="H19" s="156"/>
      <c r="I19" s="42"/>
    </row>
    <row r="20" spans="1:15" ht="15.75">
      <c r="A20" s="13">
        <v>3271</v>
      </c>
      <c r="B20" s="70" t="s">
        <v>533</v>
      </c>
      <c r="C20" s="16"/>
      <c r="D20" s="4">
        <f>+C20*9%</f>
        <v>0</v>
      </c>
      <c r="E20" s="4">
        <f t="shared" si="2"/>
        <v>0</v>
      </c>
      <c r="F20" s="4">
        <f t="shared" si="0"/>
        <v>0</v>
      </c>
      <c r="G20" s="42"/>
      <c r="H20" s="156"/>
      <c r="I20" s="42"/>
    </row>
    <row r="21" spans="1:15" ht="15.75">
      <c r="A21" s="13">
        <v>3274</v>
      </c>
      <c r="B21" s="70" t="s">
        <v>554</v>
      </c>
      <c r="C21" s="16"/>
      <c r="D21" s="4">
        <f>+C21*9%</f>
        <v>0</v>
      </c>
      <c r="E21" s="4">
        <f t="shared" si="2"/>
        <v>0</v>
      </c>
      <c r="F21" s="4">
        <f t="shared" si="0"/>
        <v>0</v>
      </c>
      <c r="G21" s="42"/>
      <c r="H21" s="156"/>
      <c r="I21" s="42"/>
    </row>
    <row r="22" spans="1:15" ht="15.75">
      <c r="A22" s="17" t="s">
        <v>42</v>
      </c>
      <c r="B22" s="70" t="s">
        <v>41</v>
      </c>
      <c r="C22" s="16"/>
      <c r="D22" s="4">
        <f t="shared" si="1"/>
        <v>0</v>
      </c>
      <c r="E22" s="4">
        <f t="shared" si="2"/>
        <v>0</v>
      </c>
      <c r="F22" s="4">
        <f t="shared" si="0"/>
        <v>0</v>
      </c>
      <c r="G22" s="42"/>
      <c r="H22" s="156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6"/>
      <c r="D23" s="4">
        <f t="shared" si="1"/>
        <v>0</v>
      </c>
      <c r="E23" s="4">
        <f t="shared" si="2"/>
        <v>0</v>
      </c>
      <c r="F23" s="4">
        <f t="shared" si="0"/>
        <v>0</v>
      </c>
      <c r="G23" s="42"/>
      <c r="H23" s="156"/>
      <c r="I23" s="42"/>
    </row>
    <row r="24" spans="1:15" ht="15.75">
      <c r="A24" s="14" t="s">
        <v>38</v>
      </c>
      <c r="B24" s="70" t="s">
        <v>37</v>
      </c>
      <c r="C24" s="16"/>
      <c r="D24" s="4">
        <f t="shared" si="1"/>
        <v>0</v>
      </c>
      <c r="E24" s="4">
        <f t="shared" si="2"/>
        <v>0</v>
      </c>
      <c r="F24" s="4">
        <f t="shared" si="0"/>
        <v>0</v>
      </c>
      <c r="G24" s="42"/>
      <c r="H24" s="156"/>
      <c r="I24" s="42"/>
    </row>
    <row r="25" spans="1:15" ht="15.75">
      <c r="A25" s="16" t="s">
        <v>36</v>
      </c>
      <c r="B25" s="70" t="s">
        <v>35</v>
      </c>
      <c r="C25" s="16"/>
      <c r="D25" s="4">
        <f t="shared" si="1"/>
        <v>0</v>
      </c>
      <c r="E25" s="4">
        <f t="shared" si="2"/>
        <v>0</v>
      </c>
      <c r="F25" s="4">
        <f t="shared" si="0"/>
        <v>0</v>
      </c>
      <c r="G25" s="42"/>
      <c r="H25" s="156"/>
      <c r="I25" s="42"/>
    </row>
    <row r="26" spans="1:15" ht="15.75">
      <c r="A26" s="16" t="s">
        <v>34</v>
      </c>
      <c r="B26" s="70" t="s">
        <v>33</v>
      </c>
      <c r="C26" s="16"/>
      <c r="D26" s="4">
        <f t="shared" si="1"/>
        <v>0</v>
      </c>
      <c r="E26" s="4">
        <f t="shared" si="2"/>
        <v>0</v>
      </c>
      <c r="F26" s="4">
        <f t="shared" si="0"/>
        <v>0</v>
      </c>
      <c r="G26" s="42"/>
      <c r="H26" s="156"/>
      <c r="I26" s="42"/>
    </row>
    <row r="27" spans="1:15" ht="15.75">
      <c r="A27" s="16" t="s">
        <v>32</v>
      </c>
      <c r="B27" s="70" t="s">
        <v>31</v>
      </c>
      <c r="C27" s="16"/>
      <c r="D27" s="4">
        <f t="shared" si="1"/>
        <v>0</v>
      </c>
      <c r="E27" s="4">
        <f t="shared" si="2"/>
        <v>0</v>
      </c>
      <c r="F27" s="4">
        <f t="shared" si="0"/>
        <v>0</v>
      </c>
      <c r="G27" s="42"/>
      <c r="H27" s="156"/>
      <c r="I27" s="42"/>
    </row>
    <row r="28" spans="1:15" ht="15.75">
      <c r="A28" s="137">
        <v>3291</v>
      </c>
      <c r="B28" s="33" t="s">
        <v>325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42"/>
      <c r="H28" s="156"/>
      <c r="I28" s="42"/>
    </row>
    <row r="29" spans="1:15" ht="15.75">
      <c r="A29" s="137" t="s">
        <v>526</v>
      </c>
      <c r="B29" s="33" t="s">
        <v>523</v>
      </c>
      <c r="C29" s="16">
        <v>672.5</v>
      </c>
      <c r="D29" s="4">
        <f>+C29*9%</f>
        <v>60.524999999999999</v>
      </c>
      <c r="E29" s="4">
        <f>+D29</f>
        <v>60.524999999999999</v>
      </c>
      <c r="F29" s="4" t="str">
        <f>IF(D29&gt;0," ",C29*18%)</f>
        <v xml:space="preserve"> </v>
      </c>
      <c r="G29" s="42"/>
      <c r="H29" s="156"/>
      <c r="I29" s="42"/>
    </row>
    <row r="30" spans="1:15" ht="15.75">
      <c r="A30" s="137" t="s">
        <v>527</v>
      </c>
      <c r="B30" s="33" t="s">
        <v>524</v>
      </c>
      <c r="C30" s="16">
        <v>4560</v>
      </c>
      <c r="D30" s="4">
        <f>+C30*9%</f>
        <v>410.4</v>
      </c>
      <c r="E30" s="4">
        <f>+D30</f>
        <v>410.4</v>
      </c>
      <c r="F30" s="4" t="str">
        <f>IF(D30&gt;0," ",C30*18%)</f>
        <v xml:space="preserve"> </v>
      </c>
      <c r="G30" s="42"/>
      <c r="H30" s="156"/>
      <c r="I30" s="42"/>
    </row>
    <row r="31" spans="1:15" ht="15.75">
      <c r="A31" s="137" t="s">
        <v>528</v>
      </c>
      <c r="B31" s="33" t="s">
        <v>529</v>
      </c>
      <c r="C31" s="16">
        <v>450</v>
      </c>
      <c r="D31" s="4">
        <f>+C31*9%</f>
        <v>40.5</v>
      </c>
      <c r="E31" s="4">
        <f>+D31</f>
        <v>40.5</v>
      </c>
      <c r="F31" s="4" t="str">
        <f>IF(D31&gt;0," ",C31*18%)</f>
        <v xml:space="preserve"> </v>
      </c>
      <c r="G31" s="42"/>
      <c r="H31" s="156"/>
      <c r="I31" s="42"/>
    </row>
    <row r="32" spans="1:15" ht="15.75">
      <c r="A32" s="137" t="s">
        <v>531</v>
      </c>
      <c r="B32" s="33" t="s">
        <v>532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/>
      <c r="H32" s="156"/>
      <c r="I32" s="42"/>
    </row>
    <row r="33" spans="1:12" ht="15.75">
      <c r="A33" s="13" t="s">
        <v>30</v>
      </c>
      <c r="B33" s="70" t="s">
        <v>29</v>
      </c>
      <c r="C33" s="16">
        <v>104016.4</v>
      </c>
      <c r="D33" s="4">
        <f t="shared" si="1"/>
        <v>9361.4759999999987</v>
      </c>
      <c r="E33" s="4">
        <f t="shared" si="2"/>
        <v>9361.4759999999987</v>
      </c>
      <c r="F33" s="4" t="str">
        <f t="shared" si="0"/>
        <v xml:space="preserve"> </v>
      </c>
      <c r="G33" s="42">
        <v>0</v>
      </c>
      <c r="H33" s="156"/>
      <c r="I33" s="42"/>
    </row>
    <row r="34" spans="1:12" ht="15.75">
      <c r="A34" s="13">
        <v>3301</v>
      </c>
      <c r="B34" s="70" t="s">
        <v>154</v>
      </c>
      <c r="C34" s="16"/>
      <c r="D34" s="4">
        <f>+C34*9%</f>
        <v>0</v>
      </c>
      <c r="E34" s="4">
        <f t="shared" si="2"/>
        <v>0</v>
      </c>
      <c r="F34" s="4">
        <f>IF(D34&gt;0," ",C34*18%)</f>
        <v>0</v>
      </c>
      <c r="G34" s="42"/>
      <c r="H34" s="156"/>
      <c r="I34" s="42"/>
    </row>
    <row r="35" spans="1:12" ht="15.75">
      <c r="A35" s="13">
        <v>3302</v>
      </c>
      <c r="B35" s="70" t="s">
        <v>525</v>
      </c>
      <c r="C35" s="16"/>
      <c r="D35" s="4">
        <f t="shared" si="1"/>
        <v>0</v>
      </c>
      <c r="E35" s="4">
        <f t="shared" si="2"/>
        <v>0</v>
      </c>
      <c r="F35" s="4">
        <f t="shared" si="0"/>
        <v>0</v>
      </c>
      <c r="G35" s="42"/>
      <c r="H35" s="156"/>
      <c r="I35" s="42"/>
    </row>
    <row r="36" spans="1:12" ht="15.75">
      <c r="A36" s="14" t="s">
        <v>28</v>
      </c>
      <c r="B36" s="70" t="s">
        <v>27</v>
      </c>
      <c r="C36" s="16"/>
      <c r="D36" s="4">
        <f>+C36*9%</f>
        <v>0</v>
      </c>
      <c r="E36" s="4">
        <f t="shared" si="2"/>
        <v>0</v>
      </c>
      <c r="F36" s="4">
        <f>IF(D36&gt;0," ",C36*18%)</f>
        <v>0</v>
      </c>
      <c r="G36" s="42"/>
      <c r="H36" s="156"/>
      <c r="I36" s="42"/>
      <c r="J36" s="1" t="s">
        <v>5</v>
      </c>
    </row>
    <row r="37" spans="1:12" ht="21">
      <c r="A37" s="16" t="s">
        <v>114</v>
      </c>
      <c r="B37" s="70" t="s">
        <v>115</v>
      </c>
      <c r="C37" s="16"/>
      <c r="D37" s="4">
        <f t="shared" si="1"/>
        <v>0</v>
      </c>
      <c r="E37" s="4">
        <f t="shared" si="2"/>
        <v>0</v>
      </c>
      <c r="F37" s="4">
        <f t="shared" si="0"/>
        <v>0</v>
      </c>
      <c r="G37" s="42"/>
      <c r="H37" s="156"/>
      <c r="I37" s="42"/>
      <c r="J37" s="1266" t="s">
        <v>5</v>
      </c>
      <c r="K37" s="1267"/>
      <c r="L37" s="1267"/>
    </row>
    <row r="38" spans="1:12" ht="15.75">
      <c r="A38" s="13" t="s">
        <v>26</v>
      </c>
      <c r="B38" s="70" t="s">
        <v>25</v>
      </c>
      <c r="C38" s="16">
        <v>650</v>
      </c>
      <c r="D38" s="4">
        <f t="shared" si="1"/>
        <v>58.5</v>
      </c>
      <c r="E38" s="4">
        <f t="shared" si="2"/>
        <v>58.5</v>
      </c>
      <c r="F38" s="4" t="str">
        <f t="shared" si="0"/>
        <v xml:space="preserve"> </v>
      </c>
      <c r="G38" s="42"/>
      <c r="H38" s="156"/>
      <c r="I38" s="42"/>
      <c r="J38" s="1">
        <f>+C39-J39</f>
        <v>200</v>
      </c>
    </row>
    <row r="39" spans="1:12" ht="15.75">
      <c r="A39" s="13" t="s">
        <v>24</v>
      </c>
      <c r="B39" s="70" t="s">
        <v>23</v>
      </c>
      <c r="C39" s="16">
        <v>7350</v>
      </c>
      <c r="D39" s="4">
        <f t="shared" si="1"/>
        <v>661.5</v>
      </c>
      <c r="E39" s="4">
        <f t="shared" si="2"/>
        <v>661.5</v>
      </c>
      <c r="F39" s="4" t="str">
        <f t="shared" si="0"/>
        <v xml:space="preserve"> </v>
      </c>
      <c r="G39" s="42"/>
      <c r="H39" s="156"/>
      <c r="I39" s="42"/>
      <c r="J39" s="1">
        <v>7150</v>
      </c>
    </row>
    <row r="40" spans="1:12" ht="15.75">
      <c r="A40" s="13" t="s">
        <v>22</v>
      </c>
      <c r="B40" s="70" t="s">
        <v>21</v>
      </c>
      <c r="C40" s="16">
        <v>5750</v>
      </c>
      <c r="D40" s="4">
        <f t="shared" si="1"/>
        <v>517.5</v>
      </c>
      <c r="E40" s="4">
        <f t="shared" si="2"/>
        <v>517.5</v>
      </c>
      <c r="F40" s="4" t="str">
        <f t="shared" si="0"/>
        <v xml:space="preserve"> </v>
      </c>
      <c r="G40" s="42">
        <v>0</v>
      </c>
      <c r="H40" s="156"/>
      <c r="I40" s="42"/>
    </row>
    <row r="41" spans="1:12" ht="15.75">
      <c r="A41" s="13" t="s">
        <v>20</v>
      </c>
      <c r="B41" s="70" t="s">
        <v>19</v>
      </c>
      <c r="C41" s="16">
        <v>3450</v>
      </c>
      <c r="D41" s="4">
        <f t="shared" si="1"/>
        <v>310.5</v>
      </c>
      <c r="E41" s="4">
        <f t="shared" si="2"/>
        <v>310.5</v>
      </c>
      <c r="F41" s="4" t="str">
        <f t="shared" si="0"/>
        <v xml:space="preserve"> </v>
      </c>
      <c r="G41" s="42">
        <v>0</v>
      </c>
      <c r="H41" s="156">
        <v>0</v>
      </c>
      <c r="I41" s="42"/>
    </row>
    <row r="42" spans="1:12" ht="15.75">
      <c r="A42" s="14" t="s">
        <v>18</v>
      </c>
      <c r="B42" s="70" t="s">
        <v>17</v>
      </c>
      <c r="C42" s="16">
        <v>5340</v>
      </c>
      <c r="D42" s="4">
        <f t="shared" si="1"/>
        <v>480.59999999999997</v>
      </c>
      <c r="E42" s="4">
        <f t="shared" si="2"/>
        <v>480.59999999999997</v>
      </c>
      <c r="F42" s="4" t="str">
        <f t="shared" si="0"/>
        <v xml:space="preserve"> </v>
      </c>
      <c r="G42" s="42"/>
      <c r="H42" s="156"/>
      <c r="I42" s="42"/>
    </row>
    <row r="43" spans="1:12" ht="15.75">
      <c r="A43" s="14" t="s">
        <v>16</v>
      </c>
      <c r="B43" s="70" t="s">
        <v>15</v>
      </c>
      <c r="C43" s="16">
        <v>1050</v>
      </c>
      <c r="D43" s="4">
        <f t="shared" si="1"/>
        <v>94.5</v>
      </c>
      <c r="E43" s="4">
        <f t="shared" si="2"/>
        <v>94.5</v>
      </c>
      <c r="F43" s="4" t="str">
        <f t="shared" si="0"/>
        <v xml:space="preserve"> </v>
      </c>
      <c r="G43" s="42"/>
      <c r="H43" s="156"/>
      <c r="I43" s="42"/>
    </row>
    <row r="44" spans="1:12" ht="15.75">
      <c r="A44" s="14" t="s">
        <v>14</v>
      </c>
      <c r="B44" s="70" t="s">
        <v>13</v>
      </c>
      <c r="C44" s="16">
        <v>1663</v>
      </c>
      <c r="D44" s="4">
        <f>+C44*9%</f>
        <v>149.66999999999999</v>
      </c>
      <c r="E44" s="4">
        <f t="shared" si="2"/>
        <v>149.66999999999999</v>
      </c>
      <c r="F44" s="4" t="str">
        <f t="shared" si="0"/>
        <v xml:space="preserve"> </v>
      </c>
      <c r="G44" s="42"/>
      <c r="H44" s="156">
        <v>0</v>
      </c>
      <c r="I44" s="42"/>
    </row>
    <row r="45" spans="1:12" ht="15.75">
      <c r="A45" s="669">
        <v>3317</v>
      </c>
      <c r="B45" s="70" t="s">
        <v>286</v>
      </c>
      <c r="C45" s="16"/>
      <c r="D45" s="4">
        <f t="shared" si="1"/>
        <v>0</v>
      </c>
      <c r="E45" s="4">
        <f t="shared" si="2"/>
        <v>0</v>
      </c>
      <c r="F45" s="4">
        <f t="shared" si="0"/>
        <v>0</v>
      </c>
      <c r="G45" s="42"/>
      <c r="H45" s="156"/>
      <c r="I45" s="42"/>
    </row>
    <row r="46" spans="1:12" ht="15.75">
      <c r="A46" s="14" t="s">
        <v>12</v>
      </c>
      <c r="B46" s="70" t="s">
        <v>11</v>
      </c>
      <c r="C46" s="16"/>
      <c r="D46" s="4">
        <f t="shared" si="1"/>
        <v>0</v>
      </c>
      <c r="E46" s="4">
        <f t="shared" si="2"/>
        <v>0</v>
      </c>
      <c r="F46" s="4">
        <f t="shared" si="0"/>
        <v>0</v>
      </c>
      <c r="G46" s="42"/>
      <c r="H46" s="156"/>
      <c r="I46" s="42"/>
    </row>
    <row r="47" spans="1:12" ht="15.75">
      <c r="A47" s="14">
        <v>3320</v>
      </c>
      <c r="B47" s="70" t="s">
        <v>290</v>
      </c>
      <c r="C47" s="16">
        <f>921309-921309</f>
        <v>0</v>
      </c>
      <c r="D47" s="4">
        <f t="shared" si="1"/>
        <v>0</v>
      </c>
      <c r="E47" s="4">
        <f t="shared" si="2"/>
        <v>0</v>
      </c>
      <c r="F47" s="4">
        <v>0</v>
      </c>
      <c r="G47" s="42"/>
      <c r="H47" s="156"/>
      <c r="I47" s="42"/>
    </row>
    <row r="48" spans="1:12" ht="15.75">
      <c r="A48" s="14">
        <v>3321</v>
      </c>
      <c r="B48" s="70" t="s">
        <v>156</v>
      </c>
      <c r="C48" s="16"/>
      <c r="D48" s="4">
        <f t="shared" si="1"/>
        <v>0</v>
      </c>
      <c r="E48" s="4">
        <f t="shared" si="2"/>
        <v>0</v>
      </c>
      <c r="F48" s="4">
        <f t="shared" si="0"/>
        <v>0</v>
      </c>
      <c r="G48" s="42">
        <v>0</v>
      </c>
      <c r="H48" s="156"/>
      <c r="I48" s="42"/>
    </row>
    <row r="49" spans="1:9" ht="15.75">
      <c r="A49" s="14">
        <v>3322</v>
      </c>
      <c r="B49" s="70" t="s">
        <v>335</v>
      </c>
      <c r="C49" s="16"/>
      <c r="D49" s="4">
        <f>+C49*2.5%</f>
        <v>0</v>
      </c>
      <c r="E49" s="4">
        <f t="shared" ref="E49:E54" si="3">+D49</f>
        <v>0</v>
      </c>
      <c r="F49" s="4"/>
      <c r="G49" s="42"/>
      <c r="H49" s="156"/>
      <c r="I49" s="42"/>
    </row>
    <row r="50" spans="1:9" ht="15.75">
      <c r="A50" s="14">
        <v>3324</v>
      </c>
      <c r="B50" s="70" t="s">
        <v>438</v>
      </c>
      <c r="C50" s="16">
        <v>1085</v>
      </c>
      <c r="D50" s="367">
        <f>C50*9%</f>
        <v>97.649999999999991</v>
      </c>
      <c r="E50" s="155">
        <f t="shared" si="3"/>
        <v>97.649999999999991</v>
      </c>
      <c r="F50" s="57">
        <v>0</v>
      </c>
      <c r="G50" s="42"/>
      <c r="H50" s="156"/>
      <c r="I50" s="42"/>
    </row>
    <row r="51" spans="1:9" ht="15.75">
      <c r="A51" s="161">
        <v>3325</v>
      </c>
      <c r="B51" s="70" t="s">
        <v>606</v>
      </c>
      <c r="C51" s="16"/>
      <c r="D51" s="4">
        <f>+C51*2.5%</f>
        <v>0</v>
      </c>
      <c r="E51" s="4">
        <f t="shared" si="3"/>
        <v>0</v>
      </c>
      <c r="F51" s="4">
        <f>IF(D51&gt;0," ",C51*18%)</f>
        <v>0</v>
      </c>
      <c r="G51" s="42"/>
      <c r="H51" s="156"/>
      <c r="I51" s="42"/>
    </row>
    <row r="52" spans="1:9" ht="15.75">
      <c r="A52" s="14">
        <v>3391</v>
      </c>
      <c r="B52" s="70" t="s">
        <v>300</v>
      </c>
      <c r="C52" s="16">
        <v>16917.5</v>
      </c>
      <c r="D52" s="4">
        <f>+C52*9%</f>
        <v>1522.575</v>
      </c>
      <c r="E52" s="4">
        <f t="shared" si="3"/>
        <v>1522.575</v>
      </c>
      <c r="F52" s="4" t="str">
        <f>IF(D52&gt;0," ",C52*18%)</f>
        <v xml:space="preserve"> </v>
      </c>
      <c r="G52" s="42"/>
      <c r="H52" s="156"/>
      <c r="I52" s="42"/>
    </row>
    <row r="53" spans="1:9" ht="15.75">
      <c r="A53" s="14">
        <v>3359</v>
      </c>
      <c r="B53" s="1168" t="s">
        <v>683</v>
      </c>
      <c r="C53" s="16"/>
      <c r="D53" s="4">
        <f>+C53*9%</f>
        <v>0</v>
      </c>
      <c r="E53" s="4">
        <f t="shared" si="3"/>
        <v>0</v>
      </c>
      <c r="F53" s="4"/>
      <c r="G53" s="42"/>
      <c r="H53" s="156"/>
      <c r="I53" s="42"/>
    </row>
    <row r="54" spans="1:9" ht="15.75">
      <c r="A54" s="14">
        <v>3825</v>
      </c>
      <c r="B54" s="70" t="s">
        <v>646</v>
      </c>
      <c r="C54" s="16"/>
      <c r="D54" s="4">
        <f>+C54*9%</f>
        <v>0</v>
      </c>
      <c r="E54" s="4">
        <f t="shared" si="3"/>
        <v>0</v>
      </c>
      <c r="F54" s="4"/>
      <c r="G54" s="42"/>
      <c r="H54" s="156"/>
      <c r="I54" s="42"/>
    </row>
    <row r="55" spans="1:9" ht="15.75">
      <c r="A55" s="14">
        <v>3362</v>
      </c>
      <c r="B55" s="70" t="s">
        <v>739</v>
      </c>
      <c r="C55" s="16"/>
      <c r="D55" s="4"/>
      <c r="E55" s="4"/>
      <c r="F55" s="4"/>
      <c r="G55" s="42"/>
      <c r="H55" s="156"/>
      <c r="I55" s="42"/>
    </row>
    <row r="56" spans="1:9" ht="15.75">
      <c r="A56" s="14">
        <v>3340</v>
      </c>
      <c r="B56" s="70" t="s">
        <v>785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9" ht="15.75">
      <c r="A57" s="15" t="s">
        <v>10</v>
      </c>
      <c r="B57" s="70"/>
      <c r="C57" s="16"/>
      <c r="D57" s="4"/>
      <c r="E57" s="4"/>
      <c r="F57" s="4"/>
      <c r="G57" s="42"/>
      <c r="H57" s="156"/>
      <c r="I57" s="42"/>
    </row>
    <row r="58" spans="1:9" ht="15.75">
      <c r="A58" s="14" t="s">
        <v>9</v>
      </c>
      <c r="B58" s="70" t="s">
        <v>8</v>
      </c>
      <c r="C58" s="16"/>
      <c r="D58" s="4">
        <f t="shared" si="1"/>
        <v>0</v>
      </c>
      <c r="E58" s="4">
        <f t="shared" si="2"/>
        <v>0</v>
      </c>
      <c r="F58" s="4">
        <f t="shared" si="0"/>
        <v>0</v>
      </c>
      <c r="G58" s="42">
        <v>0</v>
      </c>
      <c r="H58" s="156"/>
      <c r="I58" s="42"/>
    </row>
    <row r="59" spans="1:9" ht="15.75">
      <c r="A59" s="13" t="s">
        <v>7</v>
      </c>
      <c r="B59" s="70" t="s">
        <v>6</v>
      </c>
      <c r="C59" s="16">
        <f>190750-10643</f>
        <v>180107</v>
      </c>
      <c r="D59" s="4">
        <f t="shared" si="1"/>
        <v>16209.63</v>
      </c>
      <c r="E59" s="4">
        <f t="shared" si="2"/>
        <v>16209.63</v>
      </c>
      <c r="F59" s="4" t="str">
        <f t="shared" si="0"/>
        <v xml:space="preserve"> </v>
      </c>
      <c r="G59" s="42">
        <v>10643</v>
      </c>
      <c r="H59" s="156">
        <v>0</v>
      </c>
      <c r="I59" s="42"/>
    </row>
    <row r="60" spans="1:9" ht="15.75">
      <c r="A60" s="5" t="s">
        <v>5</v>
      </c>
      <c r="B60" s="70" t="s">
        <v>4</v>
      </c>
      <c r="C60" s="16"/>
      <c r="D60" s="4"/>
      <c r="E60" s="4"/>
      <c r="F60" s="4"/>
      <c r="G60" s="42"/>
      <c r="H60" s="156"/>
      <c r="I60" s="42"/>
    </row>
    <row r="61" spans="1:9" ht="15.75">
      <c r="A61" s="434"/>
      <c r="B61" s="432" t="s">
        <v>465</v>
      </c>
      <c r="C61" s="16">
        <v>0</v>
      </c>
      <c r="D61" s="433"/>
      <c r="E61" s="433"/>
      <c r="F61" s="433"/>
      <c r="G61" s="42"/>
      <c r="H61" s="156"/>
      <c r="I61" s="42"/>
    </row>
    <row r="62" spans="1:9" ht="16.5" thickBot="1">
      <c r="A62" s="12"/>
      <c r="B62" s="11" t="s">
        <v>3</v>
      </c>
      <c r="C62" s="10">
        <f>SUM(C9:C61)</f>
        <v>387011.4</v>
      </c>
      <c r="D62" s="10">
        <f>SUM(D9:D61)</f>
        <v>34831.025999999998</v>
      </c>
      <c r="E62" s="10">
        <f>SUM(E9:E61)</f>
        <v>34831.025999999998</v>
      </c>
      <c r="F62" s="10">
        <f>SUM(F9:F61)</f>
        <v>0</v>
      </c>
      <c r="G62" s="10">
        <f>+SUM(G9:G61)</f>
        <v>10643</v>
      </c>
      <c r="H62" s="10">
        <f>SUM(H9:H59)</f>
        <v>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/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8" ht="15.75">
      <c r="A65" s="5" t="s">
        <v>359</v>
      </c>
      <c r="B65" s="43" t="s">
        <v>360</v>
      </c>
      <c r="C65" s="25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34831.025999999998</v>
      </c>
    </row>
    <row r="66" spans="1:8" ht="15.75">
      <c r="A66" s="1228" t="s">
        <v>75</v>
      </c>
      <c r="B66" s="1228"/>
      <c r="C66" s="1228"/>
      <c r="D66" s="1228"/>
      <c r="E66" s="1228"/>
      <c r="F66" s="1228"/>
    </row>
    <row r="67" spans="1:8" ht="15.75">
      <c r="A67" s="28"/>
      <c r="B67" s="28"/>
      <c r="C67" s="28"/>
      <c r="D67" s="28"/>
      <c r="E67" s="28"/>
      <c r="F67" s="28"/>
      <c r="G67" s="207"/>
    </row>
    <row r="68" spans="1:8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8" ht="15" customHeight="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8">
      <c r="A70" s="1247"/>
      <c r="B70" s="1248"/>
      <c r="C70" s="1249"/>
      <c r="D70" s="1236"/>
      <c r="E70" s="1236"/>
      <c r="F70" s="1232"/>
    </row>
    <row r="71" spans="1:8" ht="15.75">
      <c r="A71" s="1241" t="s">
        <v>80</v>
      </c>
      <c r="B71" s="1242"/>
      <c r="C71" s="1243"/>
      <c r="D71" s="105">
        <f>+D62</f>
        <v>34831.025999999998</v>
      </c>
      <c r="E71" s="105">
        <f>+E62</f>
        <v>34831.025999999998</v>
      </c>
      <c r="F71" s="105">
        <f>+F62</f>
        <v>0</v>
      </c>
    </row>
    <row r="72" spans="1:8" ht="15.75">
      <c r="A72" s="43" t="s">
        <v>103</v>
      </c>
      <c r="B72" s="43"/>
      <c r="C72" s="43">
        <f>G62</f>
        <v>10643</v>
      </c>
      <c r="D72" s="106">
        <f>+C72*0.09</f>
        <v>957.87</v>
      </c>
      <c r="E72" s="106">
        <f>+C72*0.09</f>
        <v>957.87</v>
      </c>
      <c r="F72" s="105">
        <v>0</v>
      </c>
    </row>
    <row r="73" spans="1:8" ht="15.75">
      <c r="A73" s="43"/>
      <c r="B73" s="43"/>
      <c r="C73" s="43"/>
      <c r="D73" s="105">
        <f>+D71+D72</f>
        <v>35788.896000000001</v>
      </c>
      <c r="E73" s="105">
        <f>+E71+E72</f>
        <v>35788.896000000001</v>
      </c>
      <c r="F73" s="105">
        <v>0</v>
      </c>
    </row>
    <row r="74" spans="1:8" ht="15.75">
      <c r="A74" s="1241" t="s">
        <v>104</v>
      </c>
      <c r="B74" s="1242"/>
      <c r="C74" s="1243"/>
      <c r="D74" s="108">
        <v>37918.81</v>
      </c>
      <c r="E74" s="108">
        <f>+D74</f>
        <v>37918.81</v>
      </c>
      <c r="F74" s="108">
        <v>0</v>
      </c>
    </row>
    <row r="75" spans="1:8" ht="15.75">
      <c r="A75" s="1250" t="s">
        <v>79</v>
      </c>
      <c r="B75" s="1251"/>
      <c r="C75" s="1252"/>
      <c r="D75" s="108">
        <f>+D73-D74</f>
        <v>-2129.913999999997</v>
      </c>
      <c r="E75" s="108">
        <f>+E73-E74</f>
        <v>-2129.913999999997</v>
      </c>
      <c r="F75" s="108">
        <f>IF(F71&gt;F74,F71,F74)</f>
        <v>0</v>
      </c>
      <c r="G75" s="1">
        <f>-D75/9*100</f>
        <v>23665.711111111079</v>
      </c>
      <c r="H75" s="32">
        <f>+G75*9%</f>
        <v>2129.913999999997</v>
      </c>
    </row>
    <row r="76" spans="1:8" ht="15.75">
      <c r="A76" s="3"/>
      <c r="B76" s="2"/>
      <c r="C76" s="3"/>
      <c r="D76" s="3"/>
      <c r="E76" s="3"/>
      <c r="F76" s="3"/>
    </row>
    <row r="77" spans="1:8" ht="15.75">
      <c r="A77" s="27" t="s">
        <v>77</v>
      </c>
      <c r="B77" s="2"/>
      <c r="C77" s="3"/>
      <c r="D77" s="3"/>
      <c r="E77" s="3"/>
      <c r="F77" s="3"/>
    </row>
    <row r="78" spans="1:8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8">
      <c r="A79" s="1221"/>
      <c r="B79" s="1222"/>
      <c r="C79" s="1223"/>
      <c r="D79" s="1254" t="s">
        <v>67</v>
      </c>
      <c r="E79" s="1235"/>
      <c r="F79" s="1235"/>
    </row>
    <row r="80" spans="1:8">
      <c r="A80" s="1225"/>
      <c r="B80" s="1226"/>
      <c r="C80" s="1227"/>
      <c r="D80" s="42"/>
      <c r="E80" s="42"/>
      <c r="F80" s="42"/>
    </row>
    <row r="81" spans="1:10" ht="15.75">
      <c r="A81" s="1216" t="s">
        <v>69</v>
      </c>
      <c r="B81" s="1216"/>
      <c r="C81" s="1216"/>
      <c r="D81" s="108">
        <v>5841</v>
      </c>
      <c r="E81" s="108">
        <f>+D81</f>
        <v>5841</v>
      </c>
      <c r="F81" s="58">
        <v>0</v>
      </c>
      <c r="G81" s="32">
        <f t="shared" ref="G81:I83" si="4">+D81/2</f>
        <v>2920.5</v>
      </c>
      <c r="H81" s="32">
        <f t="shared" si="4"/>
        <v>2920.5</v>
      </c>
      <c r="I81" s="32">
        <f t="shared" si="4"/>
        <v>0</v>
      </c>
      <c r="J81" s="32"/>
    </row>
    <row r="82" spans="1:10" ht="15.75">
      <c r="A82" s="1224" t="s">
        <v>83</v>
      </c>
      <c r="B82" s="1224"/>
      <c r="C82" s="1224"/>
      <c r="D82" s="105">
        <f>+C91</f>
        <v>0</v>
      </c>
      <c r="E82" s="105">
        <f>+D91</f>
        <v>0</v>
      </c>
      <c r="F82" s="56">
        <f>+E91</f>
        <v>0</v>
      </c>
      <c r="G82" s="32">
        <f t="shared" si="4"/>
        <v>0</v>
      </c>
      <c r="H82" s="32">
        <f t="shared" si="4"/>
        <v>0</v>
      </c>
      <c r="I82" s="32">
        <f t="shared" si="4"/>
        <v>0</v>
      </c>
      <c r="J82" s="32"/>
    </row>
    <row r="83" spans="1:10" ht="15.75">
      <c r="A83" s="1215" t="s">
        <v>82</v>
      </c>
      <c r="B83" s="1215"/>
      <c r="C83" s="1215"/>
      <c r="D83" s="105">
        <f>+D81-D82</f>
        <v>5841</v>
      </c>
      <c r="E83" s="105">
        <f>+E81-E82</f>
        <v>5841</v>
      </c>
      <c r="F83" s="56">
        <f>+F81-F82</f>
        <v>0</v>
      </c>
      <c r="G83" s="32">
        <f t="shared" si="4"/>
        <v>2920.5</v>
      </c>
      <c r="H83" s="32">
        <f t="shared" si="4"/>
        <v>2920.5</v>
      </c>
      <c r="I83" s="32">
        <f t="shared" si="4"/>
        <v>0</v>
      </c>
      <c r="J83" s="32"/>
    </row>
    <row r="84" spans="1:10">
      <c r="A84" s="420"/>
      <c r="B84" s="420"/>
      <c r="C84" s="420"/>
      <c r="D84" s="420"/>
      <c r="E84" s="420"/>
      <c r="F84" s="420"/>
    </row>
    <row r="85" spans="1:10">
      <c r="A85" s="402"/>
      <c r="B85" s="402"/>
      <c r="C85" s="402"/>
      <c r="D85" s="402"/>
      <c r="E85" s="402"/>
      <c r="F85" s="402"/>
      <c r="G85" s="147"/>
    </row>
    <row r="86" spans="1:10" ht="15.75">
      <c r="B86" s="172" t="s">
        <v>390</v>
      </c>
      <c r="C86" s="173"/>
      <c r="D86" s="173"/>
      <c r="E86" s="173"/>
      <c r="F86" s="136"/>
    </row>
    <row r="87" spans="1:10">
      <c r="B87" s="419" t="s">
        <v>322</v>
      </c>
      <c r="C87" s="165" t="s">
        <v>155</v>
      </c>
      <c r="D87" s="165" t="s">
        <v>67</v>
      </c>
      <c r="E87" s="365" t="s">
        <v>68</v>
      </c>
    </row>
    <row r="88" spans="1:10">
      <c r="B88" s="484" t="s">
        <v>102</v>
      </c>
      <c r="C88" s="42">
        <v>0</v>
      </c>
      <c r="D88" s="42">
        <f>+C88</f>
        <v>0</v>
      </c>
      <c r="E88" s="42"/>
    </row>
    <row r="89" spans="1:10">
      <c r="B89" s="42" t="s">
        <v>440</v>
      </c>
      <c r="C89">
        <v>0</v>
      </c>
      <c r="D89" s="42">
        <f>+C89</f>
        <v>0</v>
      </c>
      <c r="E89" s="42"/>
    </row>
    <row r="90" spans="1:10">
      <c r="B90" s="482"/>
      <c r="C90" s="483"/>
      <c r="D90" s="483"/>
      <c r="E90" s="483"/>
    </row>
    <row r="91" spans="1:10">
      <c r="B91" s="477" t="s">
        <v>135</v>
      </c>
      <c r="C91" s="169">
        <f>SUM(C88:C90)</f>
        <v>0</v>
      </c>
      <c r="D91" s="169">
        <f>SUM(D88:D90)</f>
        <v>0</v>
      </c>
      <c r="E91" s="170">
        <f>SUM(E90:E90)</f>
        <v>0</v>
      </c>
    </row>
    <row r="92" spans="1:10">
      <c r="B92" s="1074"/>
      <c r="C92" s="1075"/>
      <c r="D92" s="1075"/>
      <c r="E92" s="1076"/>
    </row>
    <row r="93" spans="1:10" ht="15.75" thickBot="1">
      <c r="C93" s="110"/>
      <c r="D93" s="110"/>
    </row>
    <row r="94" spans="1:10">
      <c r="A94" s="1270" t="s">
        <v>942</v>
      </c>
      <c r="B94" s="1271"/>
      <c r="C94" s="1271"/>
      <c r="D94" s="1271"/>
      <c r="E94" s="1271"/>
      <c r="F94" s="1272"/>
    </row>
    <row r="95" spans="1:10" ht="15.75" thickBot="1">
      <c r="A95" s="1273"/>
      <c r="B95" s="1274"/>
      <c r="C95" s="1274"/>
      <c r="D95" s="1274"/>
      <c r="E95" s="1274"/>
      <c r="F95" s="1275"/>
    </row>
    <row r="96" spans="1:10">
      <c r="A96" s="690"/>
      <c r="B96" s="690"/>
      <c r="C96" s="690"/>
      <c r="D96" s="690"/>
      <c r="E96" s="690"/>
      <c r="F96" s="690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</sheetData>
  <mergeCells count="30">
    <mergeCell ref="A94:F95"/>
    <mergeCell ref="A83:C83"/>
    <mergeCell ref="A71:C71"/>
    <mergeCell ref="D78:D79"/>
    <mergeCell ref="E78:E79"/>
    <mergeCell ref="F78:F79"/>
    <mergeCell ref="A80:C80"/>
    <mergeCell ref="A81:C81"/>
    <mergeCell ref="A82:C82"/>
    <mergeCell ref="A74:C74"/>
    <mergeCell ref="A75:C75"/>
    <mergeCell ref="A78:C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J37:L37"/>
    <mergeCell ref="G7:G8"/>
    <mergeCell ref="H7:H8"/>
    <mergeCell ref="I7:I8"/>
    <mergeCell ref="D69:D70"/>
    <mergeCell ref="A66:F66"/>
    <mergeCell ref="E69:E70"/>
    <mergeCell ref="A69:C70"/>
    <mergeCell ref="F69:F70"/>
  </mergeCells>
  <conditionalFormatting sqref="A22:B34 G84:XFD85">
    <cfRule type="containsText" dxfId="471" priority="35" operator="containsText" text="LESS COLLECTED">
      <formula>NOT(ISERROR(SEARCH("LESS COLLECTED",A22)))</formula>
    </cfRule>
  </conditionalFormatting>
  <conditionalFormatting sqref="A28:B32">
    <cfRule type="containsText" dxfId="470" priority="34" operator="containsText" text="EXCESS COLLECTED">
      <formula>NOT(ISERROR(SEARCH("EXCESS COLLECTED",A28)))</formula>
    </cfRule>
  </conditionalFormatting>
  <conditionalFormatting sqref="A35:B52 A54:B56 A53">
    <cfRule type="containsText" dxfId="469" priority="6" operator="containsText" text="LESS COLLECTED">
      <formula>NOT(ISERROR(SEARCH("LESS COLLECTED",A35)))</formula>
    </cfRule>
  </conditionalFormatting>
  <conditionalFormatting sqref="A47:B52 A54:B56 A53">
    <cfRule type="containsText" dxfId="468" priority="5" operator="containsText" text="EXCESS COLLECTED">
      <formula>NOT(ISERROR(SEARCH("EXCESS COLLECTED",A47)))</formula>
    </cfRule>
  </conditionalFormatting>
  <conditionalFormatting sqref="A57:B61 A88:A89 F88:XFD89">
    <cfRule type="containsText" dxfId="467" priority="39" operator="containsText" text="LESS COLLECTED">
      <formula>NOT(ISERROR(SEARCH("LESS COLLECTED",A57)))</formula>
    </cfRule>
  </conditionalFormatting>
  <conditionalFormatting sqref="A7:F8 A63:XFD64 A66:XFD73 A1:XFD3 A4 G4:XFD4 A5:XFD6 G7:I7 G9:I61 A62:I62 H74:XFD74 A75:XFD79 A80:F80 H80:XFD80 A81:XFD83 A84 A94 A99:XFD1048576 G94:XFD98">
    <cfRule type="containsText" dxfId="466" priority="210" operator="containsText" text="LESS COLLECTED">
      <formula>NOT(ISERROR(SEARCH("LESS COLLECTED",A1)))</formula>
    </cfRule>
  </conditionalFormatting>
  <conditionalFormatting sqref="A65:XFD65">
    <cfRule type="containsText" dxfId="465" priority="13" operator="containsText" text="LESS COLLECTED">
      <formula>NOT(ISERROR(SEARCH("LESS COLLECTED",A65)))</formula>
    </cfRule>
  </conditionalFormatting>
  <conditionalFormatting sqref="B61">
    <cfRule type="containsText" dxfId="464" priority="38" operator="containsText" text="EXCESS COLLECTED">
      <formula>NOT(ISERROR(SEARCH("EXCESS COLLECTED",B61)))</formula>
    </cfRule>
  </conditionalFormatting>
  <conditionalFormatting sqref="C9:C56">
    <cfRule type="containsText" dxfId="463" priority="8" operator="containsText" text="LESS COLLECTED">
      <formula>NOT(ISERROR(SEARCH("LESS COLLECTED",C9)))</formula>
    </cfRule>
  </conditionalFormatting>
  <conditionalFormatting sqref="C59">
    <cfRule type="containsText" dxfId="462" priority="4" operator="containsText" text="LESS COLLECTED">
      <formula>NOT(ISERROR(SEARCH("LESS COLLECTED",C59)))</formula>
    </cfRule>
  </conditionalFormatting>
  <conditionalFormatting sqref="D7:F8 B64 D69:E70 A72:F73 B86 B87:D87 B90:D93 C91:E92">
    <cfRule type="containsText" dxfId="461" priority="198" operator="containsText" text="EXCESS COLLECTED">
      <formula>NOT(ISERROR(SEARCH("EXCESS COLLECTED",A7)))</formula>
    </cfRule>
  </conditionalFormatting>
  <conditionalFormatting sqref="D7:F34 B64 D69:E70 A72:F74 B86:XFD86 A87:XFD87 A90:XFD93">
    <cfRule type="containsText" dxfId="460" priority="199" operator="containsText" text="LESS COLLECTED">
      <formula>NOT(ISERROR(SEARCH("LESS COLLECTED",A7)))</formula>
    </cfRule>
  </conditionalFormatting>
  <conditionalFormatting sqref="D35:F56">
    <cfRule type="containsText" dxfId="459" priority="10" operator="containsText" text="LESS COLLECTED">
      <formula>NOT(ISERROR(SEARCH("LESS COLLECTED",D35)))</formula>
    </cfRule>
  </conditionalFormatting>
  <conditionalFormatting sqref="D48:F56">
    <cfRule type="containsText" dxfId="458" priority="7" operator="containsText" text="EXCESS COLLECTED">
      <formula>NOT(ISERROR(SEARCH("EXCESS COLLECTED",D48)))</formula>
    </cfRule>
  </conditionalFormatting>
  <conditionalFormatting sqref="G65">
    <cfRule type="containsText" dxfId="457" priority="12" operator="containsText" text="EXCESS COLLECTED">
      <formula>NOT(ISERROR(SEARCH("EXCESS COLLECTED",G65)))</formula>
    </cfRule>
  </conditionalFormatting>
  <conditionalFormatting sqref="J7:XFD36 A9:B21 J37 M37:XFD37 K38:XFD38 J39:XFD62">
    <cfRule type="containsText" dxfId="456" priority="27" operator="containsText" text="LESS COLLECTED">
      <formula>NOT(ISERROR(SEARCH("LESS COLLECTED",A7)))</formula>
    </cfRule>
  </conditionalFormatting>
  <conditionalFormatting sqref="B53">
    <cfRule type="containsText" dxfId="455" priority="1" operator="containsText" text="EXCESS COLLECTED">
      <formula>NOT(ISERROR(SEARCH("EXCESS COLLECTED",B53)))</formula>
    </cfRule>
  </conditionalFormatting>
  <conditionalFormatting sqref="B53">
    <cfRule type="containsText" dxfId="454" priority="2" operator="containsText" text="LESS COLLECTED">
      <formula>NOT(ISERROR(SEARCH("LESS COLLECTED",B53)))</formula>
    </cfRule>
  </conditionalFormatting>
  <pageMargins left="0.905511811" right="0.86811023600000004" top="0" bottom="0" header="0.31496062992126" footer="0.31496062992126"/>
  <pageSetup paperSize="9" scale="56" orientation="portrait" r:id="rId1"/>
  <ignoredErrors>
    <ignoredError sqref="D5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92D050"/>
  </sheetPr>
  <dimension ref="A1:O97"/>
  <sheetViews>
    <sheetView topLeftCell="A73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7109375" style="1" bestFit="1" customWidth="1"/>
    <col min="4" max="4" width="17.28515625" style="1" bestFit="1" customWidth="1"/>
    <col min="5" max="5" width="16.5703125" style="1" bestFit="1" customWidth="1"/>
    <col min="6" max="6" width="11.42578125" style="1" customWidth="1"/>
    <col min="7" max="7" width="20.28515625" style="1" bestFit="1" customWidth="1"/>
    <col min="8" max="8" width="11.85546875" style="32" bestFit="1" customWidth="1"/>
    <col min="9" max="9" width="6.85546875" style="1" bestFit="1" customWidth="1"/>
    <col min="10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90</v>
      </c>
      <c r="B3" s="1229"/>
      <c r="C3" s="1229"/>
      <c r="D3" s="1229"/>
      <c r="E3" s="1229"/>
      <c r="F3" s="1229"/>
    </row>
    <row r="4" spans="1:10" ht="15.75">
      <c r="A4" s="1229" t="s">
        <v>347</v>
      </c>
      <c r="B4" s="1229"/>
      <c r="C4" s="1229"/>
      <c r="D4" s="1229"/>
      <c r="E4" s="1229"/>
      <c r="F4" s="1229"/>
    </row>
    <row r="5" spans="1:10" ht="15.75">
      <c r="A5" s="1228" t="str">
        <f>+MANINAGAR!A5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16">
        <v>40</v>
      </c>
      <c r="D9" s="4">
        <f>+C9*9%</f>
        <v>3.5999999999999996</v>
      </c>
      <c r="E9" s="4">
        <f>+D9</f>
        <v>3.5999999999999996</v>
      </c>
      <c r="F9" s="4" t="str">
        <f>IF(D9&gt;0," ",C9*18%)</f>
        <v xml:space="preserve"> </v>
      </c>
      <c r="G9" s="595">
        <v>0</v>
      </c>
      <c r="H9" s="595">
        <v>0</v>
      </c>
      <c r="I9" s="42"/>
      <c r="J9" s="783"/>
    </row>
    <row r="10" spans="1:10" ht="15.75">
      <c r="A10" s="31" t="s">
        <v>87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595">
        <v>0</v>
      </c>
      <c r="H10" s="595">
        <v>0</v>
      </c>
      <c r="I10" s="42"/>
    </row>
    <row r="11" spans="1:10" ht="15.75">
      <c r="A11" s="13" t="s">
        <v>60</v>
      </c>
      <c r="B11" s="70" t="s">
        <v>59</v>
      </c>
      <c r="C11" s="16"/>
      <c r="D11" s="4">
        <f t="shared" ref="D11:D59" si="0">+C11*9%</f>
        <v>0</v>
      </c>
      <c r="E11" s="4">
        <f t="shared" ref="E11:E59" si="1">+D11</f>
        <v>0</v>
      </c>
      <c r="F11" s="4">
        <f t="shared" ref="F11:F59" si="2">IF(D11&gt;0," ",C11*18%)</f>
        <v>0</v>
      </c>
      <c r="G11" s="595">
        <v>0</v>
      </c>
      <c r="H11" s="595">
        <v>0</v>
      </c>
      <c r="I11" s="42"/>
    </row>
    <row r="12" spans="1:10" ht="15.75">
      <c r="A12" s="560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595">
        <v>0</v>
      </c>
      <c r="H12" s="595">
        <v>0</v>
      </c>
      <c r="I12" s="42"/>
    </row>
    <row r="13" spans="1:10" ht="15.75">
      <c r="A13" s="561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595">
        <v>0</v>
      </c>
      <c r="H13" s="595">
        <v>0</v>
      </c>
      <c r="I13" s="42"/>
    </row>
    <row r="14" spans="1:10" ht="15.75">
      <c r="A14" s="561" t="s">
        <v>54</v>
      </c>
      <c r="B14" s="70" t="s">
        <v>53</v>
      </c>
      <c r="C14" s="16">
        <f>5250-5250</f>
        <v>0</v>
      </c>
      <c r="D14" s="367">
        <f t="shared" si="0"/>
        <v>0</v>
      </c>
      <c r="E14" s="367">
        <f t="shared" si="1"/>
        <v>0</v>
      </c>
      <c r="F14" s="4">
        <v>0</v>
      </c>
      <c r="G14" s="595"/>
      <c r="H14" s="595">
        <v>0</v>
      </c>
      <c r="I14" s="42"/>
      <c r="J14" s="73"/>
    </row>
    <row r="15" spans="1:10" ht="15.75">
      <c r="A15" s="560">
        <v>3235</v>
      </c>
      <c r="B15" s="70" t="s">
        <v>51</v>
      </c>
      <c r="C15" s="16">
        <v>500</v>
      </c>
      <c r="D15" s="4">
        <f t="shared" si="0"/>
        <v>45</v>
      </c>
      <c r="E15" s="4">
        <f t="shared" si="1"/>
        <v>45</v>
      </c>
      <c r="F15" s="4" t="str">
        <f t="shared" si="2"/>
        <v xml:space="preserve"> </v>
      </c>
      <c r="G15" s="595">
        <v>0</v>
      </c>
      <c r="H15" s="595">
        <v>0</v>
      </c>
      <c r="I15" s="42"/>
    </row>
    <row r="16" spans="1:10" ht="15.75">
      <c r="A16" s="560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595">
        <v>0</v>
      </c>
      <c r="H16" s="595">
        <v>0</v>
      </c>
      <c r="I16" s="42"/>
    </row>
    <row r="17" spans="1:15" ht="15.75">
      <c r="A17" s="14" t="s">
        <v>48</v>
      </c>
      <c r="B17" s="70" t="s">
        <v>47</v>
      </c>
      <c r="C17" s="16">
        <v>500</v>
      </c>
      <c r="D17" s="4">
        <f t="shared" si="0"/>
        <v>45</v>
      </c>
      <c r="E17" s="4">
        <f t="shared" si="1"/>
        <v>45</v>
      </c>
      <c r="F17" s="4" t="str">
        <f t="shared" si="2"/>
        <v xml:space="preserve"> </v>
      </c>
      <c r="G17" s="595">
        <v>0</v>
      </c>
      <c r="H17" s="595">
        <v>0</v>
      </c>
      <c r="I17" s="42"/>
    </row>
    <row r="18" spans="1:15" ht="15.75">
      <c r="A18" s="14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595">
        <v>0</v>
      </c>
      <c r="H18" s="595">
        <v>0</v>
      </c>
      <c r="I18" s="42"/>
    </row>
    <row r="19" spans="1:15" ht="15.75">
      <c r="A19" s="13" t="s">
        <v>44</v>
      </c>
      <c r="B19" s="70" t="s">
        <v>43</v>
      </c>
      <c r="C19" s="16">
        <v>27750</v>
      </c>
      <c r="D19" s="4">
        <f t="shared" si="0"/>
        <v>2497.5</v>
      </c>
      <c r="E19" s="4">
        <f t="shared" si="1"/>
        <v>2497.5</v>
      </c>
      <c r="F19" s="4" t="str">
        <f t="shared" si="2"/>
        <v xml:space="preserve"> </v>
      </c>
      <c r="G19" s="595">
        <v>0</v>
      </c>
      <c r="H19" s="595">
        <v>0</v>
      </c>
      <c r="I19" s="42"/>
    </row>
    <row r="20" spans="1:15" ht="15.75">
      <c r="A20" s="13">
        <v>3271</v>
      </c>
      <c r="B20" s="70" t="s">
        <v>533</v>
      </c>
      <c r="C20" s="16">
        <v>26690</v>
      </c>
      <c r="D20" s="4">
        <f>+C20*9%</f>
        <v>2402.1</v>
      </c>
      <c r="E20" s="4">
        <f>+D20</f>
        <v>2402.1</v>
      </c>
      <c r="F20" s="4" t="str">
        <f>IF(D20&gt;0," ",C20*18%)</f>
        <v xml:space="preserve"> </v>
      </c>
      <c r="G20" s="595">
        <v>0</v>
      </c>
      <c r="H20" s="595">
        <v>0</v>
      </c>
      <c r="I20" s="42"/>
    </row>
    <row r="21" spans="1:15" ht="15.75">
      <c r="A21" s="13">
        <v>3274</v>
      </c>
      <c r="B21" s="70" t="s">
        <v>554</v>
      </c>
      <c r="C21" s="16"/>
      <c r="D21" s="4">
        <f>+C21*9%</f>
        <v>0</v>
      </c>
      <c r="E21" s="4">
        <f>+D21</f>
        <v>0</v>
      </c>
      <c r="F21" s="4">
        <f>IF(D21&gt;0," ",C21*18%)</f>
        <v>0</v>
      </c>
      <c r="G21" s="595">
        <v>0</v>
      </c>
      <c r="H21" s="595">
        <v>0</v>
      </c>
      <c r="I21" s="42"/>
    </row>
    <row r="22" spans="1:15" ht="15.75">
      <c r="A22" s="17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>
        <f t="shared" si="2"/>
        <v>0</v>
      </c>
      <c r="G22" s="595">
        <v>0</v>
      </c>
      <c r="H22" s="595">
        <v>0</v>
      </c>
      <c r="I22" s="42"/>
      <c r="O22" s="1" t="s">
        <v>5</v>
      </c>
    </row>
    <row r="23" spans="1:15" ht="15.75">
      <c r="A23" s="14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595">
        <v>0</v>
      </c>
      <c r="H23" s="595">
        <v>0</v>
      </c>
      <c r="I23" s="42"/>
    </row>
    <row r="24" spans="1:15" ht="15.75">
      <c r="A24" s="14" t="s">
        <v>38</v>
      </c>
      <c r="B24" s="70" t="s">
        <v>37</v>
      </c>
      <c r="C24" s="16">
        <v>100</v>
      </c>
      <c r="D24" s="4">
        <f t="shared" si="0"/>
        <v>9</v>
      </c>
      <c r="E24" s="4">
        <f t="shared" si="1"/>
        <v>9</v>
      </c>
      <c r="F24" s="4">
        <v>0</v>
      </c>
      <c r="G24" s="595">
        <v>0</v>
      </c>
      <c r="H24" s="595">
        <v>0</v>
      </c>
      <c r="I24" s="42"/>
    </row>
    <row r="25" spans="1:15" ht="15.75">
      <c r="A25" s="16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595">
        <v>0</v>
      </c>
      <c r="H25" s="595">
        <v>0</v>
      </c>
      <c r="I25" s="42"/>
    </row>
    <row r="26" spans="1:15" ht="15.75">
      <c r="A26" s="16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595">
        <v>0</v>
      </c>
      <c r="H26" s="595">
        <v>0</v>
      </c>
      <c r="I26" s="42"/>
    </row>
    <row r="27" spans="1:15" ht="15.75">
      <c r="A27" s="16" t="s">
        <v>32</v>
      </c>
      <c r="B27" s="70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595">
        <v>0</v>
      </c>
      <c r="H27" s="595">
        <v>0</v>
      </c>
      <c r="I27" s="42"/>
    </row>
    <row r="28" spans="1:15" ht="15.75">
      <c r="A28" s="137" t="s">
        <v>330</v>
      </c>
      <c r="B28" s="70" t="s">
        <v>325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595">
        <v>0</v>
      </c>
      <c r="H28" s="595">
        <v>0</v>
      </c>
      <c r="I28" s="42"/>
    </row>
    <row r="29" spans="1:15" ht="15.75">
      <c r="A29" s="137" t="s">
        <v>526</v>
      </c>
      <c r="B29" s="70" t="s">
        <v>523</v>
      </c>
      <c r="C29" s="16">
        <v>1200</v>
      </c>
      <c r="D29" s="4">
        <f>+C29*9%</f>
        <v>108</v>
      </c>
      <c r="E29" s="4">
        <f>+D29</f>
        <v>108</v>
      </c>
      <c r="F29" s="4" t="str">
        <f>IF(D29&gt;0," ",C29*18%)</f>
        <v xml:space="preserve"> </v>
      </c>
      <c r="G29" s="595">
        <v>0</v>
      </c>
      <c r="H29" s="595">
        <v>0</v>
      </c>
      <c r="I29" s="42"/>
    </row>
    <row r="30" spans="1:15" ht="15.75">
      <c r="A30" s="137" t="s">
        <v>527</v>
      </c>
      <c r="B30" s="70" t="s">
        <v>524</v>
      </c>
      <c r="C30" s="16">
        <v>3790</v>
      </c>
      <c r="D30" s="4">
        <f>+C30*9%</f>
        <v>341.09999999999997</v>
      </c>
      <c r="E30" s="4">
        <f>+D30</f>
        <v>341.09999999999997</v>
      </c>
      <c r="F30" s="4" t="str">
        <f>IF(D30&gt;0," ",C30*18%)</f>
        <v xml:space="preserve"> </v>
      </c>
      <c r="G30" s="595">
        <v>0</v>
      </c>
      <c r="H30" s="595">
        <v>0</v>
      </c>
      <c r="I30" s="42"/>
    </row>
    <row r="31" spans="1:15" ht="15.75">
      <c r="A31" s="137" t="s">
        <v>528</v>
      </c>
      <c r="B31" s="70" t="s">
        <v>529</v>
      </c>
      <c r="C31" s="16">
        <v>650</v>
      </c>
      <c r="D31" s="4">
        <f>+C31*9%</f>
        <v>58.5</v>
      </c>
      <c r="E31" s="4">
        <f>+D31</f>
        <v>58.5</v>
      </c>
      <c r="F31" s="4" t="str">
        <f>IF(D31&gt;0," ",C31*18%)</f>
        <v xml:space="preserve"> </v>
      </c>
      <c r="G31" s="595">
        <v>0</v>
      </c>
      <c r="H31" s="595">
        <v>0</v>
      </c>
      <c r="I31" s="42"/>
    </row>
    <row r="32" spans="1:15" ht="15.75">
      <c r="A32" s="137" t="s">
        <v>531</v>
      </c>
      <c r="B32" s="70" t="s">
        <v>532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595">
        <v>0</v>
      </c>
      <c r="H32" s="595">
        <v>0</v>
      </c>
      <c r="I32" s="42"/>
    </row>
    <row r="33" spans="1:9" ht="15.75">
      <c r="A33" s="14">
        <v>3300</v>
      </c>
      <c r="B33" s="70" t="s">
        <v>29</v>
      </c>
      <c r="C33" s="16">
        <v>234326.1</v>
      </c>
      <c r="D33" s="4">
        <f t="shared" si="0"/>
        <v>21089.348999999998</v>
      </c>
      <c r="E33" s="4">
        <f t="shared" si="1"/>
        <v>21089.348999999998</v>
      </c>
      <c r="F33" s="4">
        <v>0</v>
      </c>
      <c r="G33" s="595">
        <v>0</v>
      </c>
      <c r="H33" s="595">
        <v>0</v>
      </c>
      <c r="I33" s="42"/>
    </row>
    <row r="34" spans="1:9" ht="15.75">
      <c r="A34" s="14" t="s">
        <v>401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595">
        <v>0</v>
      </c>
      <c r="H34" s="595">
        <v>0</v>
      </c>
      <c r="I34" s="42"/>
    </row>
    <row r="35" spans="1:9" ht="15.75">
      <c r="A35" s="14">
        <v>3302</v>
      </c>
      <c r="B35" s="70" t="s">
        <v>525</v>
      </c>
      <c r="C35" s="16"/>
      <c r="D35" s="4">
        <f>+C35*9%</f>
        <v>0</v>
      </c>
      <c r="E35" s="4">
        <f>+D35</f>
        <v>0</v>
      </c>
      <c r="F35" s="4">
        <f>IF(D35&gt;0," ",C35*18%)</f>
        <v>0</v>
      </c>
      <c r="G35" s="266">
        <v>0</v>
      </c>
      <c r="H35" s="266">
        <v>0</v>
      </c>
      <c r="I35" s="42"/>
    </row>
    <row r="36" spans="1:9" ht="15.75">
      <c r="A36" s="14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595">
        <v>0</v>
      </c>
      <c r="H36" s="595">
        <v>0</v>
      </c>
      <c r="I36" s="42"/>
    </row>
    <row r="37" spans="1:9" ht="15.75">
      <c r="A37" s="16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595">
        <v>0</v>
      </c>
      <c r="H37" s="595">
        <v>0</v>
      </c>
      <c r="I37" s="42"/>
    </row>
    <row r="38" spans="1:9" ht="15.75">
      <c r="A38" s="13">
        <v>3310</v>
      </c>
      <c r="B38" s="70" t="s">
        <v>25</v>
      </c>
      <c r="C38" s="16">
        <v>4614.2</v>
      </c>
      <c r="D38" s="4">
        <f t="shared" si="0"/>
        <v>415.27799999999996</v>
      </c>
      <c r="E38" s="4">
        <f t="shared" si="1"/>
        <v>415.27799999999996</v>
      </c>
      <c r="F38" s="4" t="str">
        <f t="shared" si="2"/>
        <v xml:space="preserve"> </v>
      </c>
      <c r="G38" s="595">
        <v>0</v>
      </c>
      <c r="H38" s="595">
        <v>0</v>
      </c>
      <c r="I38" s="42"/>
    </row>
    <row r="39" spans="1:9" ht="15.75">
      <c r="A39" s="13">
        <v>3311</v>
      </c>
      <c r="B39" s="70" t="s">
        <v>23</v>
      </c>
      <c r="C39" s="16">
        <v>8850</v>
      </c>
      <c r="D39" s="4">
        <f t="shared" si="0"/>
        <v>796.5</v>
      </c>
      <c r="E39" s="4">
        <f t="shared" si="1"/>
        <v>796.5</v>
      </c>
      <c r="F39" s="4" t="str">
        <f t="shared" si="2"/>
        <v xml:space="preserve"> </v>
      </c>
      <c r="G39" s="595">
        <v>0</v>
      </c>
      <c r="H39" s="595"/>
      <c r="I39" s="42"/>
    </row>
    <row r="40" spans="1:9" ht="15.75">
      <c r="A40" s="13">
        <v>3312</v>
      </c>
      <c r="B40" s="70" t="s">
        <v>21</v>
      </c>
      <c r="C40" s="16">
        <v>33350</v>
      </c>
      <c r="D40" s="4">
        <f t="shared" si="0"/>
        <v>3001.5</v>
      </c>
      <c r="E40" s="4">
        <f t="shared" si="1"/>
        <v>3001.5</v>
      </c>
      <c r="F40" s="4" t="str">
        <f t="shared" si="2"/>
        <v xml:space="preserve"> </v>
      </c>
      <c r="G40" s="595">
        <v>0</v>
      </c>
      <c r="H40" s="595">
        <v>0</v>
      </c>
      <c r="I40" s="42"/>
    </row>
    <row r="41" spans="1:9" ht="15.75">
      <c r="A41" s="13" t="s">
        <v>20</v>
      </c>
      <c r="B41" s="70" t="s">
        <v>19</v>
      </c>
      <c r="C41" s="16">
        <v>7800</v>
      </c>
      <c r="D41" s="4">
        <f t="shared" si="0"/>
        <v>702</v>
      </c>
      <c r="E41" s="4">
        <f t="shared" si="1"/>
        <v>702</v>
      </c>
      <c r="F41" s="4" t="str">
        <f t="shared" si="2"/>
        <v xml:space="preserve"> </v>
      </c>
      <c r="G41" s="595">
        <v>0</v>
      </c>
      <c r="H41" s="595">
        <v>0</v>
      </c>
      <c r="I41" s="42"/>
    </row>
    <row r="42" spans="1:9" ht="15.75">
      <c r="A42" s="14" t="s">
        <v>18</v>
      </c>
      <c r="B42" s="70" t="s">
        <v>17</v>
      </c>
      <c r="C42" s="16">
        <f>11070-180</f>
        <v>10890</v>
      </c>
      <c r="D42" s="4">
        <f t="shared" si="0"/>
        <v>980.09999999999991</v>
      </c>
      <c r="E42" s="4">
        <f t="shared" si="1"/>
        <v>980.09999999999991</v>
      </c>
      <c r="F42" s="4" t="str">
        <f t="shared" si="2"/>
        <v xml:space="preserve"> </v>
      </c>
      <c r="G42" s="595">
        <v>0</v>
      </c>
      <c r="H42" s="595">
        <v>0</v>
      </c>
      <c r="I42" s="42"/>
    </row>
    <row r="43" spans="1:9" ht="15.75">
      <c r="A43" s="14" t="s">
        <v>16</v>
      </c>
      <c r="B43" s="70" t="s">
        <v>15</v>
      </c>
      <c r="C43" s="16">
        <v>6650</v>
      </c>
      <c r="D43" s="4">
        <f t="shared" si="0"/>
        <v>598.5</v>
      </c>
      <c r="E43" s="4">
        <f t="shared" si="1"/>
        <v>598.5</v>
      </c>
      <c r="F43" s="4" t="str">
        <f t="shared" si="2"/>
        <v xml:space="preserve"> </v>
      </c>
      <c r="G43" s="595">
        <v>0</v>
      </c>
      <c r="H43" s="595">
        <v>0</v>
      </c>
      <c r="I43" s="42"/>
    </row>
    <row r="44" spans="1:9" ht="15.75">
      <c r="A44" s="14" t="s">
        <v>14</v>
      </c>
      <c r="B44" s="70" t="s">
        <v>13</v>
      </c>
      <c r="C44" s="16">
        <v>1656</v>
      </c>
      <c r="D44" s="4">
        <f t="shared" si="0"/>
        <v>149.04</v>
      </c>
      <c r="E44" s="4">
        <f t="shared" si="1"/>
        <v>149.04</v>
      </c>
      <c r="F44" s="4" t="str">
        <f t="shared" si="2"/>
        <v xml:space="preserve"> </v>
      </c>
      <c r="G44" s="595">
        <v>0</v>
      </c>
      <c r="H44" s="595">
        <v>0</v>
      </c>
      <c r="I44" s="42"/>
    </row>
    <row r="45" spans="1:9" ht="15.75">
      <c r="A45" s="14">
        <v>3317</v>
      </c>
      <c r="B45" s="70" t="s">
        <v>286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595">
        <v>0</v>
      </c>
      <c r="H45" s="595">
        <v>0</v>
      </c>
      <c r="I45" s="42"/>
    </row>
    <row r="46" spans="1:9" ht="15.75">
      <c r="A46" s="14" t="s">
        <v>12</v>
      </c>
      <c r="B46" s="70" t="s">
        <v>11</v>
      </c>
      <c r="C46" s="16"/>
      <c r="D46" s="4">
        <f t="shared" si="0"/>
        <v>0</v>
      </c>
      <c r="E46" s="4">
        <f t="shared" si="1"/>
        <v>0</v>
      </c>
      <c r="F46" s="4">
        <f t="shared" si="2"/>
        <v>0</v>
      </c>
      <c r="G46" s="595">
        <v>0</v>
      </c>
      <c r="H46" s="595">
        <v>0</v>
      </c>
      <c r="I46" s="42"/>
    </row>
    <row r="47" spans="1:9" ht="15.75">
      <c r="A47" s="14">
        <v>3320</v>
      </c>
      <c r="B47" s="70" t="s">
        <v>290</v>
      </c>
      <c r="C47" s="16"/>
      <c r="D47" s="4">
        <f t="shared" si="0"/>
        <v>0</v>
      </c>
      <c r="E47" s="4">
        <f t="shared" si="1"/>
        <v>0</v>
      </c>
      <c r="F47" s="4">
        <f t="shared" si="2"/>
        <v>0</v>
      </c>
      <c r="G47" s="595">
        <v>0</v>
      </c>
      <c r="H47" s="595">
        <v>0</v>
      </c>
      <c r="I47" s="42"/>
    </row>
    <row r="48" spans="1:9" ht="15.75">
      <c r="A48" s="14">
        <v>3321</v>
      </c>
      <c r="B48" s="70" t="s">
        <v>156</v>
      </c>
      <c r="C48" s="16"/>
      <c r="D48" s="4">
        <f t="shared" si="0"/>
        <v>0</v>
      </c>
      <c r="E48" s="4">
        <f t="shared" si="1"/>
        <v>0</v>
      </c>
      <c r="F48" s="4">
        <f t="shared" si="2"/>
        <v>0</v>
      </c>
      <c r="G48" s="595">
        <v>0</v>
      </c>
      <c r="H48" s="595">
        <v>0</v>
      </c>
      <c r="I48" s="42"/>
    </row>
    <row r="49" spans="1:9" ht="15.75">
      <c r="A49" s="14">
        <v>3322</v>
      </c>
      <c r="B49" s="70" t="s">
        <v>335</v>
      </c>
      <c r="C49" s="16"/>
      <c r="D49" s="4">
        <f>+C49*5%</f>
        <v>0</v>
      </c>
      <c r="E49" s="4">
        <f>+D49</f>
        <v>0</v>
      </c>
      <c r="F49" s="4"/>
      <c r="G49" s="595">
        <v>0</v>
      </c>
      <c r="H49" s="595">
        <v>0</v>
      </c>
      <c r="I49" s="42"/>
    </row>
    <row r="50" spans="1:9" ht="15.75">
      <c r="A50" s="14">
        <v>3324</v>
      </c>
      <c r="B50" s="70" t="s">
        <v>438</v>
      </c>
      <c r="C50" s="16"/>
      <c r="D50" s="4">
        <f>+C50*5%</f>
        <v>0</v>
      </c>
      <c r="E50" s="4">
        <f>+D50</f>
        <v>0</v>
      </c>
      <c r="F50" s="4"/>
      <c r="G50" s="595">
        <v>0</v>
      </c>
      <c r="H50" s="595">
        <v>0</v>
      </c>
      <c r="I50" s="42"/>
    </row>
    <row r="51" spans="1:9" ht="15.75">
      <c r="A51" s="161">
        <v>3325</v>
      </c>
      <c r="B51" s="70" t="s">
        <v>606</v>
      </c>
      <c r="C51" s="16"/>
      <c r="D51" s="4">
        <f>+C51*2.5%</f>
        <v>0</v>
      </c>
      <c r="E51" s="4">
        <f>+D51</f>
        <v>0</v>
      </c>
      <c r="F51" s="4">
        <f>IF(D51&gt;0," ",C51*18%)</f>
        <v>0</v>
      </c>
      <c r="G51" s="595">
        <v>0</v>
      </c>
      <c r="H51" s="595">
        <v>0</v>
      </c>
      <c r="I51" s="42"/>
    </row>
    <row r="52" spans="1:9" ht="15.75">
      <c r="A52" s="14">
        <v>3391</v>
      </c>
      <c r="B52" s="70" t="s">
        <v>300</v>
      </c>
      <c r="C52" s="16">
        <v>23779.75</v>
      </c>
      <c r="D52" s="4">
        <f t="shared" si="0"/>
        <v>2140.1774999999998</v>
      </c>
      <c r="E52" s="4">
        <f t="shared" si="1"/>
        <v>2140.1774999999998</v>
      </c>
      <c r="F52" s="4" t="str">
        <f t="shared" si="2"/>
        <v xml:space="preserve"> </v>
      </c>
      <c r="G52" s="595">
        <v>0</v>
      </c>
      <c r="H52" s="595">
        <v>0</v>
      </c>
      <c r="I52" s="42"/>
    </row>
    <row r="53" spans="1:9" ht="15.75">
      <c r="A53" s="14">
        <v>3359</v>
      </c>
      <c r="B53" s="70" t="s">
        <v>683</v>
      </c>
      <c r="C53" s="16"/>
      <c r="D53" s="4">
        <f t="shared" si="0"/>
        <v>0</v>
      </c>
      <c r="E53" s="4">
        <f t="shared" si="1"/>
        <v>0</v>
      </c>
      <c r="F53" s="4"/>
      <c r="G53" s="595">
        <v>0</v>
      </c>
      <c r="H53" s="595">
        <v>0</v>
      </c>
      <c r="I53" s="42"/>
    </row>
    <row r="54" spans="1:9" ht="15.75">
      <c r="A54" s="14">
        <v>3825</v>
      </c>
      <c r="B54" s="70" t="s">
        <v>646</v>
      </c>
      <c r="C54" s="16"/>
      <c r="D54" s="4"/>
      <c r="E54" s="4"/>
      <c r="F54" s="4"/>
      <c r="G54" s="595">
        <v>0</v>
      </c>
      <c r="H54" s="595">
        <v>0</v>
      </c>
      <c r="I54" s="42"/>
    </row>
    <row r="55" spans="1:9" ht="15.75">
      <c r="A55" s="14">
        <v>3362</v>
      </c>
      <c r="B55" s="70" t="s">
        <v>739</v>
      </c>
      <c r="C55" s="16"/>
      <c r="D55" s="4"/>
      <c r="E55" s="4"/>
      <c r="F55" s="4"/>
      <c r="G55" s="595">
        <v>0</v>
      </c>
      <c r="H55" s="595">
        <v>0</v>
      </c>
      <c r="I55" s="42"/>
    </row>
    <row r="56" spans="1:9" ht="15.75">
      <c r="A56" s="14">
        <v>3340</v>
      </c>
      <c r="B56" s="70" t="s">
        <v>785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42"/>
    </row>
    <row r="57" spans="1:9" ht="15.75">
      <c r="A57" s="15" t="s">
        <v>10</v>
      </c>
      <c r="B57" s="70"/>
      <c r="C57" s="16"/>
      <c r="D57" s="4"/>
      <c r="E57" s="4"/>
      <c r="F57" s="4"/>
      <c r="G57" s="595">
        <v>0</v>
      </c>
      <c r="H57" s="595">
        <v>0</v>
      </c>
      <c r="I57" s="42"/>
    </row>
    <row r="58" spans="1:9" ht="15.75">
      <c r="A58" s="14" t="s">
        <v>9</v>
      </c>
      <c r="B58" s="70" t="s">
        <v>8</v>
      </c>
      <c r="C58" s="16"/>
      <c r="D58" s="4">
        <f t="shared" si="0"/>
        <v>0</v>
      </c>
      <c r="E58" s="4">
        <f t="shared" si="1"/>
        <v>0</v>
      </c>
      <c r="F58" s="4">
        <v>0</v>
      </c>
      <c r="G58" s="595"/>
      <c r="H58" s="595">
        <v>0</v>
      </c>
      <c r="I58" s="42"/>
    </row>
    <row r="59" spans="1:9" ht="15.75">
      <c r="A59" s="13" t="s">
        <v>7</v>
      </c>
      <c r="B59" s="70" t="s">
        <v>6</v>
      </c>
      <c r="C59" s="16">
        <f>0</f>
        <v>0</v>
      </c>
      <c r="D59" s="4">
        <f t="shared" si="0"/>
        <v>0</v>
      </c>
      <c r="E59" s="4">
        <f t="shared" si="1"/>
        <v>0</v>
      </c>
      <c r="F59" s="4">
        <f t="shared" si="2"/>
        <v>0</v>
      </c>
      <c r="G59" s="595">
        <v>0</v>
      </c>
      <c r="H59" s="595">
        <v>0</v>
      </c>
      <c r="I59" s="42"/>
    </row>
    <row r="60" spans="1:9" ht="15.75">
      <c r="A60" s="5" t="s">
        <v>5</v>
      </c>
      <c r="B60" s="70" t="s">
        <v>4</v>
      </c>
      <c r="C60" s="16">
        <f>0</f>
        <v>0</v>
      </c>
      <c r="D60" s="4"/>
      <c r="E60" s="4"/>
      <c r="F60" s="4"/>
      <c r="G60" s="595">
        <v>0</v>
      </c>
      <c r="H60" s="595">
        <v>0</v>
      </c>
      <c r="I60" s="42"/>
    </row>
    <row r="61" spans="1:9" ht="15.75">
      <c r="A61" s="434"/>
      <c r="B61" s="432" t="s">
        <v>880</v>
      </c>
      <c r="C61" s="16">
        <f>0</f>
        <v>0</v>
      </c>
      <c r="D61" s="433">
        <f>+C61*0.09</f>
        <v>0</v>
      </c>
      <c r="E61" s="433">
        <f>+D61</f>
        <v>0</v>
      </c>
      <c r="F61" s="433"/>
      <c r="G61" s="595">
        <v>0</v>
      </c>
      <c r="H61" s="595">
        <v>0</v>
      </c>
      <c r="I61" s="42"/>
    </row>
    <row r="62" spans="1:9" ht="16.5" thickBot="1">
      <c r="A62" s="12"/>
      <c r="B62" s="11" t="s">
        <v>3</v>
      </c>
      <c r="C62" s="10">
        <f>SUM(C9:C61)</f>
        <v>393136.05</v>
      </c>
      <c r="D62" s="10">
        <f>SUM(D9:D61)</f>
        <v>35382.244499999993</v>
      </c>
      <c r="E62" s="10">
        <f>SUM(E9:E61)</f>
        <v>35382.244499999993</v>
      </c>
      <c r="F62" s="10">
        <f>SUM(F9:F61)</f>
        <v>0</v>
      </c>
      <c r="G62" s="42">
        <f>+SUM(G9:G60)</f>
        <v>0</v>
      </c>
      <c r="H62" s="42">
        <f>+SUM(H9:H60)</f>
        <v>0</v>
      </c>
      <c r="I62" s="42">
        <f>+SUM(I9:I60)</f>
        <v>0</v>
      </c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7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35382.244500000001</v>
      </c>
    </row>
    <row r="66" spans="1:7" ht="15.75">
      <c r="A66" s="1228" t="s">
        <v>75</v>
      </c>
      <c r="B66" s="1228"/>
      <c r="C66" s="1228"/>
      <c r="D66" s="1228"/>
      <c r="E66" s="1228"/>
      <c r="F66" s="1228"/>
    </row>
    <row r="67" spans="1:7" ht="15.75">
      <c r="A67" s="28"/>
      <c r="B67" s="28"/>
      <c r="C67" s="28"/>
      <c r="D67" s="28"/>
      <c r="E67" s="28"/>
      <c r="F67" s="28"/>
    </row>
    <row r="68" spans="1:7" ht="15.75">
      <c r="A68" s="29" t="s">
        <v>76</v>
      </c>
      <c r="B68" s="29"/>
      <c r="C68" s="3"/>
      <c r="D68" s="3" t="s">
        <v>5</v>
      </c>
      <c r="E68" s="3"/>
      <c r="F68" s="3"/>
    </row>
    <row r="69" spans="1:7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G69" s="207"/>
    </row>
    <row r="70" spans="1:7">
      <c r="A70" s="1247"/>
      <c r="B70" s="1248"/>
      <c r="C70" s="1249"/>
      <c r="D70" s="1236"/>
      <c r="E70" s="1236"/>
      <c r="F70" s="1232"/>
    </row>
    <row r="71" spans="1:7" ht="15.75">
      <c r="A71" s="1241" t="s">
        <v>80</v>
      </c>
      <c r="B71" s="1242"/>
      <c r="C71" s="1243"/>
      <c r="D71" s="105">
        <f>+D62</f>
        <v>35382.244499999993</v>
      </c>
      <c r="E71" s="105">
        <f>+E62</f>
        <v>35382.244499999993</v>
      </c>
      <c r="F71" s="105">
        <f>+F62</f>
        <v>0</v>
      </c>
    </row>
    <row r="72" spans="1:7" ht="15.75">
      <c r="A72" s="43" t="s">
        <v>103</v>
      </c>
      <c r="B72" s="43"/>
      <c r="C72" s="770">
        <f>+G62</f>
        <v>0</v>
      </c>
      <c r="D72" s="106">
        <f>+C72*0.09</f>
        <v>0</v>
      </c>
      <c r="E72" s="106">
        <f>+C72*0.09</f>
        <v>0</v>
      </c>
      <c r="F72" s="106">
        <v>0</v>
      </c>
    </row>
    <row r="73" spans="1:7" ht="15.75">
      <c r="A73" s="43"/>
      <c r="B73" s="43"/>
      <c r="C73" s="43"/>
      <c r="D73" s="105">
        <f>+D71+D72</f>
        <v>35382.244499999993</v>
      </c>
      <c r="E73" s="105">
        <f>+E71+E72</f>
        <v>35382.244499999993</v>
      </c>
      <c r="F73" s="105">
        <f>+F71+F72</f>
        <v>0</v>
      </c>
    </row>
    <row r="74" spans="1:7" ht="15.75">
      <c r="A74" s="1241" t="s">
        <v>104</v>
      </c>
      <c r="B74" s="1242"/>
      <c r="C74" s="1243"/>
      <c r="D74" s="108">
        <v>35384.32</v>
      </c>
      <c r="E74" s="108">
        <f>+D74</f>
        <v>35384.32</v>
      </c>
      <c r="F74" s="108">
        <v>0</v>
      </c>
    </row>
    <row r="75" spans="1:7" ht="15.75">
      <c r="A75" s="1250" t="s">
        <v>79</v>
      </c>
      <c r="B75" s="1251"/>
      <c r="C75" s="1252"/>
      <c r="D75" s="108">
        <f>+D73-D74</f>
        <v>-2.0755000000062864</v>
      </c>
      <c r="E75" s="108">
        <f>+E73-E74</f>
        <v>-2.0755000000062864</v>
      </c>
      <c r="F75" s="108">
        <f>+F73-F74</f>
        <v>0</v>
      </c>
      <c r="G75" s="1">
        <f>+D75/9*100</f>
        <v>-23.06111111118096</v>
      </c>
    </row>
    <row r="76" spans="1:7" ht="15.75">
      <c r="A76" s="3"/>
      <c r="B76" s="2"/>
      <c r="C76" s="3"/>
      <c r="D76" s="3"/>
      <c r="E76" s="3"/>
      <c r="F76" s="3"/>
    </row>
    <row r="77" spans="1:7" ht="15.75">
      <c r="A77" s="27" t="s">
        <v>77</v>
      </c>
      <c r="B77" s="2"/>
      <c r="C77" s="3"/>
      <c r="D77" s="3"/>
      <c r="E77" s="3"/>
      <c r="F77" s="3"/>
    </row>
    <row r="78" spans="1:7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7">
      <c r="A79" s="1221"/>
      <c r="B79" s="1222"/>
      <c r="C79" s="1223"/>
      <c r="D79" s="1254" t="s">
        <v>67</v>
      </c>
      <c r="E79" s="1235"/>
      <c r="F79" s="1235"/>
    </row>
    <row r="80" spans="1:7">
      <c r="A80" s="1225"/>
      <c r="B80" s="1226"/>
      <c r="C80" s="1227"/>
      <c r="D80" s="42"/>
      <c r="E80" s="42"/>
      <c r="F80" s="42"/>
      <c r="G80" s="32"/>
    </row>
    <row r="81" spans="1:15" ht="15.75">
      <c r="A81" s="1216" t="s">
        <v>69</v>
      </c>
      <c r="B81" s="1216"/>
      <c r="C81" s="1216"/>
      <c r="D81" s="108">
        <v>3659.22</v>
      </c>
      <c r="E81" s="108">
        <f>+D81</f>
        <v>3659.22</v>
      </c>
      <c r="F81" s="58">
        <v>0</v>
      </c>
      <c r="G81" s="32">
        <f t="shared" ref="G81:I83" si="3">+D81/2</f>
        <v>1829.61</v>
      </c>
      <c r="H81" s="32">
        <f t="shared" si="3"/>
        <v>1829.61</v>
      </c>
      <c r="I81" s="32">
        <f t="shared" si="3"/>
        <v>0</v>
      </c>
    </row>
    <row r="82" spans="1:15" ht="15.75">
      <c r="A82" s="1224" t="s">
        <v>83</v>
      </c>
      <c r="B82" s="1224"/>
      <c r="C82" s="1224"/>
      <c r="D82" s="105">
        <f>+C91</f>
        <v>59.22</v>
      </c>
      <c r="E82" s="105">
        <f>+D82</f>
        <v>59.22</v>
      </c>
      <c r="F82" s="56">
        <v>0</v>
      </c>
      <c r="G82" s="32">
        <f t="shared" si="3"/>
        <v>29.61</v>
      </c>
      <c r="H82" s="32">
        <f t="shared" si="3"/>
        <v>29.61</v>
      </c>
      <c r="I82" s="32">
        <f t="shared" si="3"/>
        <v>0</v>
      </c>
    </row>
    <row r="83" spans="1:15" ht="16.5" thickBot="1">
      <c r="A83" s="1215" t="s">
        <v>82</v>
      </c>
      <c r="B83" s="1215"/>
      <c r="C83" s="1215"/>
      <c r="D83" s="105">
        <f>+D81-D82</f>
        <v>3600</v>
      </c>
      <c r="E83" s="105">
        <f>+E81-E82</f>
        <v>3600</v>
      </c>
      <c r="F83" s="56">
        <f>+F81-F82</f>
        <v>0</v>
      </c>
      <c r="G83" s="32">
        <f t="shared" si="3"/>
        <v>1800</v>
      </c>
      <c r="H83" s="32">
        <f t="shared" si="3"/>
        <v>1800</v>
      </c>
      <c r="I83" s="32">
        <f t="shared" si="3"/>
        <v>0</v>
      </c>
    </row>
    <row r="84" spans="1:15">
      <c r="A84" s="1276"/>
      <c r="B84" s="1277"/>
      <c r="C84" s="1277"/>
      <c r="D84" s="1277"/>
      <c r="E84" s="1277"/>
      <c r="F84" s="1278"/>
      <c r="G84" s="250"/>
    </row>
    <row r="85" spans="1:15" ht="15.75" thickBot="1">
      <c r="A85" s="1279"/>
      <c r="B85" s="1280"/>
      <c r="C85" s="1280"/>
      <c r="D85" s="1280"/>
      <c r="E85" s="1280"/>
      <c r="F85" s="1281"/>
      <c r="G85" s="439"/>
    </row>
    <row r="86" spans="1:15" ht="15.75" thickBot="1">
      <c r="B86" s="744" t="s">
        <v>322</v>
      </c>
      <c r="C86" s="743" t="s">
        <v>89</v>
      </c>
      <c r="D86" s="743" t="s">
        <v>67</v>
      </c>
      <c r="E86" s="745" t="s">
        <v>68</v>
      </c>
      <c r="G86" s="250"/>
    </row>
    <row r="87" spans="1:15">
      <c r="B87" s="227" t="s">
        <v>102</v>
      </c>
      <c r="C87" s="228">
        <v>0</v>
      </c>
      <c r="D87" s="228">
        <f>+C87</f>
        <v>0</v>
      </c>
      <c r="E87" s="220">
        <v>0</v>
      </c>
      <c r="G87" s="250"/>
    </row>
    <row r="88" spans="1:15">
      <c r="B88" s="738" t="s">
        <v>440</v>
      </c>
      <c r="C88" s="1">
        <v>0</v>
      </c>
      <c r="D88" s="1">
        <f>+C88</f>
        <v>0</v>
      </c>
      <c r="E88" s="226"/>
      <c r="G88" s="250"/>
    </row>
    <row r="89" spans="1:15">
      <c r="B89" s="215" t="s">
        <v>102</v>
      </c>
      <c r="C89" s="1">
        <v>29.61</v>
      </c>
      <c r="D89" s="1">
        <f>+C89</f>
        <v>29.61</v>
      </c>
      <c r="E89" s="226">
        <v>0</v>
      </c>
      <c r="H89" s="32">
        <v>16.2</v>
      </c>
      <c r="I89" s="1">
        <f>+H89/9%</f>
        <v>180</v>
      </c>
    </row>
    <row r="90" spans="1:15" ht="15.75" thickBot="1">
      <c r="B90" s="217" t="s">
        <v>102</v>
      </c>
      <c r="C90" s="1">
        <v>29.61</v>
      </c>
      <c r="D90" s="218">
        <f>+C90</f>
        <v>29.61</v>
      </c>
      <c r="E90" s="219">
        <v>0</v>
      </c>
    </row>
    <row r="91" spans="1:15" ht="15.75" thickBot="1">
      <c r="A91" s="1" t="s">
        <v>5</v>
      </c>
      <c r="B91" s="216" t="s">
        <v>135</v>
      </c>
      <c r="C91" s="229">
        <f>+SUM(C87:C90)</f>
        <v>59.22</v>
      </c>
      <c r="D91" s="229">
        <f>+SUM(D87:D90)</f>
        <v>59.22</v>
      </c>
      <c r="E91" s="421">
        <f>+SUM(E87:E90)</f>
        <v>0</v>
      </c>
    </row>
    <row r="92" spans="1:15">
      <c r="G92" s="135"/>
      <c r="O92" s="1" t="s">
        <v>5</v>
      </c>
    </row>
    <row r="93" spans="1:15" ht="15" customHeight="1" thickBot="1">
      <c r="A93" s="402"/>
      <c r="B93" s="402"/>
      <c r="C93" s="402"/>
      <c r="D93" s="402"/>
      <c r="E93" s="402"/>
      <c r="F93" s="402"/>
    </row>
    <row r="94" spans="1:15" ht="15" customHeight="1">
      <c r="A94" s="1276"/>
      <c r="B94" s="1277"/>
      <c r="C94" s="1277"/>
      <c r="D94" s="1277"/>
      <c r="E94" s="1277"/>
      <c r="F94" s="1278"/>
    </row>
    <row r="95" spans="1:15" ht="15.75" thickBot="1">
      <c r="A95" s="1279"/>
      <c r="B95" s="1280"/>
      <c r="C95" s="1280"/>
      <c r="D95" s="1280"/>
      <c r="E95" s="1280"/>
      <c r="F95" s="1281"/>
    </row>
    <row r="97" spans="1:1">
      <c r="A97"/>
    </row>
  </sheetData>
  <mergeCells count="30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I7:I8"/>
    <mergeCell ref="A81:C81"/>
    <mergeCell ref="A82:C82"/>
    <mergeCell ref="A74:C74"/>
    <mergeCell ref="A75:C75"/>
    <mergeCell ref="A78:C79"/>
    <mergeCell ref="D78:D79"/>
    <mergeCell ref="A66:F66"/>
    <mergeCell ref="A69:C70"/>
    <mergeCell ref="D69:D70"/>
    <mergeCell ref="E69:E70"/>
    <mergeCell ref="F69:F70"/>
    <mergeCell ref="A80:C80"/>
    <mergeCell ref="A71:C71"/>
    <mergeCell ref="A83:C83"/>
    <mergeCell ref="F78:F79"/>
    <mergeCell ref="E78:E79"/>
    <mergeCell ref="A84:F85"/>
    <mergeCell ref="A94:F95"/>
  </mergeCells>
  <conditionalFormatting sqref="A84">
    <cfRule type="containsText" dxfId="453" priority="9" operator="containsText" text="LESS COLLECTED">
      <formula>NOT(ISERROR(SEARCH("LESS COLLECTED",A84)))</formula>
    </cfRule>
    <cfRule type="containsText" dxfId="452" priority="10" operator="containsText" text="LESS COLLECTED">
      <formula>NOT(ISERROR(SEARCH("LESS COLLECTED",A84)))</formula>
    </cfRule>
  </conditionalFormatting>
  <conditionalFormatting sqref="A10:B21 G93:XFD96">
    <cfRule type="containsText" dxfId="451" priority="44" operator="containsText" text="LESS COLLECTED">
      <formula>NOT(ISERROR(SEARCH("LESS COLLECTED",A10)))</formula>
    </cfRule>
  </conditionalFormatting>
  <conditionalFormatting sqref="A22:B50">
    <cfRule type="containsText" dxfId="450" priority="54" operator="containsText" text="LESS COLLECTED">
      <formula>NOT(ISERROR(SEARCH("LESS COLLECTED",A22)))</formula>
    </cfRule>
  </conditionalFormatting>
  <conditionalFormatting sqref="A28:B32">
    <cfRule type="containsText" dxfId="449" priority="53" operator="containsText" text="EXCESS COLLECTED">
      <formula>NOT(ISERROR(SEARCH("EXCESS COLLECTED",A28)))</formula>
    </cfRule>
  </conditionalFormatting>
  <conditionalFormatting sqref="A47:B56">
    <cfRule type="containsText" dxfId="448" priority="11" operator="containsText" text="EXCESS COLLECTED">
      <formula>NOT(ISERROR(SEARCH("EXCESS COLLECTED",A47)))</formula>
    </cfRule>
  </conditionalFormatting>
  <conditionalFormatting sqref="A51:B56">
    <cfRule type="containsText" dxfId="447" priority="12" operator="containsText" text="LESS COLLECTED">
      <formula>NOT(ISERROR(SEARCH("LESS COLLECTED",A51)))</formula>
    </cfRule>
  </conditionalFormatting>
  <conditionalFormatting sqref="A57:B62">
    <cfRule type="containsText" dxfId="446" priority="62" operator="containsText" text="LESS COLLECTED">
      <formula>NOT(ISERROR(SEARCH("LESS COLLECTED",A57)))</formula>
    </cfRule>
  </conditionalFormatting>
  <conditionalFormatting sqref="A7:F9 D38:F48 A1:XFD6 J7:XFD8 F28:F31 G76:XFD79 H80:XFD80 G81:XFD91 H92:XFD92 A93 B97:XFD97 A98:XFD1048576">
    <cfRule type="containsText" dxfId="445" priority="139" operator="containsText" text="LESS COLLECTED">
      <formula>NOT(ISERROR(SEARCH("LESS COLLECTED",A1)))</formula>
    </cfRule>
  </conditionalFormatting>
  <conditionalFormatting sqref="A63:F65">
    <cfRule type="containsText" dxfId="444" priority="74" operator="containsText" text="LESS COLLECTED">
      <formula>NOT(ISERROR(SEARCH("LESS COLLECTED",A63)))</formula>
    </cfRule>
  </conditionalFormatting>
  <conditionalFormatting sqref="A71:F73">
    <cfRule type="containsText" dxfId="443" priority="2" operator="containsText" text="LESS COLLECTED">
      <formula>NOT(ISERROR(SEARCH("LESS COLLECTED",A71)))</formula>
    </cfRule>
  </conditionalFormatting>
  <conditionalFormatting sqref="A72:F73">
    <cfRule type="containsText" dxfId="442" priority="1" operator="containsText" text="EXCESS COLLECTED">
      <formula>NOT(ISERROR(SEARCH("EXCESS COLLECTED",A72)))</formula>
    </cfRule>
  </conditionalFormatting>
  <conditionalFormatting sqref="B61">
    <cfRule type="containsText" dxfId="441" priority="61" operator="containsText" text="EXCESS COLLECTED">
      <formula>NOT(ISERROR(SEARCH("EXCESS COLLECTED",B61)))</formula>
    </cfRule>
  </conditionalFormatting>
  <conditionalFormatting sqref="B86:D92">
    <cfRule type="containsText" dxfId="440" priority="34" operator="containsText" text="EXCESS COLLECTED">
      <formula>NOT(ISERROR(SEARCH("EXCESS COLLECTED",B86)))</formula>
    </cfRule>
  </conditionalFormatting>
  <conditionalFormatting sqref="C10:C61">
    <cfRule type="containsText" dxfId="439" priority="8" operator="containsText" text="LESS COLLECTED">
      <formula>NOT(ISERROR(SEARCH("LESS COLLECTED",C10)))</formula>
    </cfRule>
  </conditionalFormatting>
  <conditionalFormatting sqref="C91:E91 D7:F8 D48 F48 D52 F52:F55 D69:E70">
    <cfRule type="containsText" dxfId="438" priority="127" operator="containsText" text="EXCESS COLLECTED">
      <formula>NOT(ISERROR(SEARCH("EXCESS COLLECTED",C7)))</formula>
    </cfRule>
  </conditionalFormatting>
  <conditionalFormatting sqref="C62:F62">
    <cfRule type="containsText" dxfId="437" priority="25" operator="containsText" text="LESS COLLECTED">
      <formula>NOT(ISERROR(SEARCH("LESS COLLECTED",C62)))</formula>
    </cfRule>
  </conditionalFormatting>
  <conditionalFormatting sqref="D53:E55">
    <cfRule type="containsText" dxfId="436" priority="40" operator="containsText" text="EXCESS COLLECTED">
      <formula>NOT(ISERROR(SEARCH("EXCESS COLLECTED",D53)))</formula>
    </cfRule>
    <cfRule type="containsText" dxfId="435" priority="41" operator="containsText" text="LESS COLLECTED">
      <formula>NOT(ISERROR(SEARCH("LESS COLLECTED",D53)))</formula>
    </cfRule>
  </conditionalFormatting>
  <conditionalFormatting sqref="D7:F8 D48 F48 D52:F52 F53:F55 A66:F70 A91:F92 D87:F90 A86:F86">
    <cfRule type="containsText" dxfId="434" priority="128" operator="containsText" text="LESS COLLECTED">
      <formula>NOT(ISERROR(SEARCH("LESS COLLECTED",A7)))</formula>
    </cfRule>
  </conditionalFormatting>
  <conditionalFormatting sqref="D10:F37">
    <cfRule type="containsText" dxfId="433" priority="3" operator="containsText" text="LESS COLLECTED">
      <formula>NOT(ISERROR(SEARCH("LESS COLLECTED",D10)))</formula>
    </cfRule>
  </conditionalFormatting>
  <conditionalFormatting sqref="D49:F51">
    <cfRule type="containsText" dxfId="432" priority="20" operator="containsText" text="EXCESS COLLECTED">
      <formula>NOT(ISERROR(SEARCH("EXCESS COLLECTED",D49)))</formula>
    </cfRule>
    <cfRule type="containsText" dxfId="431" priority="21" operator="containsText" text="LESS COLLECTED">
      <formula>NOT(ISERROR(SEARCH("LESS COLLECTED",D49)))</formula>
    </cfRule>
  </conditionalFormatting>
  <conditionalFormatting sqref="D56:F56">
    <cfRule type="containsText" dxfId="430" priority="13" operator="containsText" text="EXCESS COLLECTED">
      <formula>NOT(ISERROR(SEARCH("EXCESS COLLECTED",D56)))</formula>
    </cfRule>
  </conditionalFormatting>
  <conditionalFormatting sqref="E87:E91">
    <cfRule type="containsText" dxfId="429" priority="67" operator="containsText" text="EXCESS COLLECTED">
      <formula>NOT(ISERROR(SEARCH("EXCESS COLLECTED",E87)))</formula>
    </cfRule>
    <cfRule type="containsText" dxfId="428" priority="68" operator="containsText" text="LESS COLLECTED">
      <formula>NOT(ISERROR(SEARCH("LESS COLLECTED",E87)))</formula>
    </cfRule>
  </conditionalFormatting>
  <conditionalFormatting sqref="E91">
    <cfRule type="containsText" dxfId="427" priority="65" operator="containsText" text="EXCESS COLLECTED">
      <formula>NOT(ISERROR(SEARCH("EXCESS COLLECTED",E91)))</formula>
    </cfRule>
    <cfRule type="containsText" dxfId="426" priority="66" operator="containsText" text="LESS COLLECTED">
      <formula>NOT(ISERROR(SEARCH("LESS COLLECTED",E91)))</formula>
    </cfRule>
  </conditionalFormatting>
  <conditionalFormatting sqref="G65">
    <cfRule type="containsText" dxfId="425" priority="18" operator="containsText" text="EXCESS COLLECTED">
      <formula>NOT(ISERROR(SEARCH("EXCESS COLLECTED",G65)))</formula>
    </cfRule>
  </conditionalFormatting>
  <conditionalFormatting sqref="G75">
    <cfRule type="containsText" dxfId="424" priority="4" operator="containsText" text="EXC">
      <formula>NOT(ISERROR(SEARCH("EXC",G75)))</formula>
    </cfRule>
    <cfRule type="containsText" dxfId="423" priority="5" operator="containsText" text="LESS">
      <formula>NOT(ISERROR(SEARCH("LESS",G75)))</formula>
    </cfRule>
    <cfRule type="containsText" dxfId="422" priority="6" operator="containsText" text="EXC">
      <formula>NOT(ISERROR(SEARCH("EXC",G75)))</formula>
    </cfRule>
  </conditionalFormatting>
  <conditionalFormatting sqref="G9:XFD73">
    <cfRule type="containsText" dxfId="421" priority="19" operator="containsText" text="LESS COLLECTED">
      <formula>NOT(ISERROR(SEARCH("LESS COLLECTED",G9)))</formula>
    </cfRule>
  </conditionalFormatting>
  <conditionalFormatting sqref="H74:XFD75">
    <cfRule type="containsText" dxfId="420" priority="7" operator="containsText" text="LESS COLLECTED">
      <formula>NOT(ISERROR(SEARCH("LESS COLLECTED",H74)))</formula>
    </cfRule>
  </conditionalFormatting>
  <pageMargins left="0.90551181102362199" right="0.86811023600000004" top="0.75" bottom="0.5" header="0.31496062992126" footer="0.31496062992126"/>
  <pageSetup paperSize="9" scale="49" orientation="portrait" r:id="rId1"/>
  <rowBreaks count="1" manualBreakCount="1">
    <brk id="97" max="5" man="1"/>
  </rowBreaks>
  <colBreaks count="1" manualBreakCount="1">
    <brk id="6" max="1048575" man="1"/>
  </colBreaks>
  <ignoredErrors>
    <ignoredError sqref="G62:H62" formulaRange="1"/>
    <ignoredError sqref="A58:A5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92D050"/>
  </sheetPr>
  <dimension ref="A1:O116"/>
  <sheetViews>
    <sheetView topLeftCell="A74" workbookViewId="0">
      <selection activeCell="F81" sqref="F81"/>
    </sheetView>
  </sheetViews>
  <sheetFormatPr defaultColWidth="9.140625" defaultRowHeight="15"/>
  <cols>
    <col min="1" max="1" width="15.7109375" style="1" bestFit="1" customWidth="1"/>
    <col min="2" max="2" width="41.28515625" style="1" customWidth="1"/>
    <col min="3" max="3" width="13.42578125" style="1" customWidth="1"/>
    <col min="4" max="4" width="16.140625" style="1" bestFit="1" customWidth="1"/>
    <col min="5" max="5" width="14.85546875" style="1" customWidth="1"/>
    <col min="6" max="6" width="16.5703125" style="1" bestFit="1" customWidth="1"/>
    <col min="7" max="7" width="19.85546875" style="1" customWidth="1"/>
    <col min="8" max="8" width="17.7109375" style="32" bestFit="1" customWidth="1"/>
    <col min="9" max="9" width="10.85546875" style="1" bestFit="1" customWidth="1"/>
    <col min="10" max="10" width="16.2851562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91</v>
      </c>
      <c r="B3" s="1229"/>
      <c r="C3" s="1229"/>
      <c r="D3" s="1229"/>
      <c r="E3" s="1229"/>
      <c r="F3" s="1229"/>
    </row>
    <row r="4" spans="1:10" ht="15.75">
      <c r="A4" s="1229" t="s">
        <v>441</v>
      </c>
      <c r="B4" s="1229"/>
      <c r="C4" s="1229"/>
      <c r="D4" s="1229"/>
      <c r="E4" s="1229"/>
      <c r="F4" s="1229"/>
    </row>
    <row r="5" spans="1:10" ht="15.75">
      <c r="A5" s="1228" t="str">
        <f>+'SHANTI COMM'!A5:F5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  <c r="J6" s="613"/>
    </row>
    <row r="7" spans="1:10" ht="15.75">
      <c r="A7" s="175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138">
        <v>0</v>
      </c>
      <c r="D9" s="4">
        <f t="shared" ref="D9:D20" si="0">+C9*9%</f>
        <v>0</v>
      </c>
      <c r="E9" s="4">
        <f t="shared" ref="E9:E20" si="1">+D9</f>
        <v>0</v>
      </c>
      <c r="F9" s="4">
        <f>IF(D9&gt;0," ",C9*18%)</f>
        <v>0</v>
      </c>
      <c r="G9" s="42"/>
      <c r="H9" s="156"/>
      <c r="I9" s="42"/>
    </row>
    <row r="10" spans="1:10" ht="15.75">
      <c r="A10" s="31" t="s">
        <v>87</v>
      </c>
      <c r="B10" s="70" t="s">
        <v>61</v>
      </c>
      <c r="C10" s="138"/>
      <c r="D10" s="4">
        <f t="shared" si="0"/>
        <v>0</v>
      </c>
      <c r="E10" s="4">
        <f t="shared" si="1"/>
        <v>0</v>
      </c>
      <c r="F10" s="4">
        <f>IF(D10&gt;0," ",C10*18%)</f>
        <v>0</v>
      </c>
      <c r="G10" s="42"/>
      <c r="H10" s="156"/>
      <c r="I10" s="42"/>
    </row>
    <row r="11" spans="1:10" ht="15.75">
      <c r="A11" s="13" t="s">
        <v>60</v>
      </c>
      <c r="B11" s="70" t="s">
        <v>59</v>
      </c>
      <c r="C11" s="138"/>
      <c r="D11" s="4">
        <f t="shared" si="0"/>
        <v>0</v>
      </c>
      <c r="E11" s="4">
        <f t="shared" si="1"/>
        <v>0</v>
      </c>
      <c r="F11" s="4">
        <f t="shared" ref="F11:F52" si="2">IF(D11&gt;0," ",C11*18%)</f>
        <v>0</v>
      </c>
      <c r="G11" s="42"/>
      <c r="H11" s="156"/>
      <c r="I11" s="42"/>
    </row>
    <row r="12" spans="1:10" ht="15.75">
      <c r="A12" s="14" t="s">
        <v>58</v>
      </c>
      <c r="B12" s="70" t="s">
        <v>57</v>
      </c>
      <c r="C12" s="138">
        <v>110931</v>
      </c>
      <c r="D12" s="367">
        <f t="shared" si="0"/>
        <v>9983.7899999999991</v>
      </c>
      <c r="E12" s="367">
        <f t="shared" si="1"/>
        <v>9983.7899999999991</v>
      </c>
      <c r="F12" s="4" t="str">
        <f t="shared" si="2"/>
        <v xml:space="preserve"> </v>
      </c>
      <c r="G12" s="42"/>
      <c r="H12" s="156"/>
      <c r="I12" s="42"/>
    </row>
    <row r="13" spans="1:10" ht="15.75">
      <c r="A13" s="14" t="s">
        <v>56</v>
      </c>
      <c r="B13" s="70" t="s">
        <v>55</v>
      </c>
      <c r="C13" s="138"/>
      <c r="D13" s="367">
        <f t="shared" si="0"/>
        <v>0</v>
      </c>
      <c r="E13" s="367">
        <f t="shared" si="1"/>
        <v>0</v>
      </c>
      <c r="F13" s="4">
        <f t="shared" si="2"/>
        <v>0</v>
      </c>
      <c r="G13" s="42"/>
      <c r="H13" s="156"/>
      <c r="I13" s="42"/>
    </row>
    <row r="14" spans="1:10" ht="15.75">
      <c r="A14" s="13" t="s">
        <v>54</v>
      </c>
      <c r="B14" s="70" t="s">
        <v>53</v>
      </c>
      <c r="C14" s="138"/>
      <c r="D14" s="367">
        <f t="shared" si="0"/>
        <v>0</v>
      </c>
      <c r="E14" s="367">
        <f t="shared" si="1"/>
        <v>0</v>
      </c>
      <c r="F14" s="4">
        <v>0</v>
      </c>
      <c r="G14" s="42"/>
      <c r="H14" s="156"/>
      <c r="I14" s="42"/>
    </row>
    <row r="15" spans="1:10" ht="15.75">
      <c r="A15" s="13" t="s">
        <v>52</v>
      </c>
      <c r="B15" s="70" t="s">
        <v>51</v>
      </c>
      <c r="C15" s="138"/>
      <c r="D15" s="367">
        <f t="shared" si="0"/>
        <v>0</v>
      </c>
      <c r="E15" s="367">
        <f t="shared" si="1"/>
        <v>0</v>
      </c>
      <c r="F15" s="4">
        <f t="shared" si="2"/>
        <v>0</v>
      </c>
      <c r="G15" s="42"/>
      <c r="H15" s="156"/>
      <c r="I15" s="42"/>
    </row>
    <row r="16" spans="1:10" ht="15.75">
      <c r="A16" s="14" t="s">
        <v>50</v>
      </c>
      <c r="B16" s="70" t="s">
        <v>49</v>
      </c>
      <c r="C16" s="138"/>
      <c r="D16" s="367">
        <f t="shared" si="0"/>
        <v>0</v>
      </c>
      <c r="E16" s="367">
        <f t="shared" si="1"/>
        <v>0</v>
      </c>
      <c r="F16" s="4">
        <f t="shared" si="2"/>
        <v>0</v>
      </c>
      <c r="G16" s="42"/>
      <c r="H16" s="156"/>
      <c r="I16" s="42"/>
    </row>
    <row r="17" spans="1:15" ht="15.75">
      <c r="A17" s="14" t="s">
        <v>48</v>
      </c>
      <c r="B17" s="70" t="s">
        <v>47</v>
      </c>
      <c r="C17" s="138"/>
      <c r="D17" s="367">
        <f>+C17*9%</f>
        <v>0</v>
      </c>
      <c r="E17" s="367">
        <f t="shared" si="1"/>
        <v>0</v>
      </c>
      <c r="F17" s="4">
        <f>IF(D17&gt;0," ",C17*18%)</f>
        <v>0</v>
      </c>
      <c r="G17" s="42"/>
      <c r="H17" s="156"/>
      <c r="I17" s="42"/>
    </row>
    <row r="18" spans="1:15" ht="15.75">
      <c r="A18" s="14" t="s">
        <v>46</v>
      </c>
      <c r="B18" s="70" t="s">
        <v>45</v>
      </c>
      <c r="C18" s="138"/>
      <c r="D18" s="367">
        <f>+C18*9%</f>
        <v>0</v>
      </c>
      <c r="E18" s="367">
        <f t="shared" si="1"/>
        <v>0</v>
      </c>
      <c r="F18" s="4">
        <f>IF(D18&gt;0," ",C18*18%)</f>
        <v>0</v>
      </c>
      <c r="G18" s="42"/>
      <c r="H18" s="156"/>
      <c r="I18" s="42"/>
    </row>
    <row r="19" spans="1:15" ht="15.75">
      <c r="A19" s="13" t="s">
        <v>44</v>
      </c>
      <c r="B19" s="70" t="s">
        <v>43</v>
      </c>
      <c r="C19" s="138">
        <v>10688</v>
      </c>
      <c r="D19" s="367">
        <f t="shared" si="0"/>
        <v>961.92</v>
      </c>
      <c r="E19" s="367">
        <f t="shared" si="1"/>
        <v>961.92</v>
      </c>
      <c r="F19" s="4">
        <v>0</v>
      </c>
      <c r="G19" s="42"/>
      <c r="H19" s="156"/>
      <c r="I19" s="42"/>
    </row>
    <row r="20" spans="1:15" ht="15.75">
      <c r="A20" s="13">
        <v>3271</v>
      </c>
      <c r="B20" s="70" t="s">
        <v>533</v>
      </c>
      <c r="C20" s="138">
        <v>10860</v>
      </c>
      <c r="D20" s="367">
        <f t="shared" si="0"/>
        <v>977.4</v>
      </c>
      <c r="E20" s="367">
        <f t="shared" si="1"/>
        <v>977.4</v>
      </c>
      <c r="F20" s="4">
        <v>0</v>
      </c>
      <c r="G20" s="42">
        <v>0</v>
      </c>
      <c r="H20" s="156"/>
      <c r="I20" s="42"/>
    </row>
    <row r="21" spans="1:15" ht="15.75">
      <c r="A21" s="13">
        <v>3274</v>
      </c>
      <c r="B21" s="70" t="s">
        <v>554</v>
      </c>
      <c r="C21" s="138"/>
      <c r="D21" s="367"/>
      <c r="E21" s="367"/>
      <c r="F21" s="4"/>
      <c r="G21" s="42"/>
      <c r="H21" s="156"/>
      <c r="I21" s="42"/>
    </row>
    <row r="22" spans="1:15" ht="15.75">
      <c r="A22" s="17" t="s">
        <v>42</v>
      </c>
      <c r="B22" s="70" t="s">
        <v>41</v>
      </c>
      <c r="C22" s="138"/>
      <c r="D22" s="367">
        <f t="shared" ref="D22:D37" si="3">+C22*9%</f>
        <v>0</v>
      </c>
      <c r="E22" s="367">
        <f t="shared" ref="E22:E37" si="4">+D22</f>
        <v>0</v>
      </c>
      <c r="F22" s="4">
        <f t="shared" si="2"/>
        <v>0</v>
      </c>
      <c r="G22" s="42"/>
      <c r="H22" s="156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38"/>
      <c r="D23" s="367">
        <f t="shared" si="3"/>
        <v>0</v>
      </c>
      <c r="E23" s="367">
        <f t="shared" si="4"/>
        <v>0</v>
      </c>
      <c r="F23" s="4">
        <f t="shared" si="2"/>
        <v>0</v>
      </c>
      <c r="G23" s="42"/>
      <c r="H23" s="156"/>
      <c r="I23" s="42"/>
      <c r="N23" s="1">
        <v>26113</v>
      </c>
    </row>
    <row r="24" spans="1:15" ht="15.75">
      <c r="A24" s="14" t="s">
        <v>38</v>
      </c>
      <c r="B24" s="70" t="s">
        <v>37</v>
      </c>
      <c r="C24" s="138"/>
      <c r="D24" s="367">
        <f t="shared" si="3"/>
        <v>0</v>
      </c>
      <c r="E24" s="367">
        <f t="shared" si="4"/>
        <v>0</v>
      </c>
      <c r="F24" s="4">
        <f t="shared" si="2"/>
        <v>0</v>
      </c>
      <c r="G24" s="42"/>
      <c r="H24" s="156"/>
      <c r="I24" s="42"/>
    </row>
    <row r="25" spans="1:15" ht="15.75">
      <c r="A25" s="16" t="s">
        <v>36</v>
      </c>
      <c r="B25" s="70" t="s">
        <v>35</v>
      </c>
      <c r="C25" s="138"/>
      <c r="D25" s="367">
        <f t="shared" si="3"/>
        <v>0</v>
      </c>
      <c r="E25" s="367">
        <f t="shared" si="4"/>
        <v>0</v>
      </c>
      <c r="F25" s="4">
        <v>0</v>
      </c>
      <c r="G25" s="42"/>
      <c r="H25" s="156"/>
      <c r="I25" s="42"/>
    </row>
    <row r="26" spans="1:15" ht="15.75">
      <c r="A26" s="16" t="s">
        <v>34</v>
      </c>
      <c r="B26" s="70" t="s">
        <v>33</v>
      </c>
      <c r="C26" s="138"/>
      <c r="D26" s="367">
        <f t="shared" si="3"/>
        <v>0</v>
      </c>
      <c r="E26" s="367">
        <f t="shared" si="4"/>
        <v>0</v>
      </c>
      <c r="F26" s="4">
        <f t="shared" si="2"/>
        <v>0</v>
      </c>
      <c r="G26" s="42"/>
      <c r="H26" s="156"/>
      <c r="I26" s="42"/>
    </row>
    <row r="27" spans="1:15" ht="15.75">
      <c r="A27" s="16" t="s">
        <v>32</v>
      </c>
      <c r="B27" s="70" t="s">
        <v>31</v>
      </c>
      <c r="C27" s="138"/>
      <c r="D27" s="367">
        <f t="shared" si="3"/>
        <v>0</v>
      </c>
      <c r="E27" s="367">
        <f t="shared" si="4"/>
        <v>0</v>
      </c>
      <c r="F27" s="4">
        <f t="shared" si="2"/>
        <v>0</v>
      </c>
      <c r="G27" s="42"/>
      <c r="H27" s="156"/>
      <c r="I27" s="42"/>
    </row>
    <row r="28" spans="1:15" ht="15.75">
      <c r="A28" s="137">
        <v>3291</v>
      </c>
      <c r="B28" s="33" t="s">
        <v>325</v>
      </c>
      <c r="C28" s="138"/>
      <c r="D28" s="367">
        <f t="shared" si="3"/>
        <v>0</v>
      </c>
      <c r="E28" s="367">
        <f t="shared" si="4"/>
        <v>0</v>
      </c>
      <c r="F28" s="4">
        <f>IF(D28&gt;0," ",C28*18%)</f>
        <v>0</v>
      </c>
      <c r="G28" s="42"/>
      <c r="H28" s="156"/>
      <c r="I28" s="42"/>
    </row>
    <row r="29" spans="1:15" ht="15.75">
      <c r="A29" s="137" t="s">
        <v>526</v>
      </c>
      <c r="B29" s="33" t="s">
        <v>523</v>
      </c>
      <c r="C29" s="138">
        <f>3347.5-100</f>
        <v>3247.5</v>
      </c>
      <c r="D29" s="367">
        <f t="shared" si="3"/>
        <v>292.27499999999998</v>
      </c>
      <c r="E29" s="367">
        <f t="shared" si="4"/>
        <v>292.27499999999998</v>
      </c>
      <c r="F29" s="4" t="str">
        <f>IF(D29&gt;0," ",C29*18%)</f>
        <v xml:space="preserve"> </v>
      </c>
      <c r="G29" s="923">
        <v>100</v>
      </c>
      <c r="H29" s="924"/>
      <c r="I29" s="923"/>
      <c r="J29" s="643"/>
    </row>
    <row r="30" spans="1:15" ht="15.75">
      <c r="A30" s="137" t="s">
        <v>527</v>
      </c>
      <c r="B30" s="33" t="s">
        <v>524</v>
      </c>
      <c r="C30" s="138">
        <f>4180-20</f>
        <v>4160</v>
      </c>
      <c r="D30" s="367">
        <f t="shared" si="3"/>
        <v>374.4</v>
      </c>
      <c r="E30" s="367">
        <f t="shared" si="4"/>
        <v>374.4</v>
      </c>
      <c r="F30" s="4" t="str">
        <f>IF(D30&gt;0," ",C30*18%)</f>
        <v xml:space="preserve"> </v>
      </c>
      <c r="G30" s="42"/>
      <c r="H30" s="156">
        <v>20</v>
      </c>
      <c r="I30" s="42"/>
    </row>
    <row r="31" spans="1:15" ht="15.75">
      <c r="A31" s="137" t="s">
        <v>528</v>
      </c>
      <c r="B31" s="33" t="s">
        <v>529</v>
      </c>
      <c r="C31" s="138">
        <v>400</v>
      </c>
      <c r="D31" s="367">
        <f t="shared" si="3"/>
        <v>36</v>
      </c>
      <c r="E31" s="367">
        <f t="shared" si="4"/>
        <v>36</v>
      </c>
      <c r="F31" s="4" t="str">
        <f>IF(D31&gt;0," ",C31*18%)</f>
        <v xml:space="preserve"> </v>
      </c>
      <c r="G31" s="42"/>
      <c r="H31" s="156"/>
      <c r="I31" s="42"/>
    </row>
    <row r="32" spans="1:15" ht="15.75">
      <c r="A32" s="137" t="s">
        <v>531</v>
      </c>
      <c r="B32" s="33" t="s">
        <v>532</v>
      </c>
      <c r="C32" s="138"/>
      <c r="D32" s="367">
        <f t="shared" si="3"/>
        <v>0</v>
      </c>
      <c r="E32" s="367">
        <f t="shared" si="4"/>
        <v>0</v>
      </c>
      <c r="F32" s="4">
        <f>IF(D32&gt;0," ",C32*18%)</f>
        <v>0</v>
      </c>
      <c r="G32" s="42"/>
      <c r="H32" s="156"/>
      <c r="I32" s="42"/>
    </row>
    <row r="33" spans="1:10" ht="15.75">
      <c r="A33" s="13" t="s">
        <v>30</v>
      </c>
      <c r="B33" s="70" t="s">
        <v>29</v>
      </c>
      <c r="C33" s="138">
        <v>333377</v>
      </c>
      <c r="D33" s="367">
        <f t="shared" si="3"/>
        <v>30003.93</v>
      </c>
      <c r="E33" s="367">
        <f t="shared" si="4"/>
        <v>30003.93</v>
      </c>
      <c r="F33" s="4">
        <v>0</v>
      </c>
      <c r="G33" s="42"/>
      <c r="H33" s="156"/>
      <c r="I33" s="42"/>
      <c r="J33" s="32"/>
    </row>
    <row r="34" spans="1:10" ht="15.75">
      <c r="A34" s="14" t="s">
        <v>401</v>
      </c>
      <c r="B34" s="70" t="s">
        <v>154</v>
      </c>
      <c r="C34" s="138"/>
      <c r="D34" s="367">
        <f t="shared" si="3"/>
        <v>0</v>
      </c>
      <c r="E34" s="367">
        <f t="shared" si="4"/>
        <v>0</v>
      </c>
      <c r="F34" s="4">
        <f t="shared" si="2"/>
        <v>0</v>
      </c>
      <c r="G34" s="42"/>
      <c r="H34" s="156"/>
      <c r="I34" s="42"/>
    </row>
    <row r="35" spans="1:10" ht="15.75">
      <c r="A35" s="14">
        <v>3302</v>
      </c>
      <c r="B35" s="70" t="s">
        <v>591</v>
      </c>
      <c r="C35" s="138"/>
      <c r="D35" s="367">
        <f t="shared" si="3"/>
        <v>0</v>
      </c>
      <c r="E35" s="367">
        <f t="shared" si="4"/>
        <v>0</v>
      </c>
      <c r="F35" s="4">
        <f>IF(D35&gt;0," ",C35*18%)</f>
        <v>0</v>
      </c>
      <c r="G35" s="42"/>
      <c r="H35" s="156"/>
      <c r="I35" s="42"/>
    </row>
    <row r="36" spans="1:10" ht="15.75">
      <c r="A36" s="14" t="s">
        <v>28</v>
      </c>
      <c r="B36" s="70" t="s">
        <v>27</v>
      </c>
      <c r="C36" s="138"/>
      <c r="D36" s="367">
        <f t="shared" si="3"/>
        <v>0</v>
      </c>
      <c r="E36" s="367">
        <f t="shared" si="4"/>
        <v>0</v>
      </c>
      <c r="F36" s="4">
        <f t="shared" si="2"/>
        <v>0</v>
      </c>
      <c r="G36" s="42"/>
      <c r="H36" s="156"/>
      <c r="I36" s="42"/>
    </row>
    <row r="37" spans="1:10" ht="15.75">
      <c r="A37" s="16" t="s">
        <v>114</v>
      </c>
      <c r="B37" s="70" t="s">
        <v>115</v>
      </c>
      <c r="C37" s="138"/>
      <c r="D37" s="367">
        <f t="shared" si="3"/>
        <v>0</v>
      </c>
      <c r="E37" s="367">
        <f t="shared" si="4"/>
        <v>0</v>
      </c>
      <c r="F37" s="4">
        <f t="shared" si="2"/>
        <v>0</v>
      </c>
      <c r="G37" s="42"/>
      <c r="H37" s="156"/>
      <c r="I37" s="42"/>
    </row>
    <row r="38" spans="1:10" ht="15.75">
      <c r="A38" s="14" t="s">
        <v>26</v>
      </c>
      <c r="B38" s="70" t="s">
        <v>25</v>
      </c>
      <c r="C38" s="138">
        <v>1201.71</v>
      </c>
      <c r="D38" s="367">
        <f t="shared" ref="D38:D44" si="5">+C38*9%</f>
        <v>108.15389999999999</v>
      </c>
      <c r="E38" s="367">
        <f t="shared" ref="E38:E44" si="6">+D38</f>
        <v>108.15389999999999</v>
      </c>
      <c r="F38" s="4" t="str">
        <f t="shared" si="2"/>
        <v xml:space="preserve"> </v>
      </c>
      <c r="G38" s="42"/>
      <c r="H38" s="156"/>
      <c r="I38" s="42"/>
    </row>
    <row r="39" spans="1:10" ht="15.75">
      <c r="A39" s="13" t="s">
        <v>24</v>
      </c>
      <c r="B39" s="70" t="s">
        <v>23</v>
      </c>
      <c r="C39" s="138">
        <v>3500</v>
      </c>
      <c r="D39" s="367">
        <f t="shared" si="5"/>
        <v>315</v>
      </c>
      <c r="E39" s="367">
        <f t="shared" si="6"/>
        <v>315</v>
      </c>
      <c r="F39" s="4" t="str">
        <f t="shared" si="2"/>
        <v xml:space="preserve"> </v>
      </c>
      <c r="G39" s="42"/>
      <c r="H39" s="156"/>
      <c r="I39" s="42"/>
    </row>
    <row r="40" spans="1:10" ht="15.75">
      <c r="A40" s="14" t="s">
        <v>22</v>
      </c>
      <c r="B40" s="70" t="s">
        <v>21</v>
      </c>
      <c r="C40" s="138">
        <v>28950</v>
      </c>
      <c r="D40" s="367">
        <f t="shared" si="5"/>
        <v>2605.5</v>
      </c>
      <c r="E40" s="367">
        <f t="shared" si="6"/>
        <v>2605.5</v>
      </c>
      <c r="F40" s="4" t="str">
        <f t="shared" si="2"/>
        <v xml:space="preserve"> </v>
      </c>
      <c r="G40" s="42"/>
      <c r="H40" s="156"/>
      <c r="I40" s="42"/>
    </row>
    <row r="41" spans="1:10" ht="15.75">
      <c r="A41" s="13" t="s">
        <v>20</v>
      </c>
      <c r="B41" s="70" t="s">
        <v>19</v>
      </c>
      <c r="C41" s="138">
        <v>4350</v>
      </c>
      <c r="D41" s="367">
        <f t="shared" si="5"/>
        <v>391.5</v>
      </c>
      <c r="E41" s="367">
        <f t="shared" si="6"/>
        <v>391.5</v>
      </c>
      <c r="F41" s="4" t="str">
        <f t="shared" si="2"/>
        <v xml:space="preserve"> </v>
      </c>
      <c r="G41" s="42"/>
      <c r="H41" s="156"/>
      <c r="I41" s="42"/>
    </row>
    <row r="42" spans="1:10" ht="15.75">
      <c r="A42" s="14" t="s">
        <v>18</v>
      </c>
      <c r="B42" s="70" t="s">
        <v>17</v>
      </c>
      <c r="C42" s="138">
        <v>13590</v>
      </c>
      <c r="D42" s="367">
        <f t="shared" si="5"/>
        <v>1223.0999999999999</v>
      </c>
      <c r="E42" s="367">
        <f t="shared" si="6"/>
        <v>1223.0999999999999</v>
      </c>
      <c r="F42" s="4" t="str">
        <f t="shared" si="2"/>
        <v xml:space="preserve"> </v>
      </c>
      <c r="G42" s="42">
        <v>0</v>
      </c>
      <c r="H42" s="156"/>
      <c r="I42" s="42"/>
    </row>
    <row r="43" spans="1:10" ht="15.75">
      <c r="A43" s="14" t="s">
        <v>16</v>
      </c>
      <c r="B43" s="70" t="s">
        <v>15</v>
      </c>
      <c r="C43" s="138">
        <v>6300</v>
      </c>
      <c r="D43" s="367">
        <f>+C43*9%</f>
        <v>567</v>
      </c>
      <c r="E43" s="367">
        <f t="shared" si="6"/>
        <v>567</v>
      </c>
      <c r="F43" s="4" t="str">
        <f t="shared" si="2"/>
        <v xml:space="preserve"> </v>
      </c>
      <c r="G43" s="42"/>
      <c r="H43" s="156"/>
      <c r="I43" s="42"/>
    </row>
    <row r="44" spans="1:10" ht="15.75">
      <c r="A44" s="14" t="s">
        <v>14</v>
      </c>
      <c r="B44" s="70" t="s">
        <v>13</v>
      </c>
      <c r="C44" s="138">
        <v>2302</v>
      </c>
      <c r="D44" s="367">
        <f t="shared" si="5"/>
        <v>207.17999999999998</v>
      </c>
      <c r="E44" s="367">
        <f t="shared" si="6"/>
        <v>207.17999999999998</v>
      </c>
      <c r="F44" s="4" t="str">
        <f t="shared" si="2"/>
        <v xml:space="preserve"> </v>
      </c>
      <c r="G44" s="42"/>
      <c r="H44" s="156"/>
      <c r="I44" s="42"/>
    </row>
    <row r="45" spans="1:10" ht="15.75">
      <c r="A45" s="14" t="s">
        <v>396</v>
      </c>
      <c r="B45" s="70" t="s">
        <v>286</v>
      </c>
      <c r="C45" s="138"/>
      <c r="D45" s="367">
        <f>+C45*9%</f>
        <v>0</v>
      </c>
      <c r="E45" s="367">
        <f t="shared" ref="E45:E53" si="7">+D45</f>
        <v>0</v>
      </c>
      <c r="F45" s="4">
        <f t="shared" si="2"/>
        <v>0</v>
      </c>
      <c r="G45" s="42"/>
      <c r="H45" s="156"/>
      <c r="I45" s="42"/>
    </row>
    <row r="46" spans="1:10" ht="16.5" customHeight="1">
      <c r="A46" s="14" t="s">
        <v>12</v>
      </c>
      <c r="B46" s="70" t="s">
        <v>11</v>
      </c>
      <c r="C46" s="138"/>
      <c r="D46" s="367">
        <f>+C46*9%</f>
        <v>0</v>
      </c>
      <c r="E46" s="367">
        <f t="shared" si="7"/>
        <v>0</v>
      </c>
      <c r="F46" s="4">
        <f t="shared" si="2"/>
        <v>0</v>
      </c>
      <c r="G46" s="42"/>
      <c r="H46" s="156"/>
      <c r="I46" s="42"/>
      <c r="J46" s="207"/>
    </row>
    <row r="47" spans="1:10" ht="15.75">
      <c r="A47" s="14" t="s">
        <v>397</v>
      </c>
      <c r="B47" s="70" t="s">
        <v>290</v>
      </c>
      <c r="C47" s="138"/>
      <c r="D47" s="367">
        <f>+C47*9%</f>
        <v>0</v>
      </c>
      <c r="E47" s="367">
        <f t="shared" si="7"/>
        <v>0</v>
      </c>
      <c r="F47" s="4">
        <f>IF(D47&gt;0," ",C47*18%)</f>
        <v>0</v>
      </c>
      <c r="G47" s="42"/>
      <c r="H47" s="156"/>
      <c r="I47" s="42"/>
    </row>
    <row r="48" spans="1:10" ht="15.75">
      <c r="A48" s="14" t="s">
        <v>398</v>
      </c>
      <c r="B48" s="70" t="s">
        <v>156</v>
      </c>
      <c r="C48" s="138"/>
      <c r="D48" s="367">
        <f>+C48*9%</f>
        <v>0</v>
      </c>
      <c r="E48" s="367">
        <f t="shared" si="7"/>
        <v>0</v>
      </c>
      <c r="F48" s="4">
        <f>IF(D48&gt;0," ",C48*18%)</f>
        <v>0</v>
      </c>
      <c r="G48" s="42"/>
      <c r="H48" s="156"/>
      <c r="I48" s="42"/>
    </row>
    <row r="49" spans="1:9" ht="15.75">
      <c r="A49" s="14" t="s">
        <v>399</v>
      </c>
      <c r="B49" s="70" t="s">
        <v>335</v>
      </c>
      <c r="C49" s="138"/>
      <c r="D49" s="367">
        <f>+C49*5%</f>
        <v>0</v>
      </c>
      <c r="E49" s="367">
        <f t="shared" si="7"/>
        <v>0</v>
      </c>
      <c r="F49" s="4"/>
      <c r="G49" s="42"/>
      <c r="H49" s="156"/>
      <c r="I49" s="42"/>
    </row>
    <row r="50" spans="1:9" ht="15.75">
      <c r="A50" s="14">
        <v>3324</v>
      </c>
      <c r="B50" s="70" t="s">
        <v>438</v>
      </c>
      <c r="C50" s="138"/>
      <c r="D50" s="367">
        <f>+C50*5%</f>
        <v>0</v>
      </c>
      <c r="E50" s="367">
        <f t="shared" si="7"/>
        <v>0</v>
      </c>
      <c r="F50" s="4"/>
      <c r="G50" s="42"/>
      <c r="H50" s="156"/>
      <c r="I50" s="42"/>
    </row>
    <row r="51" spans="1:9" ht="15.75">
      <c r="A51" s="161">
        <v>3325</v>
      </c>
      <c r="B51" s="70" t="s">
        <v>606</v>
      </c>
      <c r="C51" s="138"/>
      <c r="D51" s="367">
        <f>+C51*2.5%</f>
        <v>0</v>
      </c>
      <c r="E51" s="367">
        <f>+D51</f>
        <v>0</v>
      </c>
      <c r="F51" s="4">
        <f>IF(D51&gt;0," ",C51*18%)</f>
        <v>0</v>
      </c>
      <c r="G51" s="42"/>
      <c r="H51" s="156"/>
      <c r="I51" s="42"/>
    </row>
    <row r="52" spans="1:9" ht="15.75">
      <c r="A52" s="14" t="s">
        <v>400</v>
      </c>
      <c r="B52" s="70" t="s">
        <v>300</v>
      </c>
      <c r="C52" s="138">
        <v>49187</v>
      </c>
      <c r="D52" s="367">
        <f>+C52*9%</f>
        <v>4426.83</v>
      </c>
      <c r="E52" s="367">
        <f t="shared" si="7"/>
        <v>4426.83</v>
      </c>
      <c r="F52" s="4" t="str">
        <f t="shared" si="2"/>
        <v xml:space="preserve"> </v>
      </c>
      <c r="G52" s="42"/>
      <c r="H52" s="156"/>
      <c r="I52" s="42"/>
    </row>
    <row r="53" spans="1:9" ht="15.75">
      <c r="A53" s="14">
        <v>3359</v>
      </c>
      <c r="B53" s="70" t="s">
        <v>683</v>
      </c>
      <c r="C53" s="138"/>
      <c r="D53" s="367">
        <f>+C53*9%</f>
        <v>0</v>
      </c>
      <c r="E53" s="367">
        <f t="shared" si="7"/>
        <v>0</v>
      </c>
      <c r="F53" s="4"/>
      <c r="G53" s="42">
        <v>0</v>
      </c>
      <c r="H53" s="156"/>
      <c r="I53" s="42"/>
    </row>
    <row r="54" spans="1:9" ht="15.75">
      <c r="A54" s="14">
        <v>3825</v>
      </c>
      <c r="B54" s="70" t="s">
        <v>646</v>
      </c>
      <c r="C54" s="138"/>
      <c r="D54" s="367">
        <f>+C54*9%</f>
        <v>0</v>
      </c>
      <c r="E54" s="367">
        <f>+D54</f>
        <v>0</v>
      </c>
      <c r="F54" s="4"/>
      <c r="G54" s="42"/>
      <c r="H54" s="156"/>
      <c r="I54" s="42"/>
    </row>
    <row r="55" spans="1:9" ht="15.75">
      <c r="A55" s="14">
        <v>3362</v>
      </c>
      <c r="B55" s="70" t="s">
        <v>739</v>
      </c>
      <c r="C55" s="138"/>
      <c r="D55" s="367"/>
      <c r="E55" s="367"/>
      <c r="F55" s="4"/>
      <c r="G55" s="42"/>
      <c r="H55" s="156"/>
      <c r="I55" s="42"/>
    </row>
    <row r="56" spans="1:9" ht="15.75">
      <c r="A56" s="14">
        <v>3340</v>
      </c>
      <c r="B56" s="70" t="s">
        <v>785</v>
      </c>
      <c r="C56" s="138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9" ht="15.75">
      <c r="A57" s="15" t="s">
        <v>10</v>
      </c>
      <c r="B57" s="70"/>
      <c r="C57" s="138"/>
      <c r="D57" s="367"/>
      <c r="E57" s="367"/>
      <c r="F57" s="4"/>
      <c r="G57" s="42"/>
      <c r="H57" s="156"/>
      <c r="I57" s="42"/>
    </row>
    <row r="58" spans="1:9" ht="15.75">
      <c r="A58" s="14" t="s">
        <v>9</v>
      </c>
      <c r="B58" s="70" t="s">
        <v>8</v>
      </c>
      <c r="C58" s="138"/>
      <c r="D58" s="367">
        <f>+C58*9%</f>
        <v>0</v>
      </c>
      <c r="E58" s="367">
        <f>+D58</f>
        <v>0</v>
      </c>
      <c r="F58" s="4">
        <v>0</v>
      </c>
      <c r="G58" s="42">
        <v>0</v>
      </c>
      <c r="H58" s="156"/>
      <c r="I58" s="42"/>
    </row>
    <row r="59" spans="1:9" ht="15.75">
      <c r="A59" s="13" t="s">
        <v>7</v>
      </c>
      <c r="B59" s="70" t="s">
        <v>6</v>
      </c>
      <c r="C59" s="138">
        <v>0</v>
      </c>
      <c r="D59" s="367">
        <f>+C59*9%</f>
        <v>0</v>
      </c>
      <c r="E59" s="367">
        <f>+D59</f>
        <v>0</v>
      </c>
      <c r="F59" s="4">
        <f>IF(D59&gt;0," ",C59*18%)</f>
        <v>0</v>
      </c>
      <c r="G59" s="42">
        <v>0</v>
      </c>
      <c r="H59" s="156"/>
      <c r="I59" s="42"/>
    </row>
    <row r="60" spans="1:9" ht="15.75">
      <c r="A60" s="5" t="s">
        <v>5</v>
      </c>
      <c r="B60" s="70" t="s">
        <v>4</v>
      </c>
      <c r="C60" s="138">
        <v>0</v>
      </c>
      <c r="D60" s="367"/>
      <c r="E60" s="367"/>
      <c r="F60" s="4"/>
      <c r="G60" s="42"/>
      <c r="H60" s="156"/>
      <c r="I60" s="42"/>
    </row>
    <row r="61" spans="1:9" ht="15.75">
      <c r="A61" s="434"/>
      <c r="B61" s="432" t="s">
        <v>675</v>
      </c>
      <c r="C61" s="138">
        <v>0</v>
      </c>
      <c r="D61" s="4">
        <f>+C61*9%</f>
        <v>0</v>
      </c>
      <c r="E61" s="433">
        <f>+D61</f>
        <v>0</v>
      </c>
      <c r="F61" s="433"/>
      <c r="G61" s="42"/>
      <c r="H61" s="156"/>
      <c r="I61" s="42"/>
    </row>
    <row r="62" spans="1:9" ht="16.5" thickBot="1">
      <c r="A62" s="12"/>
      <c r="B62" s="11" t="s">
        <v>3</v>
      </c>
      <c r="C62" s="10">
        <f>SUM(C9:C61)</f>
        <v>583044.21</v>
      </c>
      <c r="D62" s="10">
        <f>SUM(D9:D61)</f>
        <v>52473.978899999995</v>
      </c>
      <c r="E62" s="10">
        <f>SUM(E9:E61)</f>
        <v>52473.978899999995</v>
      </c>
      <c r="F62" s="10">
        <f>SUM(F9:F61)</f>
        <v>0</v>
      </c>
      <c r="G62" s="10">
        <f>SUM(G9:G59)</f>
        <v>100</v>
      </c>
      <c r="H62" s="10">
        <f>SUM(H9:H59)</f>
        <v>20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0" ht="15.75">
      <c r="A66" s="1228" t="s">
        <v>75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  <c r="I68" s="1" t="s">
        <v>5</v>
      </c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+D62</f>
        <v>52473.978899999995</v>
      </c>
      <c r="E71" s="105">
        <f>+E62</f>
        <v>52473.978899999995</v>
      </c>
      <c r="F71" s="105">
        <f>+F62</f>
        <v>0</v>
      </c>
      <c r="G71" s="1" t="s">
        <v>5</v>
      </c>
      <c r="H71" s="32" t="s">
        <v>5</v>
      </c>
    </row>
    <row r="72" spans="1:10" ht="15.75">
      <c r="A72" s="43" t="s">
        <v>103</v>
      </c>
      <c r="B72" s="43"/>
      <c r="C72" s="614">
        <f>G62</f>
        <v>100</v>
      </c>
      <c r="D72" s="106">
        <f>+C72*0.09</f>
        <v>9</v>
      </c>
      <c r="E72" s="106">
        <f>+C72*0.09</f>
        <v>9</v>
      </c>
      <c r="F72" s="105">
        <v>0</v>
      </c>
    </row>
    <row r="73" spans="1:10" ht="15.75">
      <c r="A73" s="43"/>
      <c r="B73" s="43"/>
      <c r="C73" s="43" t="s">
        <v>112</v>
      </c>
      <c r="D73" s="105">
        <f>+D71+D72</f>
        <v>52482.978899999995</v>
      </c>
      <c r="E73" s="105">
        <f>+E71+E72</f>
        <v>52482.978899999995</v>
      </c>
      <c r="F73" s="105">
        <v>0</v>
      </c>
    </row>
    <row r="74" spans="1:10" ht="15.75">
      <c r="A74" s="1241" t="s">
        <v>104</v>
      </c>
      <c r="B74" s="1242"/>
      <c r="C74" s="1243"/>
      <c r="D74" s="108">
        <v>52486.98</v>
      </c>
      <c r="E74" s="108">
        <f>+D74</f>
        <v>52486.98</v>
      </c>
      <c r="F74" s="105">
        <v>0</v>
      </c>
      <c r="H74" s="643"/>
      <c r="J74" s="72"/>
    </row>
    <row r="75" spans="1:10" ht="15.75">
      <c r="A75" s="1250" t="s">
        <v>79</v>
      </c>
      <c r="B75" s="1251"/>
      <c r="C75" s="1252"/>
      <c r="D75" s="108">
        <f>+D73-D74</f>
        <v>-4.0011000000085915</v>
      </c>
      <c r="E75" s="108">
        <f>+E73-E74</f>
        <v>-4.0011000000085915</v>
      </c>
      <c r="F75" s="108">
        <f>IF(F71&gt;F74,F71,F74)</f>
        <v>0</v>
      </c>
      <c r="G75" s="1">
        <f>+D75/9*100</f>
        <v>-44.456666666762132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  <c r="H77" s="250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  <c r="G79" s="147"/>
      <c r="H79" s="147"/>
      <c r="I79" s="147"/>
      <c r="J79" s="147"/>
    </row>
    <row r="80" spans="1:10">
      <c r="A80" s="1225"/>
      <c r="B80" s="1226"/>
      <c r="C80" s="1227"/>
      <c r="D80" s="42"/>
      <c r="E80" s="42"/>
      <c r="F80" s="42"/>
      <c r="G80" s="147"/>
      <c r="H80" s="147"/>
      <c r="I80" s="147"/>
      <c r="J80" s="147"/>
    </row>
    <row r="81" spans="1:10" ht="15.75">
      <c r="A81" s="1216" t="s">
        <v>69</v>
      </c>
      <c r="B81" s="1216"/>
      <c r="C81" s="1216"/>
      <c r="D81" s="108">
        <v>1753.22</v>
      </c>
      <c r="E81" s="108">
        <f>D81</f>
        <v>1753.22</v>
      </c>
      <c r="F81" s="640">
        <v>15093.54</v>
      </c>
      <c r="G81" s="147">
        <f t="shared" ref="G81:I82" si="8">+D81/2</f>
        <v>876.61</v>
      </c>
      <c r="H81" s="147">
        <f t="shared" si="8"/>
        <v>876.61</v>
      </c>
      <c r="I81" s="147">
        <f t="shared" si="8"/>
        <v>7546.77</v>
      </c>
      <c r="J81" s="147"/>
    </row>
    <row r="82" spans="1:10" ht="15.75">
      <c r="A82" s="1224" t="s">
        <v>83</v>
      </c>
      <c r="B82" s="1224"/>
      <c r="C82" s="1224"/>
      <c r="D82" s="105">
        <f>+C99</f>
        <v>97.22</v>
      </c>
      <c r="E82" s="105">
        <f>+D82</f>
        <v>97.22</v>
      </c>
      <c r="F82" s="109">
        <f>+E99</f>
        <v>0</v>
      </c>
      <c r="G82" s="147">
        <f t="shared" si="8"/>
        <v>48.61</v>
      </c>
      <c r="H82" s="147">
        <f t="shared" si="8"/>
        <v>48.61</v>
      </c>
      <c r="I82" s="147">
        <f t="shared" si="8"/>
        <v>0</v>
      </c>
      <c r="J82" s="147"/>
    </row>
    <row r="83" spans="1:10" ht="15.75">
      <c r="A83" s="1215" t="s">
        <v>82</v>
      </c>
      <c r="B83" s="1215"/>
      <c r="C83" s="1215"/>
      <c r="D83" s="105">
        <f>+D81-D82</f>
        <v>1656</v>
      </c>
      <c r="E83" s="105">
        <f>+E81-E82</f>
        <v>1656</v>
      </c>
      <c r="F83" s="109">
        <f>SUM(F81:F82)</f>
        <v>15093.54</v>
      </c>
      <c r="G83" s="147">
        <f>+G81-G82</f>
        <v>828</v>
      </c>
      <c r="H83" s="147">
        <f>+H81-H82</f>
        <v>828</v>
      </c>
      <c r="I83" s="147">
        <f>+I81-I82</f>
        <v>7546.77</v>
      </c>
      <c r="J83" s="147"/>
    </row>
    <row r="84" spans="1:10" ht="15.75">
      <c r="A84" s="75"/>
      <c r="B84" s="75"/>
      <c r="C84" s="75"/>
      <c r="D84" s="199"/>
      <c r="E84" s="199"/>
      <c r="F84" s="559"/>
      <c r="G84" s="147"/>
      <c r="H84" s="147"/>
      <c r="I84" s="147"/>
      <c r="J84" s="147"/>
    </row>
    <row r="85" spans="1:10">
      <c r="B85" s="145" t="s">
        <v>393</v>
      </c>
      <c r="C85" s="112"/>
      <c r="D85" s="112"/>
      <c r="E85" s="112"/>
    </row>
    <row r="86" spans="1:10">
      <c r="B86" s="169" t="s">
        <v>322</v>
      </c>
      <c r="C86" s="452" t="s">
        <v>67</v>
      </c>
      <c r="D86" s="452" t="s">
        <v>155</v>
      </c>
      <c r="E86" s="452" t="s">
        <v>68</v>
      </c>
    </row>
    <row r="87" spans="1:10">
      <c r="B87" s="615" t="s">
        <v>440</v>
      </c>
      <c r="C87" s="452">
        <v>0</v>
      </c>
      <c r="D87" s="452">
        <f t="shared" ref="D87:D97" si="9">+C87</f>
        <v>0</v>
      </c>
      <c r="E87" s="452"/>
      <c r="G87" s="32"/>
    </row>
    <row r="88" spans="1:10">
      <c r="B88" s="615" t="s">
        <v>440</v>
      </c>
      <c r="C88" s="452">
        <v>0</v>
      </c>
      <c r="D88" s="452">
        <f>+C88</f>
        <v>0</v>
      </c>
      <c r="E88" s="452"/>
      <c r="G88" s="32"/>
    </row>
    <row r="89" spans="1:10">
      <c r="B89" s="615" t="s">
        <v>679</v>
      </c>
      <c r="C89" s="452">
        <v>0</v>
      </c>
      <c r="D89" s="452">
        <f>+C89</f>
        <v>0</v>
      </c>
      <c r="E89" s="452"/>
      <c r="G89" s="32"/>
    </row>
    <row r="90" spans="1:10">
      <c r="B90" s="615" t="s">
        <v>515</v>
      </c>
      <c r="C90" s="452">
        <v>0</v>
      </c>
      <c r="D90" s="452">
        <f t="shared" si="9"/>
        <v>0</v>
      </c>
      <c r="E90" s="452"/>
    </row>
    <row r="91" spans="1:10">
      <c r="B91" s="615" t="s">
        <v>515</v>
      </c>
      <c r="C91" s="452">
        <v>0</v>
      </c>
      <c r="D91" s="452">
        <f t="shared" si="9"/>
        <v>0</v>
      </c>
      <c r="E91" s="452"/>
    </row>
    <row r="92" spans="1:10">
      <c r="B92" s="615" t="s">
        <v>102</v>
      </c>
      <c r="C92" s="452">
        <v>29.61</v>
      </c>
      <c r="D92" s="452">
        <f t="shared" si="9"/>
        <v>29.61</v>
      </c>
      <c r="E92" s="452"/>
    </row>
    <row r="93" spans="1:10">
      <c r="B93" s="615" t="s">
        <v>102</v>
      </c>
      <c r="C93" s="452">
        <v>29.61</v>
      </c>
      <c r="D93" s="452">
        <f>+C93</f>
        <v>29.61</v>
      </c>
      <c r="E93" s="452"/>
    </row>
    <row r="94" spans="1:10">
      <c r="B94" s="615" t="s">
        <v>102</v>
      </c>
      <c r="C94" s="452">
        <v>38</v>
      </c>
      <c r="D94" s="452">
        <f>+C94</f>
        <v>38</v>
      </c>
      <c r="E94" s="452"/>
    </row>
    <row r="95" spans="1:10">
      <c r="B95" s="615" t="s">
        <v>102</v>
      </c>
      <c r="C95" s="452">
        <v>0</v>
      </c>
      <c r="D95" s="452">
        <f>+C95</f>
        <v>0</v>
      </c>
      <c r="E95" s="452"/>
    </row>
    <row r="96" spans="1:10">
      <c r="B96" s="615" t="s">
        <v>102</v>
      </c>
      <c r="C96" s="452">
        <v>0</v>
      </c>
      <c r="D96" s="452">
        <f>+C96</f>
        <v>0</v>
      </c>
      <c r="E96" s="452"/>
    </row>
    <row r="97" spans="1:11">
      <c r="B97" s="615" t="s">
        <v>516</v>
      </c>
      <c r="C97" s="452">
        <v>0</v>
      </c>
      <c r="D97" s="452">
        <f t="shared" si="9"/>
        <v>0</v>
      </c>
      <c r="E97" s="452"/>
    </row>
    <row r="98" spans="1:11">
      <c r="B98" s="40"/>
      <c r="C98" s="75"/>
      <c r="D98" s="75"/>
      <c r="E98" s="75"/>
    </row>
    <row r="99" spans="1:11" ht="15.75" thickBot="1">
      <c r="B99" s="141" t="s">
        <v>135</v>
      </c>
      <c r="C99" s="249">
        <f>SUM(C87:C98)</f>
        <v>97.22</v>
      </c>
      <c r="D99" s="249">
        <f>SUM(D87:D98)</f>
        <v>97.22</v>
      </c>
      <c r="E99" s="249">
        <v>0</v>
      </c>
    </row>
    <row r="100" spans="1:11" ht="15.75" customHeight="1" thickTop="1"/>
    <row r="101" spans="1:11">
      <c r="A101" s="73"/>
      <c r="B101" s="73"/>
      <c r="C101" s="73"/>
      <c r="D101" s="73"/>
    </row>
    <row r="104" spans="1:11">
      <c r="A104" s="942"/>
      <c r="B104" s="1282"/>
      <c r="C104" s="1282"/>
      <c r="D104" s="1282"/>
      <c r="E104" s="1282"/>
      <c r="F104" s="1282"/>
      <c r="G104" s="936"/>
      <c r="H104" s="1265"/>
      <c r="I104" s="1265"/>
      <c r="J104" s="936"/>
    </row>
    <row r="105" spans="1:11">
      <c r="A105" s="1282"/>
      <c r="B105" s="1282"/>
      <c r="C105" s="1282"/>
      <c r="D105" s="1282"/>
      <c r="E105" s="1282"/>
      <c r="F105" s="1282"/>
      <c r="G105" s="1282"/>
      <c r="H105" s="1282"/>
      <c r="I105" s="1282"/>
      <c r="J105" s="1282"/>
    </row>
    <row r="106" spans="1:11">
      <c r="A106" s="942"/>
      <c r="B106" s="1264"/>
      <c r="C106" s="1264"/>
      <c r="D106" s="1264"/>
      <c r="E106" s="1264"/>
      <c r="F106" s="936"/>
      <c r="G106" s="936"/>
      <c r="H106" s="1265"/>
      <c r="I106" s="1265"/>
      <c r="J106" s="936"/>
    </row>
    <row r="107" spans="1:11">
      <c r="A107" s="1282"/>
      <c r="B107" s="1282"/>
      <c r="C107" s="1282"/>
      <c r="D107" s="1282"/>
      <c r="E107" s="1282"/>
      <c r="F107" s="1282"/>
      <c r="G107" s="1282"/>
      <c r="H107" s="1282"/>
      <c r="I107" s="1282"/>
      <c r="J107" s="1282"/>
    </row>
    <row r="108" spans="1:11">
      <c r="A108" s="943"/>
      <c r="B108" s="1264"/>
      <c r="C108" s="1264"/>
      <c r="D108" s="1264"/>
      <c r="E108" s="1264"/>
      <c r="F108" s="936"/>
      <c r="G108" s="937"/>
      <c r="H108" s="1263"/>
      <c r="I108" s="1263"/>
      <c r="J108" s="938"/>
      <c r="K108" s="944"/>
    </row>
    <row r="109" spans="1:11">
      <c r="A109" s="943"/>
      <c r="B109" s="1264"/>
      <c r="C109" s="1264"/>
      <c r="D109" s="1264"/>
      <c r="E109" s="1264"/>
      <c r="F109" s="936"/>
      <c r="G109" s="937"/>
      <c r="H109" s="1263"/>
      <c r="I109" s="1263"/>
      <c r="J109" s="938"/>
    </row>
    <row r="110" spans="1:11">
      <c r="A110" s="943"/>
      <c r="B110" s="1264"/>
      <c r="C110" s="1264"/>
      <c r="D110" s="1264"/>
      <c r="E110" s="1264"/>
      <c r="F110" s="936"/>
      <c r="G110" s="937"/>
      <c r="H110" s="1263"/>
      <c r="I110" s="1263"/>
      <c r="J110" s="938"/>
    </row>
    <row r="111" spans="1:11">
      <c r="A111" s="943"/>
      <c r="B111" s="1264"/>
      <c r="C111" s="1264"/>
      <c r="D111" s="1264"/>
      <c r="E111" s="1264"/>
      <c r="F111" s="936"/>
      <c r="G111" s="937"/>
      <c r="H111" s="1263"/>
      <c r="I111" s="1263"/>
      <c r="J111" s="938"/>
      <c r="K111" s="944"/>
    </row>
    <row r="112" spans="1:11">
      <c r="A112" s="943"/>
      <c r="B112" s="1264"/>
      <c r="C112" s="1264"/>
      <c r="D112" s="1264"/>
      <c r="E112" s="1264"/>
      <c r="F112" s="936"/>
      <c r="G112" s="937"/>
      <c r="H112" s="1263"/>
      <c r="I112" s="1263"/>
      <c r="J112" s="938"/>
    </row>
    <row r="113" spans="1:11">
      <c r="A113" s="943"/>
      <c r="B113" s="1264"/>
      <c r="C113" s="1264"/>
      <c r="D113" s="1264"/>
      <c r="E113" s="1264"/>
      <c r="F113" s="936"/>
      <c r="G113" s="937"/>
      <c r="H113" s="1263"/>
      <c r="I113" s="1263"/>
      <c r="J113" s="938"/>
      <c r="K113" s="944"/>
    </row>
    <row r="114" spans="1:11">
      <c r="A114" s="943"/>
      <c r="B114" s="1264"/>
      <c r="C114" s="1264"/>
      <c r="D114" s="1264"/>
      <c r="E114" s="1264"/>
      <c r="F114" s="936"/>
      <c r="G114" s="937"/>
      <c r="H114" s="1263"/>
      <c r="I114" s="1263"/>
      <c r="J114" s="938"/>
    </row>
    <row r="115" spans="1:11">
      <c r="A115" s="1282"/>
      <c r="B115" s="1282"/>
      <c r="C115" s="1282"/>
      <c r="D115" s="1282"/>
      <c r="E115" s="1282"/>
      <c r="F115" s="1282"/>
      <c r="G115" s="1282"/>
      <c r="H115" s="1282"/>
      <c r="I115" s="1282"/>
      <c r="J115" s="1282"/>
    </row>
    <row r="116" spans="1:11">
      <c r="A116" s="942"/>
      <c r="B116" s="1282"/>
      <c r="C116" s="1282"/>
      <c r="D116" s="1282"/>
      <c r="E116" s="1282"/>
      <c r="F116" s="936"/>
      <c r="G116" s="554"/>
      <c r="H116" s="1283"/>
      <c r="I116" s="1283"/>
      <c r="J116" s="938"/>
    </row>
  </sheetData>
  <mergeCells count="51">
    <mergeCell ref="G7:G8"/>
    <mergeCell ref="H7:H8"/>
    <mergeCell ref="I7:I8"/>
    <mergeCell ref="A71:C71"/>
    <mergeCell ref="A74:C74"/>
    <mergeCell ref="A75:C75"/>
    <mergeCell ref="A78:C79"/>
    <mergeCell ref="D78:D79"/>
    <mergeCell ref="A66:F66"/>
    <mergeCell ref="A69:C70"/>
    <mergeCell ref="D69:D70"/>
    <mergeCell ref="E69:E70"/>
    <mergeCell ref="F69:F70"/>
    <mergeCell ref="A80:C80"/>
    <mergeCell ref="A81:C81"/>
    <mergeCell ref="A82:C82"/>
    <mergeCell ref="A83:C83"/>
    <mergeCell ref="F78:F79"/>
    <mergeCell ref="E78:E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104:F104"/>
    <mergeCell ref="H104:I104"/>
    <mergeCell ref="A105:J105"/>
    <mergeCell ref="B106:E106"/>
    <mergeCell ref="H106:I106"/>
    <mergeCell ref="A107:J107"/>
    <mergeCell ref="B108:E108"/>
    <mergeCell ref="H108:I108"/>
    <mergeCell ref="B109:E109"/>
    <mergeCell ref="H109:I109"/>
    <mergeCell ref="B110:E110"/>
    <mergeCell ref="H110:I110"/>
    <mergeCell ref="B111:E111"/>
    <mergeCell ref="H111:I111"/>
    <mergeCell ref="B112:E112"/>
    <mergeCell ref="H112:I112"/>
    <mergeCell ref="B116:E116"/>
    <mergeCell ref="H116:I116"/>
    <mergeCell ref="B113:E113"/>
    <mergeCell ref="H113:I113"/>
    <mergeCell ref="B114:E114"/>
    <mergeCell ref="H114:I114"/>
    <mergeCell ref="A115:J115"/>
  </mergeCells>
  <conditionalFormatting sqref="A9:B21 I63:XFD98 A101:F1048576">
    <cfRule type="containsText" dxfId="419" priority="41" operator="containsText" text="LESS COLLECTED">
      <formula>NOT(ISERROR(SEARCH("LESS COLLECTED",A9)))</formula>
    </cfRule>
  </conditionalFormatting>
  <conditionalFormatting sqref="A22:B34">
    <cfRule type="containsText" dxfId="418" priority="52" operator="containsText" text="LESS COLLECTED">
      <formula>NOT(ISERROR(SEARCH("LESS COLLECTED",A22)))</formula>
    </cfRule>
  </conditionalFormatting>
  <conditionalFormatting sqref="A28:B32 B85:D97">
    <cfRule type="containsText" dxfId="417" priority="51" operator="containsText" text="EXCESS COLLECTED">
      <formula>NOT(ISERROR(SEARCH("EXCESS COLLECTED",A28)))</formula>
    </cfRule>
  </conditionalFormatting>
  <conditionalFormatting sqref="A35:B56">
    <cfRule type="containsText" dxfId="416" priority="2" operator="containsText" text="LESS COLLECTED">
      <formula>NOT(ISERROR(SEARCH("LESS COLLECTED",A35)))</formula>
    </cfRule>
  </conditionalFormatting>
  <conditionalFormatting sqref="A47:B56">
    <cfRule type="containsText" dxfId="415" priority="1" operator="containsText" text="EXCESS COLLECTED">
      <formula>NOT(ISERROR(SEARCH("EXCESS COLLECTED",A47)))</formula>
    </cfRule>
  </conditionalFormatting>
  <conditionalFormatting sqref="A57:B61">
    <cfRule type="containsText" dxfId="414" priority="60" operator="containsText" text="LESS COLLECTED">
      <formula>NOT(ISERROR(SEARCH("LESS COLLECTED",A57)))</formula>
    </cfRule>
  </conditionalFormatting>
  <conditionalFormatting sqref="A7:F8 A1:XFD6 J7:XFD62 H63:H79 G99:XFD1048576">
    <cfRule type="containsText" dxfId="413" priority="169" operator="containsText" text="LESS COLLECTED">
      <formula>NOT(ISERROR(SEARCH("LESS COLLECTED",A1)))</formula>
    </cfRule>
  </conditionalFormatting>
  <conditionalFormatting sqref="A72:F73">
    <cfRule type="containsText" dxfId="412" priority="10" operator="containsText" text="EXCESS COLLECTED">
      <formula>NOT(ISERROR(SEARCH("EXCESS COLLECTED",A72)))</formula>
    </cfRule>
  </conditionalFormatting>
  <conditionalFormatting sqref="B61">
    <cfRule type="containsText" dxfId="411" priority="59" operator="containsText" text="EXCESS COLLECTED">
      <formula>NOT(ISERROR(SEARCH("EXCESS COLLECTED",B61)))</formula>
    </cfRule>
  </conditionalFormatting>
  <conditionalFormatting sqref="C9:C61">
    <cfRule type="containsText" dxfId="410" priority="4" operator="containsText" text="LESS COLLECTED">
      <formula>NOT(ISERROR(SEARCH("LESS COLLECTED",C9)))</formula>
    </cfRule>
  </conditionalFormatting>
  <conditionalFormatting sqref="D7:F8 D69:E70 E86 B98:E98">
    <cfRule type="containsText" dxfId="409" priority="157" operator="containsText" text="EXCESS COLLECTED">
      <formula>NOT(ISERROR(SEARCH("EXCESS COLLECTED",B7)))</formula>
    </cfRule>
  </conditionalFormatting>
  <conditionalFormatting sqref="D7:F28 A66:F71 A85:F86">
    <cfRule type="containsText" dxfId="408" priority="158" operator="containsText" text="LESS COLLECTED">
      <formula>NOT(ISERROR(SEARCH("LESS COLLECTED",A7)))</formula>
    </cfRule>
  </conditionalFormatting>
  <conditionalFormatting sqref="D29:F35">
    <cfRule type="containsText" dxfId="407" priority="26" operator="containsText" text="LESS COLLECTED">
      <formula>NOT(ISERROR(SEARCH("LESS COLLECTED",D29)))</formula>
    </cfRule>
  </conditionalFormatting>
  <conditionalFormatting sqref="D48:F56">
    <cfRule type="containsText" dxfId="406" priority="3" operator="containsText" text="EXCESS COLLECTED">
      <formula>NOT(ISERROR(SEARCH("EXCESS COLLECTED",D48)))</formula>
    </cfRule>
  </conditionalFormatting>
  <conditionalFormatting sqref="D36:I61">
    <cfRule type="containsText" dxfId="405" priority="6" operator="containsText" text="LESS COLLECTED">
      <formula>NOT(ISERROR(SEARCH("LESS COLLECTED",D36)))</formula>
    </cfRule>
  </conditionalFormatting>
  <conditionalFormatting sqref="G63:G73">
    <cfRule type="containsText" dxfId="404" priority="9" operator="containsText" text="LESS COLLECTED">
      <formula>NOT(ISERROR(SEARCH("LESS COLLECTED",G63)))</formula>
    </cfRule>
  </conditionalFormatting>
  <conditionalFormatting sqref="G65">
    <cfRule type="containsText" dxfId="403" priority="8" operator="containsText" text="EXCESS COLLECTED">
      <formula>NOT(ISERROR(SEARCH("EXCESS COLLECTED",G65)))</formula>
    </cfRule>
  </conditionalFormatting>
  <conditionalFormatting sqref="G75">
    <cfRule type="containsText" dxfId="402" priority="159" operator="containsText" text="EXC">
      <formula>NOT(ISERROR(SEARCH("EXC",G75)))</formula>
    </cfRule>
    <cfRule type="containsText" dxfId="401" priority="160" operator="containsText" text="LESS">
      <formula>NOT(ISERROR(SEARCH("LESS",G75)))</formula>
    </cfRule>
    <cfRule type="containsText" dxfId="400" priority="161" operator="containsText" text="EXC">
      <formula>NOT(ISERROR(SEARCH("EXC",G75)))</formula>
    </cfRule>
  </conditionalFormatting>
  <conditionalFormatting sqref="G9:I35">
    <cfRule type="containsText" dxfId="399" priority="31" operator="containsText" text="LESS COLLECTED">
      <formula>NOT(ISERROR(SEARCH("LESS COLLECTED",G9)))</formula>
    </cfRule>
  </conditionalFormatting>
  <pageMargins left="1.155511811" right="0.86811023600000004" top="0.5" bottom="0.5" header="0.31496062992126" footer="0.31496062992126"/>
  <pageSetup paperSize="9" scale="46" orientation="portrait" r:id="rId1"/>
  <ignoredErrors>
    <ignoredError sqref="E82 F8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92D050"/>
  </sheetPr>
  <dimension ref="A1:O93"/>
  <sheetViews>
    <sheetView topLeftCell="A74" workbookViewId="0">
      <selection activeCell="D74" sqref="D74"/>
    </sheetView>
  </sheetViews>
  <sheetFormatPr defaultColWidth="9.140625" defaultRowHeight="15"/>
  <cols>
    <col min="1" max="1" width="12.140625" style="1" customWidth="1"/>
    <col min="2" max="2" width="41.28515625" style="1" customWidth="1"/>
    <col min="3" max="3" width="13.42578125" style="1" customWidth="1"/>
    <col min="4" max="4" width="18" style="1" bestFit="1" customWidth="1"/>
    <col min="5" max="5" width="16.5703125" style="1" bestFit="1" customWidth="1"/>
    <col min="6" max="6" width="11.42578125" style="1" customWidth="1"/>
    <col min="7" max="7" width="24.7109375" style="1" customWidth="1"/>
    <col min="8" max="8" width="12.28515625" style="32" bestFit="1" customWidth="1"/>
    <col min="9" max="9" width="9.140625" style="1"/>
    <col min="10" max="10" width="9.5703125" style="1" bestFit="1" customWidth="1"/>
    <col min="11" max="11" width="12.28515625" style="1" bestFit="1" customWidth="1"/>
    <col min="12" max="16384" width="9.140625" style="1"/>
  </cols>
  <sheetData>
    <row r="1" spans="1:11" ht="15.75">
      <c r="A1" s="1228" t="s">
        <v>73</v>
      </c>
      <c r="B1" s="1228"/>
      <c r="C1" s="1228"/>
      <c r="D1" s="1228"/>
      <c r="E1" s="1228"/>
      <c r="F1" s="1228"/>
    </row>
    <row r="2" spans="1:11" ht="15.75">
      <c r="A2" s="41"/>
      <c r="B2" s="41"/>
      <c r="C2" s="41"/>
      <c r="D2" s="41"/>
      <c r="E2" s="41"/>
      <c r="F2" s="41"/>
    </row>
    <row r="3" spans="1:11" ht="15.75">
      <c r="A3" s="1229" t="s">
        <v>92</v>
      </c>
      <c r="B3" s="1229"/>
      <c r="C3" s="1229"/>
      <c r="D3" s="1229"/>
      <c r="E3" s="1229"/>
      <c r="F3" s="1229"/>
    </row>
    <row r="4" spans="1:11" ht="15.75">
      <c r="A4" s="1229" t="s">
        <v>343</v>
      </c>
      <c r="B4" s="1229"/>
      <c r="C4" s="1229"/>
      <c r="D4" s="1229"/>
      <c r="E4" s="1229"/>
      <c r="F4" s="1229"/>
    </row>
    <row r="5" spans="1:11" ht="15.75">
      <c r="A5" s="1228" t="str">
        <f>+MASKATI!A5</f>
        <v>SUMMARY OF INCOME FOR THE MONTH OF SEP 2026</v>
      </c>
      <c r="B5" s="1228"/>
      <c r="C5" s="1228"/>
      <c r="D5" s="1228"/>
      <c r="E5" s="1228"/>
      <c r="F5" s="1228"/>
    </row>
    <row r="6" spans="1:11" ht="15.75">
      <c r="A6" s="24" t="s">
        <v>5</v>
      </c>
      <c r="B6" s="3"/>
      <c r="C6" s="23"/>
      <c r="D6" s="1230"/>
      <c r="E6" s="1230"/>
      <c r="F6" s="3"/>
    </row>
    <row r="7" spans="1:11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1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1" ht="15.75">
      <c r="A9" s="161">
        <v>3303</v>
      </c>
      <c r="B9" s="70" t="s">
        <v>609</v>
      </c>
      <c r="C9" s="16">
        <f>0</f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1" ht="15.75">
      <c r="A10" s="161" t="s">
        <v>87</v>
      </c>
      <c r="B10" s="70" t="s">
        <v>61</v>
      </c>
      <c r="C10" s="16">
        <f>0</f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42" t="s">
        <v>5</v>
      </c>
      <c r="H10" s="156"/>
      <c r="I10" s="42"/>
    </row>
    <row r="11" spans="1:11" ht="15.75">
      <c r="A11" s="160" t="s">
        <v>60</v>
      </c>
      <c r="B11" s="70" t="s">
        <v>59</v>
      </c>
      <c r="C11" s="16">
        <v>100</v>
      </c>
      <c r="D11" s="4">
        <f t="shared" ref="D11:D58" si="0">+C11*9%</f>
        <v>9</v>
      </c>
      <c r="E11" s="4">
        <f t="shared" ref="E11:E59" si="1">+D11</f>
        <v>9</v>
      </c>
      <c r="F11" s="4" t="str">
        <f t="shared" ref="F11:F59" si="2">IF(D11&gt;0," ",C11*18%)</f>
        <v xml:space="preserve"> </v>
      </c>
      <c r="G11" s="42"/>
      <c r="H11" s="156"/>
      <c r="I11" s="42"/>
    </row>
    <row r="12" spans="1:11" ht="15.75">
      <c r="A12" s="161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42"/>
      <c r="H12" s="156"/>
      <c r="I12" s="42"/>
    </row>
    <row r="13" spans="1:11" ht="15.75">
      <c r="A13" s="160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156"/>
      <c r="I13" s="42"/>
    </row>
    <row r="14" spans="1:11" ht="15.75">
      <c r="A14" s="160" t="s">
        <v>54</v>
      </c>
      <c r="B14" s="70" t="s">
        <v>53</v>
      </c>
      <c r="C14" s="16"/>
      <c r="D14" s="4">
        <f t="shared" si="0"/>
        <v>0</v>
      </c>
      <c r="E14" s="4">
        <f t="shared" si="1"/>
        <v>0</v>
      </c>
      <c r="F14" s="4">
        <f t="shared" si="2"/>
        <v>0</v>
      </c>
      <c r="G14" s="42"/>
      <c r="H14" s="156"/>
      <c r="I14" s="42"/>
    </row>
    <row r="15" spans="1:11" ht="15.75">
      <c r="A15" s="160" t="s">
        <v>52</v>
      </c>
      <c r="B15" s="70" t="s">
        <v>51</v>
      </c>
      <c r="C15" s="16">
        <v>100</v>
      </c>
      <c r="D15" s="4">
        <f t="shared" si="0"/>
        <v>9</v>
      </c>
      <c r="E15" s="4">
        <f t="shared" si="1"/>
        <v>9</v>
      </c>
      <c r="F15" s="4" t="str">
        <f t="shared" si="2"/>
        <v xml:space="preserve"> </v>
      </c>
      <c r="G15" s="42"/>
      <c r="H15" s="156"/>
      <c r="I15" s="42"/>
      <c r="K15" s="693"/>
    </row>
    <row r="16" spans="1:11" ht="15.75">
      <c r="A16" s="161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156"/>
      <c r="I16" s="42"/>
      <c r="K16" s="693"/>
    </row>
    <row r="17" spans="1:15" ht="15.75">
      <c r="A17" s="161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 t="shared" si="2"/>
        <v>0</v>
      </c>
      <c r="G17" s="42"/>
      <c r="H17" s="156"/>
      <c r="I17" s="42"/>
      <c r="K17" s="693"/>
    </row>
    <row r="18" spans="1:15" ht="15.75">
      <c r="A18" s="161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156"/>
      <c r="I18" s="42"/>
      <c r="K18" s="693"/>
    </row>
    <row r="19" spans="1:15" ht="15.75">
      <c r="A19" s="160" t="s">
        <v>44</v>
      </c>
      <c r="B19" s="70" t="s">
        <v>43</v>
      </c>
      <c r="C19" s="16">
        <v>23000</v>
      </c>
      <c r="D19" s="4">
        <f t="shared" si="0"/>
        <v>2070</v>
      </c>
      <c r="E19" s="4">
        <f t="shared" si="1"/>
        <v>2070</v>
      </c>
      <c r="F19" s="4"/>
      <c r="G19" s="42">
        <v>0</v>
      </c>
      <c r="H19" s="156"/>
      <c r="I19" s="42"/>
      <c r="K19" s="693"/>
    </row>
    <row r="20" spans="1:15" ht="15.75">
      <c r="A20" s="13">
        <v>3271</v>
      </c>
      <c r="B20" s="70" t="s">
        <v>533</v>
      </c>
      <c r="C20" s="16">
        <v>2000</v>
      </c>
      <c r="D20" s="4">
        <f t="shared" si="0"/>
        <v>180</v>
      </c>
      <c r="E20" s="4">
        <f t="shared" si="1"/>
        <v>180</v>
      </c>
      <c r="F20" s="4"/>
      <c r="G20" s="42"/>
      <c r="H20" s="156"/>
      <c r="I20" s="42"/>
      <c r="K20" s="693"/>
    </row>
    <row r="21" spans="1:15" ht="15.75">
      <c r="A21" s="13">
        <v>3274</v>
      </c>
      <c r="B21" s="70" t="s">
        <v>554</v>
      </c>
      <c r="C21" s="16"/>
      <c r="D21" s="4"/>
      <c r="E21" s="4"/>
      <c r="F21" s="4"/>
      <c r="G21" s="42"/>
      <c r="H21" s="156"/>
      <c r="I21" s="42"/>
      <c r="K21" s="693"/>
    </row>
    <row r="22" spans="1:15" ht="15.75">
      <c r="A22" s="158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/>
      <c r="G22" s="42"/>
      <c r="H22" s="156"/>
      <c r="I22" s="42"/>
      <c r="K22" s="693"/>
      <c r="O22" s="1" t="s">
        <v>5</v>
      </c>
    </row>
    <row r="23" spans="1:15" ht="15.75">
      <c r="A23" s="161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42"/>
      <c r="H23" s="156"/>
      <c r="I23" s="42"/>
      <c r="K23" s="693"/>
    </row>
    <row r="24" spans="1:15" ht="15.75">
      <c r="A24" s="161" t="s">
        <v>38</v>
      </c>
      <c r="B24" s="70" t="s">
        <v>37</v>
      </c>
      <c r="C24" s="16"/>
      <c r="D24" s="4">
        <f t="shared" si="0"/>
        <v>0</v>
      </c>
      <c r="E24" s="4">
        <f t="shared" si="1"/>
        <v>0</v>
      </c>
      <c r="F24" s="4">
        <f t="shared" si="2"/>
        <v>0</v>
      </c>
      <c r="G24" s="42"/>
      <c r="H24" s="156"/>
      <c r="I24" s="42"/>
      <c r="K24" s="693"/>
    </row>
    <row r="25" spans="1:15" ht="15.75">
      <c r="A25" s="158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42"/>
      <c r="H25" s="156"/>
      <c r="I25" s="42"/>
      <c r="K25" s="693"/>
    </row>
    <row r="26" spans="1:15" ht="15.75">
      <c r="A26" s="158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42"/>
      <c r="H26" s="156"/>
      <c r="I26" s="42"/>
      <c r="K26" s="693"/>
    </row>
    <row r="27" spans="1:15" ht="15.75">
      <c r="A27" s="158" t="s">
        <v>32</v>
      </c>
      <c r="B27" s="70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42"/>
      <c r="H27" s="156"/>
      <c r="I27" s="42"/>
      <c r="K27" s="693"/>
    </row>
    <row r="28" spans="1:15" ht="15.75">
      <c r="A28" s="158">
        <v>3291</v>
      </c>
      <c r="B28" s="33" t="s">
        <v>325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42"/>
      <c r="H28" s="156"/>
      <c r="I28" s="42"/>
      <c r="K28" s="693"/>
    </row>
    <row r="29" spans="1:15" ht="15.75">
      <c r="A29" s="137" t="s">
        <v>526</v>
      </c>
      <c r="B29" s="33" t="s">
        <v>523</v>
      </c>
      <c r="C29" s="16">
        <v>258</v>
      </c>
      <c r="D29" s="4">
        <f>+C29*9%</f>
        <v>23.22</v>
      </c>
      <c r="E29" s="4">
        <f>+D29</f>
        <v>23.22</v>
      </c>
      <c r="F29" s="4" t="str">
        <f>IF(D29&gt;0," ",C29*18%)</f>
        <v xml:space="preserve"> </v>
      </c>
      <c r="G29" s="42"/>
      <c r="H29" s="156"/>
      <c r="I29" s="42"/>
      <c r="K29" s="693"/>
    </row>
    <row r="30" spans="1:15" ht="15.75">
      <c r="A30" s="137" t="s">
        <v>527</v>
      </c>
      <c r="B30" s="33" t="s">
        <v>524</v>
      </c>
      <c r="C30" s="16">
        <v>1430</v>
      </c>
      <c r="D30" s="4">
        <f>+C30*9%</f>
        <v>128.69999999999999</v>
      </c>
      <c r="E30" s="4">
        <f>+D30</f>
        <v>128.69999999999999</v>
      </c>
      <c r="F30" s="4" t="str">
        <f>IF(D30&gt;0," ",C30*18%)</f>
        <v xml:space="preserve"> </v>
      </c>
      <c r="G30" s="42"/>
      <c r="H30" s="156"/>
      <c r="I30" s="42"/>
      <c r="K30" s="693"/>
    </row>
    <row r="31" spans="1:15" ht="15.75">
      <c r="A31" s="137" t="s">
        <v>528</v>
      </c>
      <c r="B31" s="33" t="s">
        <v>529</v>
      </c>
      <c r="C31" s="16">
        <v>300</v>
      </c>
      <c r="D31" s="4">
        <f>+C31*9%</f>
        <v>27</v>
      </c>
      <c r="E31" s="4">
        <f>+D31</f>
        <v>27</v>
      </c>
      <c r="F31" s="4" t="str">
        <f>IF(D31&gt;0," ",C31*18%)</f>
        <v xml:space="preserve"> </v>
      </c>
      <c r="G31" s="42"/>
      <c r="H31" s="156"/>
      <c r="I31" s="42"/>
      <c r="K31" s="693"/>
    </row>
    <row r="32" spans="1:15" ht="15.75">
      <c r="A32" s="137" t="s">
        <v>531</v>
      </c>
      <c r="B32" s="33" t="s">
        <v>532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/>
      <c r="H32" s="156"/>
      <c r="I32" s="42"/>
      <c r="K32" s="693"/>
    </row>
    <row r="33" spans="1:11" ht="15.75">
      <c r="A33" s="160" t="s">
        <v>30</v>
      </c>
      <c r="B33" s="70" t="s">
        <v>29</v>
      </c>
      <c r="C33" s="16">
        <v>83094</v>
      </c>
      <c r="D33" s="4">
        <f t="shared" si="0"/>
        <v>7478.46</v>
      </c>
      <c r="E33" s="4">
        <f t="shared" si="1"/>
        <v>7478.46</v>
      </c>
      <c r="F33" s="4" t="str">
        <f t="shared" si="2"/>
        <v xml:space="preserve"> </v>
      </c>
      <c r="G33" s="42">
        <v>0</v>
      </c>
      <c r="H33" s="156"/>
      <c r="I33" s="42"/>
      <c r="K33" s="693"/>
    </row>
    <row r="34" spans="1:11" ht="15.75">
      <c r="A34" s="160">
        <v>3301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42"/>
      <c r="H34" s="156"/>
      <c r="I34" s="42"/>
      <c r="K34" s="693"/>
    </row>
    <row r="35" spans="1:11" ht="15.75">
      <c r="A35" s="14">
        <v>3302</v>
      </c>
      <c r="B35" s="70" t="s">
        <v>591</v>
      </c>
      <c r="C35" s="16"/>
      <c r="D35" s="4">
        <f t="shared" si="0"/>
        <v>0</v>
      </c>
      <c r="E35" s="4">
        <f t="shared" si="1"/>
        <v>0</v>
      </c>
      <c r="F35" s="4">
        <f>IF(D35&gt;0," ",C35*18%)</f>
        <v>0</v>
      </c>
      <c r="G35" s="42"/>
      <c r="H35" s="156"/>
      <c r="I35" s="42"/>
      <c r="K35" s="693"/>
    </row>
    <row r="36" spans="1:11" ht="15.75">
      <c r="A36" s="161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42"/>
      <c r="H36" s="156"/>
      <c r="I36" s="42"/>
      <c r="K36" s="693"/>
    </row>
    <row r="37" spans="1:11" ht="15.75">
      <c r="A37" s="158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42"/>
      <c r="H37" s="156"/>
      <c r="I37" s="42"/>
      <c r="K37" s="693"/>
    </row>
    <row r="38" spans="1:11" ht="15.75">
      <c r="A38" s="160" t="s">
        <v>26</v>
      </c>
      <c r="B38" s="70" t="s">
        <v>25</v>
      </c>
      <c r="C38" s="16">
        <v>263</v>
      </c>
      <c r="D38" s="4">
        <f t="shared" si="0"/>
        <v>23.669999999999998</v>
      </c>
      <c r="E38" s="4">
        <f t="shared" si="1"/>
        <v>23.669999999999998</v>
      </c>
      <c r="F38" s="4" t="str">
        <f t="shared" si="2"/>
        <v xml:space="preserve"> </v>
      </c>
      <c r="G38" s="42"/>
      <c r="H38" s="156"/>
      <c r="I38" s="42"/>
      <c r="K38" s="693"/>
    </row>
    <row r="39" spans="1:11" ht="15.75">
      <c r="A39" s="160" t="s">
        <v>24</v>
      </c>
      <c r="B39" s="70" t="s">
        <v>23</v>
      </c>
      <c r="C39" s="16">
        <v>1100</v>
      </c>
      <c r="D39" s="4">
        <f t="shared" si="0"/>
        <v>99</v>
      </c>
      <c r="E39" s="4">
        <f t="shared" si="1"/>
        <v>99</v>
      </c>
      <c r="F39" s="4" t="str">
        <f t="shared" si="2"/>
        <v xml:space="preserve"> </v>
      </c>
      <c r="G39" s="42"/>
      <c r="H39" s="156"/>
      <c r="I39" s="42"/>
      <c r="K39" s="693"/>
    </row>
    <row r="40" spans="1:11" ht="15.75">
      <c r="A40" s="160" t="s">
        <v>22</v>
      </c>
      <c r="B40" s="70" t="s">
        <v>21</v>
      </c>
      <c r="C40" s="16">
        <v>4900</v>
      </c>
      <c r="D40" s="4">
        <f t="shared" si="0"/>
        <v>441</v>
      </c>
      <c r="E40" s="4">
        <f t="shared" si="1"/>
        <v>441</v>
      </c>
      <c r="F40" s="4" t="str">
        <f t="shared" si="2"/>
        <v xml:space="preserve"> </v>
      </c>
      <c r="G40" s="42"/>
      <c r="H40" s="156"/>
      <c r="I40" s="42"/>
      <c r="K40" s="693"/>
    </row>
    <row r="41" spans="1:11" ht="15.75">
      <c r="A41" s="160" t="s">
        <v>20</v>
      </c>
      <c r="B41" s="70" t="s">
        <v>19</v>
      </c>
      <c r="C41" s="16">
        <v>1500</v>
      </c>
      <c r="D41" s="4">
        <f t="shared" si="0"/>
        <v>135</v>
      </c>
      <c r="E41" s="4">
        <f t="shared" si="1"/>
        <v>135</v>
      </c>
      <c r="F41" s="4" t="str">
        <f t="shared" si="2"/>
        <v xml:space="preserve"> </v>
      </c>
      <c r="G41" s="42"/>
      <c r="H41" s="156"/>
      <c r="I41" s="42"/>
      <c r="K41" s="693"/>
    </row>
    <row r="42" spans="1:11" ht="15.75">
      <c r="A42" s="161" t="s">
        <v>18</v>
      </c>
      <c r="B42" s="70" t="s">
        <v>17</v>
      </c>
      <c r="C42" s="16">
        <v>2610</v>
      </c>
      <c r="D42" s="4">
        <f t="shared" si="0"/>
        <v>234.89999999999998</v>
      </c>
      <c r="E42" s="4">
        <f t="shared" si="1"/>
        <v>234.89999999999998</v>
      </c>
      <c r="F42" s="4" t="str">
        <f t="shared" si="2"/>
        <v xml:space="preserve"> </v>
      </c>
      <c r="G42" s="42"/>
      <c r="H42" s="156"/>
      <c r="I42" s="42"/>
      <c r="K42" s="693"/>
    </row>
    <row r="43" spans="1:11" ht="15.75">
      <c r="A43" s="161" t="s">
        <v>16</v>
      </c>
      <c r="B43" s="70" t="s">
        <v>15</v>
      </c>
      <c r="C43" s="16"/>
      <c r="D43" s="4">
        <f t="shared" si="0"/>
        <v>0</v>
      </c>
      <c r="E43" s="4">
        <f t="shared" si="1"/>
        <v>0</v>
      </c>
      <c r="F43" s="4">
        <f t="shared" si="2"/>
        <v>0</v>
      </c>
      <c r="G43" s="42"/>
      <c r="H43" s="156"/>
      <c r="I43" s="42"/>
      <c r="K43" s="693"/>
    </row>
    <row r="44" spans="1:11" ht="15.75">
      <c r="A44" s="161" t="s">
        <v>14</v>
      </c>
      <c r="B44" s="70" t="s">
        <v>13</v>
      </c>
      <c r="C44" s="16">
        <v>769</v>
      </c>
      <c r="D44" s="4">
        <f t="shared" si="0"/>
        <v>69.209999999999994</v>
      </c>
      <c r="E44" s="4">
        <f t="shared" si="1"/>
        <v>69.209999999999994</v>
      </c>
      <c r="F44" s="4" t="str">
        <f t="shared" si="2"/>
        <v xml:space="preserve"> </v>
      </c>
      <c r="G44" s="42"/>
      <c r="H44" s="156">
        <v>0</v>
      </c>
      <c r="I44" s="42"/>
      <c r="J44" s="207"/>
      <c r="K44" s="693"/>
    </row>
    <row r="45" spans="1:11" ht="15.75">
      <c r="A45" s="161">
        <v>3317</v>
      </c>
      <c r="B45" s="70" t="s">
        <v>286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42"/>
      <c r="H45" s="156"/>
      <c r="I45" s="42"/>
      <c r="K45" s="693"/>
    </row>
    <row r="46" spans="1:11" ht="15.75">
      <c r="A46" s="161" t="s">
        <v>12</v>
      </c>
      <c r="B46" s="70" t="s">
        <v>11</v>
      </c>
      <c r="C46" s="16"/>
      <c r="D46" s="4">
        <f t="shared" si="0"/>
        <v>0</v>
      </c>
      <c r="E46" s="4">
        <f t="shared" si="1"/>
        <v>0</v>
      </c>
      <c r="F46" s="4">
        <f t="shared" si="2"/>
        <v>0</v>
      </c>
      <c r="G46" s="42"/>
      <c r="H46" s="156"/>
      <c r="I46" s="42"/>
      <c r="K46" s="693"/>
    </row>
    <row r="47" spans="1:11" ht="15.75">
      <c r="A47" s="161">
        <v>3320</v>
      </c>
      <c r="B47" s="70" t="s">
        <v>290</v>
      </c>
      <c r="C47" s="16">
        <f>1307611-1307777</f>
        <v>-166</v>
      </c>
      <c r="D47" s="4">
        <f t="shared" si="0"/>
        <v>-14.94</v>
      </c>
      <c r="E47" s="4">
        <f t="shared" si="1"/>
        <v>-14.94</v>
      </c>
      <c r="F47" s="4"/>
      <c r="G47" s="42">
        <v>166</v>
      </c>
      <c r="H47" s="156"/>
      <c r="I47" s="42"/>
      <c r="K47" s="693"/>
    </row>
    <row r="48" spans="1:11" ht="15.75">
      <c r="A48" s="161">
        <v>3321</v>
      </c>
      <c r="B48" s="70" t="s">
        <v>156</v>
      </c>
      <c r="C48" s="16"/>
      <c r="D48" s="4">
        <f t="shared" si="0"/>
        <v>0</v>
      </c>
      <c r="E48" s="4">
        <f t="shared" si="1"/>
        <v>0</v>
      </c>
      <c r="F48" s="4">
        <f t="shared" si="2"/>
        <v>0</v>
      </c>
      <c r="G48" s="42"/>
      <c r="H48" s="156"/>
      <c r="I48" s="42"/>
      <c r="K48" s="693"/>
    </row>
    <row r="49" spans="1:11" ht="15.75">
      <c r="A49" s="161">
        <v>3322</v>
      </c>
      <c r="B49" s="70" t="s">
        <v>335</v>
      </c>
      <c r="C49" s="16"/>
      <c r="D49" s="4">
        <f>+C49*2.5%</f>
        <v>0</v>
      </c>
      <c r="E49" s="4">
        <f>+D49</f>
        <v>0</v>
      </c>
      <c r="F49" s="4"/>
      <c r="G49" s="42"/>
      <c r="H49" s="156"/>
      <c r="I49" s="42"/>
      <c r="K49" s="693"/>
    </row>
    <row r="50" spans="1:11" ht="15.75">
      <c r="A50" s="161">
        <v>3324</v>
      </c>
      <c r="B50" s="70" t="s">
        <v>438</v>
      </c>
      <c r="C50" s="16"/>
      <c r="D50" s="4">
        <f t="shared" si="0"/>
        <v>0</v>
      </c>
      <c r="E50" s="4">
        <f>+D50</f>
        <v>0</v>
      </c>
      <c r="F50" s="4"/>
      <c r="G50" s="42"/>
      <c r="H50" s="156"/>
      <c r="I50" s="42"/>
      <c r="K50" s="693"/>
    </row>
    <row r="51" spans="1:11" ht="15.75">
      <c r="A51" s="161">
        <v>3325</v>
      </c>
      <c r="B51" s="70" t="s">
        <v>606</v>
      </c>
      <c r="C51" s="16"/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156"/>
      <c r="I51" s="42"/>
      <c r="K51" s="693"/>
    </row>
    <row r="52" spans="1:11" ht="15.75">
      <c r="A52" s="161">
        <v>3391</v>
      </c>
      <c r="B52" s="70" t="s">
        <v>300</v>
      </c>
      <c r="C52" s="16">
        <v>14196</v>
      </c>
      <c r="D52" s="4">
        <f t="shared" si="0"/>
        <v>1277.6399999999999</v>
      </c>
      <c r="E52" s="4">
        <f t="shared" si="1"/>
        <v>1277.6399999999999</v>
      </c>
      <c r="F52" s="4"/>
      <c r="G52" s="42"/>
      <c r="H52" s="156"/>
      <c r="I52" s="42"/>
      <c r="K52" s="693"/>
    </row>
    <row r="53" spans="1:11" ht="15.75">
      <c r="A53" s="14">
        <v>3359</v>
      </c>
      <c r="B53" s="70" t="s">
        <v>683</v>
      </c>
      <c r="C53" s="16"/>
      <c r="D53" s="4">
        <f t="shared" si="0"/>
        <v>0</v>
      </c>
      <c r="E53" s="4">
        <f t="shared" si="1"/>
        <v>0</v>
      </c>
      <c r="F53" s="4"/>
      <c r="G53" s="42"/>
      <c r="H53" s="156"/>
      <c r="I53" s="42"/>
      <c r="K53" s="693"/>
    </row>
    <row r="54" spans="1:11" ht="15.75">
      <c r="A54" s="14">
        <v>3825</v>
      </c>
      <c r="B54" s="70" t="s">
        <v>646</v>
      </c>
      <c r="C54" s="16"/>
      <c r="D54" s="4">
        <f t="shared" si="0"/>
        <v>0</v>
      </c>
      <c r="E54" s="4">
        <f t="shared" si="1"/>
        <v>0</v>
      </c>
      <c r="F54" s="4"/>
      <c r="G54" s="42">
        <v>0</v>
      </c>
      <c r="H54" s="156"/>
      <c r="I54" s="42"/>
      <c r="K54" s="32"/>
    </row>
    <row r="55" spans="1:11" ht="15.75">
      <c r="A55" s="14">
        <v>3362</v>
      </c>
      <c r="B55" s="70" t="s">
        <v>739</v>
      </c>
      <c r="C55" s="16"/>
      <c r="D55" s="4"/>
      <c r="E55" s="4"/>
      <c r="F55" s="4"/>
      <c r="G55" s="42"/>
      <c r="H55" s="156"/>
      <c r="I55" s="42"/>
      <c r="K55" s="32"/>
    </row>
    <row r="56" spans="1:11" ht="15.75">
      <c r="A56" s="14">
        <v>3340</v>
      </c>
      <c r="B56" s="70" t="s">
        <v>785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  <c r="K56" s="693"/>
    </row>
    <row r="57" spans="1:11" ht="15.75">
      <c r="A57" s="162" t="s">
        <v>10</v>
      </c>
      <c r="B57" s="70"/>
      <c r="C57" s="16"/>
      <c r="D57" s="4"/>
      <c r="E57" s="4"/>
      <c r="F57" s="4"/>
      <c r="G57" s="42"/>
      <c r="H57" s="156"/>
      <c r="I57" s="42"/>
      <c r="K57" s="693"/>
    </row>
    <row r="58" spans="1:11" ht="15.75">
      <c r="A58" s="161" t="s">
        <v>9</v>
      </c>
      <c r="B58" s="70" t="s">
        <v>8</v>
      </c>
      <c r="C58" s="16"/>
      <c r="D58" s="4">
        <f t="shared" si="0"/>
        <v>0</v>
      </c>
      <c r="E58" s="4">
        <f t="shared" si="1"/>
        <v>0</v>
      </c>
      <c r="F58" s="4">
        <f t="shared" si="2"/>
        <v>0</v>
      </c>
      <c r="G58" s="42"/>
      <c r="H58" s="156"/>
      <c r="I58" s="42"/>
      <c r="K58" s="693"/>
    </row>
    <row r="59" spans="1:11" ht="15.75">
      <c r="A59" s="160" t="s">
        <v>7</v>
      </c>
      <c r="B59" s="70" t="s">
        <v>6</v>
      </c>
      <c r="C59" s="16">
        <v>322150</v>
      </c>
      <c r="D59" s="4">
        <f>+C59*9%</f>
        <v>28993.5</v>
      </c>
      <c r="E59" s="4">
        <f t="shared" si="1"/>
        <v>28993.5</v>
      </c>
      <c r="F59" s="4" t="str">
        <f t="shared" si="2"/>
        <v xml:space="preserve"> </v>
      </c>
      <c r="G59" s="42"/>
      <c r="H59" s="156">
        <v>0</v>
      </c>
      <c r="I59" s="42"/>
      <c r="K59" s="693"/>
    </row>
    <row r="60" spans="1:11" ht="15.75">
      <c r="A60" s="160"/>
      <c r="B60" s="70" t="s">
        <v>4</v>
      </c>
      <c r="C60" s="16">
        <f>0</f>
        <v>0</v>
      </c>
      <c r="D60" s="4"/>
      <c r="E60" s="4"/>
      <c r="F60" s="4"/>
      <c r="G60" s="42"/>
      <c r="H60" s="156"/>
      <c r="I60" s="42"/>
      <c r="K60" s="693"/>
    </row>
    <row r="61" spans="1:11" ht="15.75">
      <c r="A61" s="435"/>
      <c r="B61" s="432" t="s">
        <v>465</v>
      </c>
      <c r="C61" s="16">
        <f>0</f>
        <v>0</v>
      </c>
      <c r="D61" s="4">
        <f>+C61*9%</f>
        <v>0</v>
      </c>
      <c r="E61" s="433">
        <f>+D61</f>
        <v>0</v>
      </c>
      <c r="F61" s="433"/>
      <c r="G61" s="42"/>
      <c r="H61" s="156"/>
      <c r="I61" s="42"/>
      <c r="K61" s="693"/>
    </row>
    <row r="62" spans="1:11" ht="16.5" thickBot="1">
      <c r="A62" s="12"/>
      <c r="B62" s="11" t="s">
        <v>3</v>
      </c>
      <c r="C62" s="10">
        <f>+SUM(C9:C61)</f>
        <v>457604</v>
      </c>
      <c r="D62" s="10">
        <f>+SUM(D9:D61)</f>
        <v>41184.36</v>
      </c>
      <c r="E62" s="10">
        <f>+SUM(E9:E61)</f>
        <v>41184.36</v>
      </c>
      <c r="F62" s="10">
        <f>+SUM(F9:F61)</f>
        <v>0</v>
      </c>
      <c r="G62" s="10">
        <f>+SUM(G9:G61)</f>
        <v>166</v>
      </c>
      <c r="H62" s="10">
        <f>SUM(H9:H59)</f>
        <v>0</v>
      </c>
      <c r="I62" s="10"/>
      <c r="K62" s="693"/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v>0</v>
      </c>
      <c r="G64" s="1">
        <f>+C62*18%</f>
        <v>82368.72</v>
      </c>
      <c r="H64" s="32">
        <f>+D62+E62</f>
        <v>82368.72</v>
      </c>
      <c r="I64" s="1">
        <f>+G64-H64</f>
        <v>0</v>
      </c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41184.36</v>
      </c>
    </row>
    <row r="66" spans="1:10" ht="15.75">
      <c r="A66" s="1228" t="s">
        <v>75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  <c r="G70" s="207"/>
    </row>
    <row r="71" spans="1:10" ht="15.75">
      <c r="A71" s="1241" t="s">
        <v>80</v>
      </c>
      <c r="B71" s="1242"/>
      <c r="C71" s="1243"/>
      <c r="D71" s="105">
        <f>+D62</f>
        <v>41184.36</v>
      </c>
      <c r="E71" s="105">
        <f>+E62</f>
        <v>41184.36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166</v>
      </c>
      <c r="D72" s="106">
        <f>+C72*0.09</f>
        <v>14.94</v>
      </c>
      <c r="E72" s="106">
        <f>+C72*0.09</f>
        <v>14.94</v>
      </c>
      <c r="F72" s="105">
        <v>0</v>
      </c>
    </row>
    <row r="73" spans="1:10" ht="15.75">
      <c r="A73" s="43"/>
      <c r="B73" s="43"/>
      <c r="C73" s="43"/>
      <c r="D73" s="105">
        <f>+D71+D72</f>
        <v>41199.300000000003</v>
      </c>
      <c r="E73" s="105">
        <f>+E71+E72</f>
        <v>41199.300000000003</v>
      </c>
      <c r="F73" s="105">
        <v>0</v>
      </c>
      <c r="G73" s="1">
        <f>+C62+C72+H62</f>
        <v>457770</v>
      </c>
      <c r="H73" s="32">
        <f>+G73*0.18</f>
        <v>82398.599999999991</v>
      </c>
    </row>
    <row r="74" spans="1:10" ht="15.75">
      <c r="A74" s="1241" t="s">
        <v>104</v>
      </c>
      <c r="B74" s="1242"/>
      <c r="C74" s="1243"/>
      <c r="D74" s="108">
        <v>41204.050000000003</v>
      </c>
      <c r="E74" s="108">
        <f>+D74</f>
        <v>41204.050000000003</v>
      </c>
      <c r="F74" s="108">
        <v>0</v>
      </c>
      <c r="J74" s="72"/>
    </row>
    <row r="75" spans="1:10" ht="15.75">
      <c r="A75" s="1250" t="s">
        <v>79</v>
      </c>
      <c r="B75" s="1251"/>
      <c r="C75" s="1252"/>
      <c r="D75" s="107">
        <f>+D73-D74</f>
        <v>-4.75</v>
      </c>
      <c r="E75" s="107">
        <f>+E73-E74</f>
        <v>-4.75</v>
      </c>
      <c r="F75" s="108">
        <f>IF(F71&gt;F74,F71,F74)</f>
        <v>0</v>
      </c>
      <c r="G75" s="1">
        <f>+D75/9%</f>
        <v>-52.777777777777779</v>
      </c>
      <c r="H75" s="32">
        <v>0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</row>
    <row r="80" spans="1:10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1660.86</v>
      </c>
      <c r="E81" s="108">
        <f>+D81</f>
        <v>1660.86</v>
      </c>
      <c r="F81" s="58">
        <v>0</v>
      </c>
      <c r="G81" s="32">
        <f t="shared" ref="G81:I83" si="3">+D81/2</f>
        <v>830.43</v>
      </c>
      <c r="H81" s="32">
        <f t="shared" si="3"/>
        <v>830.43</v>
      </c>
      <c r="I81" s="32">
        <f t="shared" si="3"/>
        <v>0</v>
      </c>
    </row>
    <row r="82" spans="1:9" ht="15.75">
      <c r="A82" s="1224" t="s">
        <v>83</v>
      </c>
      <c r="B82" s="1224"/>
      <c r="C82" s="1224"/>
      <c r="D82" s="105">
        <f>+C92</f>
        <v>0</v>
      </c>
      <c r="E82" s="105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215" t="s">
        <v>82</v>
      </c>
      <c r="B83" s="1215"/>
      <c r="C83" s="1215"/>
      <c r="D83" s="105">
        <f>+D81-D82</f>
        <v>1660.86</v>
      </c>
      <c r="E83" s="105">
        <f>+E81-E82</f>
        <v>1660.86</v>
      </c>
      <c r="F83" s="56">
        <f>+F81-F82</f>
        <v>0</v>
      </c>
      <c r="G83" s="32">
        <f t="shared" si="3"/>
        <v>830.43</v>
      </c>
      <c r="H83" s="32">
        <f t="shared" si="3"/>
        <v>830.43</v>
      </c>
      <c r="I83" s="32">
        <f t="shared" si="3"/>
        <v>0</v>
      </c>
    </row>
    <row r="84" spans="1:9" ht="15.75">
      <c r="A84" s="75"/>
      <c r="B84" s="75"/>
      <c r="C84" s="75"/>
      <c r="D84" s="199"/>
      <c r="E84" s="199"/>
      <c r="F84" s="66"/>
      <c r="H84" s="1"/>
    </row>
    <row r="85" spans="1:9" ht="15.75">
      <c r="A85" s="75"/>
      <c r="B85" s="75"/>
      <c r="C85" s="75"/>
      <c r="D85" s="3"/>
      <c r="E85" s="3"/>
      <c r="F85" s="66"/>
    </row>
    <row r="86" spans="1:9">
      <c r="B86" s="1284" t="s">
        <v>101</v>
      </c>
      <c r="C86" s="1284"/>
      <c r="D86" s="1284"/>
      <c r="E86" s="1284"/>
    </row>
    <row r="87" spans="1:9">
      <c r="B87" s="165" t="s">
        <v>356</v>
      </c>
      <c r="C87" s="165" t="s">
        <v>67</v>
      </c>
      <c r="D87" s="165" t="s">
        <v>155</v>
      </c>
      <c r="E87" s="165" t="s">
        <v>68</v>
      </c>
    </row>
    <row r="88" spans="1:9">
      <c r="B88" s="1" t="s">
        <v>102</v>
      </c>
      <c r="C88" s="69">
        <v>0</v>
      </c>
      <c r="D88" s="69">
        <f>+C88</f>
        <v>0</v>
      </c>
      <c r="E88" s="69">
        <v>0</v>
      </c>
    </row>
    <row r="89" spans="1:9">
      <c r="B89" s="1" t="s">
        <v>539</v>
      </c>
      <c r="C89" s="69">
        <v>0</v>
      </c>
      <c r="D89" s="69">
        <f>+C89</f>
        <v>0</v>
      </c>
      <c r="E89" s="69"/>
    </row>
    <row r="90" spans="1:9">
      <c r="B90" s="1" t="s">
        <v>440</v>
      </c>
      <c r="C90" s="69">
        <v>0</v>
      </c>
      <c r="D90" s="69">
        <f>+C90</f>
        <v>0</v>
      </c>
      <c r="E90" s="69"/>
    </row>
    <row r="91" spans="1:9">
      <c r="B91" s="1" t="s">
        <v>102</v>
      </c>
      <c r="C91" s="69">
        <v>0</v>
      </c>
      <c r="D91" s="69">
        <f>+C91</f>
        <v>0</v>
      </c>
      <c r="E91" s="69">
        <v>0</v>
      </c>
    </row>
    <row r="92" spans="1:9" ht="15.75" thickBot="1">
      <c r="B92" s="146"/>
      <c r="C92" s="180">
        <f>+SUM(C88:C91)</f>
        <v>0</v>
      </c>
      <c r="D92" s="180">
        <f>+SUM(D88:D91)</f>
        <v>0</v>
      </c>
      <c r="E92" s="180">
        <f>+SUM(E88:E88)</f>
        <v>0</v>
      </c>
      <c r="G92" s="1">
        <f>+C92/2</f>
        <v>0</v>
      </c>
    </row>
    <row r="93" spans="1:9" ht="15.75" thickTop="1"/>
  </sheetData>
  <mergeCells count="29">
    <mergeCell ref="D78:D79"/>
    <mergeCell ref="A75:C75"/>
    <mergeCell ref="A78:C79"/>
    <mergeCell ref="G7:G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86:E86"/>
    <mergeCell ref="H7:H8"/>
    <mergeCell ref="I7:I8"/>
    <mergeCell ref="A80:C80"/>
    <mergeCell ref="A81:C81"/>
    <mergeCell ref="A82:C82"/>
    <mergeCell ref="F78:F79"/>
    <mergeCell ref="E78:E79"/>
    <mergeCell ref="A66:F66"/>
    <mergeCell ref="A69:C70"/>
    <mergeCell ref="D69:D70"/>
    <mergeCell ref="E69:E70"/>
    <mergeCell ref="F69:F70"/>
    <mergeCell ref="A71:C71"/>
    <mergeCell ref="A74:C74"/>
    <mergeCell ref="A83:C83"/>
  </mergeCells>
  <conditionalFormatting sqref="A9:B21">
    <cfRule type="containsText" dxfId="398" priority="26" operator="containsText" text="LESS COLLECTED">
      <formula>NOT(ISERROR(SEARCH("LESS COLLECTED",A9)))</formula>
    </cfRule>
  </conditionalFormatting>
  <conditionalFormatting sqref="A22:B34">
    <cfRule type="containsText" dxfId="397" priority="37" operator="containsText" text="LESS COLLECTED">
      <formula>NOT(ISERROR(SEARCH("LESS COLLECTED",A22)))</formula>
    </cfRule>
  </conditionalFormatting>
  <conditionalFormatting sqref="A28:B32">
    <cfRule type="containsText" dxfId="396" priority="36" operator="containsText" text="EXCESS COLLECTED">
      <formula>NOT(ISERROR(SEARCH("EXCESS COLLECTED",A28)))</formula>
    </cfRule>
  </conditionalFormatting>
  <conditionalFormatting sqref="A35:B56">
    <cfRule type="containsText" dxfId="395" priority="2" operator="containsText" text="LESS COLLECTED">
      <formula>NOT(ISERROR(SEARCH("LESS COLLECTED",A35)))</formula>
    </cfRule>
  </conditionalFormatting>
  <conditionalFormatting sqref="A47:B56">
    <cfRule type="containsText" dxfId="394" priority="1" operator="containsText" text="EXCESS COLLECTED">
      <formula>NOT(ISERROR(SEARCH("EXCESS COLLECTED",A47)))</formula>
    </cfRule>
  </conditionalFormatting>
  <conditionalFormatting sqref="A57:B61">
    <cfRule type="containsText" dxfId="393" priority="41" operator="containsText" text="LESS COLLECTED">
      <formula>NOT(ISERROR(SEARCH("LESS COLLECTED",A57)))</formula>
    </cfRule>
  </conditionalFormatting>
  <conditionalFormatting sqref="A7:F8 A66:XFD73 A1 G1:XFD1 A2:XFD6 G7:I7 J7:XFD15 G9:I61 J16:J61 K16:XFD62 A62:J62 H74:XFD74 A75:XFD79 A80:F80 H80:XFD80 A81:XFD85 F86:XFD86">
    <cfRule type="containsText" dxfId="392" priority="150" operator="containsText" text="LESS COLLECTED">
      <formula>NOT(ISERROR(SEARCH("LESS COLLECTED",A1)))</formula>
    </cfRule>
  </conditionalFormatting>
  <conditionalFormatting sqref="A63:XFD65">
    <cfRule type="containsText" dxfId="391" priority="9" operator="containsText" text="LESS COLLECTED">
      <formula>NOT(ISERROR(SEARCH("LESS COLLECTED",A63)))</formula>
    </cfRule>
  </conditionalFormatting>
  <conditionalFormatting sqref="B61">
    <cfRule type="containsText" dxfId="390" priority="40" operator="containsText" text="EXCESS COLLECTED">
      <formula>NOT(ISERROR(SEARCH("EXCESS COLLECTED",B61)))</formula>
    </cfRule>
  </conditionalFormatting>
  <conditionalFormatting sqref="B87:D91">
    <cfRule type="containsText" dxfId="389" priority="20" operator="containsText" text="EXCESS COLLECTED">
      <formula>NOT(ISERROR(SEARCH("EXCESS COLLECTED",B87)))</formula>
    </cfRule>
  </conditionalFormatting>
  <conditionalFormatting sqref="C9:C61">
    <cfRule type="containsText" dxfId="388" priority="4" operator="containsText" text="LESS COLLECTED">
      <formula>NOT(ISERROR(SEARCH("LESS COLLECTED",C9)))</formula>
    </cfRule>
  </conditionalFormatting>
  <conditionalFormatting sqref="D7:F8 D69:E70 A72:F73 B86">
    <cfRule type="containsText" dxfId="387" priority="138" operator="containsText" text="EXCESS COLLECTED">
      <formula>NOT(ISERROR(SEARCH("EXCESS COLLECTED",A7)))</formula>
    </cfRule>
  </conditionalFormatting>
  <conditionalFormatting sqref="D7:F28 D69:E70 A72:F74 A86:B86">
    <cfRule type="containsText" dxfId="386" priority="139" operator="containsText" text="LESS COLLECTED">
      <formula>NOT(ISERROR(SEARCH("LESS COLLECTED",A7)))</formula>
    </cfRule>
  </conditionalFormatting>
  <conditionalFormatting sqref="D29:F61">
    <cfRule type="containsText" dxfId="385" priority="6" operator="containsText" text="LESS COLLECTED">
      <formula>NOT(ISERROR(SEARCH("LESS COLLECTED",D29)))</formula>
    </cfRule>
  </conditionalFormatting>
  <conditionalFormatting sqref="D48:F56">
    <cfRule type="containsText" dxfId="384" priority="3" operator="containsText" text="EXCESS COLLECTED">
      <formula>NOT(ISERROR(SEARCH("EXCESS COLLECTED",D48)))</formula>
    </cfRule>
  </conditionalFormatting>
  <conditionalFormatting sqref="G65">
    <cfRule type="containsText" dxfId="383" priority="8" operator="containsText" text="EXCESS COLLECTED">
      <formula>NOT(ISERROR(SEARCH("EXCESS COLLECTED",G65)))</formula>
    </cfRule>
  </conditionalFormatting>
  <pageMargins left="0.90551181102362199" right="0.86811023600000004" top="0.5" bottom="0.75" header="0.31496062992126" footer="0.31496062992126"/>
  <pageSetup paperSize="9" scale="3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92D050"/>
  </sheetPr>
  <dimension ref="A1:O97"/>
  <sheetViews>
    <sheetView topLeftCell="A74" workbookViewId="0">
      <selection activeCell="D74" sqref="D74"/>
    </sheetView>
  </sheetViews>
  <sheetFormatPr defaultColWidth="9.140625" defaultRowHeight="15"/>
  <cols>
    <col min="1" max="1" width="18" bestFit="1" customWidth="1"/>
    <col min="2" max="2" width="41.28515625" customWidth="1"/>
    <col min="3" max="3" width="16.28515625" customWidth="1"/>
    <col min="4" max="4" width="16.42578125" customWidth="1"/>
    <col min="5" max="5" width="16.5703125" bestFit="1" customWidth="1"/>
    <col min="6" max="6" width="11.42578125" customWidth="1"/>
    <col min="7" max="7" width="19.85546875" customWidth="1"/>
    <col min="8" max="8" width="14.28515625" customWidth="1"/>
    <col min="9" max="9" width="16.7109375" style="1" customWidth="1"/>
    <col min="10" max="10" width="9.5703125" style="1" bestFit="1" customWidth="1"/>
    <col min="11" max="16384" width="9.140625" style="1"/>
  </cols>
  <sheetData>
    <row r="1" spans="1:9" ht="15.75">
      <c r="A1" s="1228" t="s">
        <v>73</v>
      </c>
      <c r="B1" s="1228"/>
      <c r="C1" s="1228"/>
      <c r="D1" s="1228"/>
      <c r="E1" s="1228"/>
      <c r="F1" s="1228"/>
      <c r="G1" s="1"/>
      <c r="H1" s="32"/>
    </row>
    <row r="2" spans="1:9" ht="15.75">
      <c r="A2" s="41"/>
      <c r="B2" s="41"/>
      <c r="C2" s="41"/>
      <c r="D2" s="41"/>
      <c r="E2" s="41"/>
      <c r="F2" s="41"/>
      <c r="G2" s="1"/>
      <c r="H2" s="32"/>
    </row>
    <row r="3" spans="1:9" ht="15.75">
      <c r="A3" s="1229" t="s">
        <v>301</v>
      </c>
      <c r="B3" s="1229"/>
      <c r="C3" s="1229"/>
      <c r="D3" s="1229"/>
      <c r="E3" s="1229"/>
      <c r="F3" s="1229"/>
      <c r="G3" s="1"/>
      <c r="H3" s="32"/>
    </row>
    <row r="4" spans="1:9" ht="15.75">
      <c r="A4" s="1229" t="s">
        <v>350</v>
      </c>
      <c r="B4" s="1229"/>
      <c r="C4" s="1229"/>
      <c r="D4" s="1229"/>
      <c r="E4" s="1229"/>
      <c r="F4" s="1229"/>
      <c r="G4" s="1"/>
      <c r="H4" s="32"/>
    </row>
    <row r="5" spans="1:9" ht="15.75">
      <c r="A5" s="1228" t="str">
        <f>+VEJALPUR!A5</f>
        <v>SUMMARY OF INCOME FOR THE MONTH OF SEP 2026</v>
      </c>
      <c r="B5" s="1228"/>
      <c r="C5" s="1228"/>
      <c r="D5" s="1228"/>
      <c r="E5" s="1228"/>
      <c r="F5" s="1228"/>
      <c r="G5" s="1"/>
      <c r="H5" s="32"/>
    </row>
    <row r="6" spans="1:9" ht="15.75">
      <c r="A6" s="24" t="s">
        <v>5</v>
      </c>
      <c r="B6" s="3"/>
      <c r="C6" s="23"/>
      <c r="D6" s="1230"/>
      <c r="E6" s="1230"/>
      <c r="F6" s="3"/>
      <c r="G6" s="1"/>
      <c r="H6" s="32"/>
    </row>
    <row r="7" spans="1:9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388</v>
      </c>
    </row>
    <row r="8" spans="1:9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9" ht="15.75">
      <c r="A9" s="31">
        <v>3303</v>
      </c>
      <c r="B9" s="70" t="s">
        <v>609</v>
      </c>
      <c r="C9" s="925">
        <f>0</f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  <c r="I9" s="42"/>
    </row>
    <row r="10" spans="1:9" ht="15.75">
      <c r="A10" s="31" t="s">
        <v>87</v>
      </c>
      <c r="B10" s="70" t="s">
        <v>61</v>
      </c>
      <c r="C10" s="925">
        <f>0</f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I10" s="42"/>
    </row>
    <row r="11" spans="1:9" ht="15.75">
      <c r="A11" s="13" t="s">
        <v>60</v>
      </c>
      <c r="B11" s="70" t="s">
        <v>59</v>
      </c>
      <c r="C11" s="925"/>
      <c r="D11" s="4">
        <f>+C11*9%</f>
        <v>0</v>
      </c>
      <c r="E11" s="4">
        <f t="shared" ref="E11:E60" si="0">+D11</f>
        <v>0</v>
      </c>
      <c r="F11" s="4">
        <f t="shared" ref="F11:F46" si="1">IF(D11&gt;0," ",C11*18%)</f>
        <v>0</v>
      </c>
      <c r="G11" s="266">
        <v>0</v>
      </c>
      <c r="H11" s="266">
        <v>0</v>
      </c>
      <c r="I11" s="42"/>
    </row>
    <row r="12" spans="1:9" ht="15.75">
      <c r="A12" s="14" t="s">
        <v>58</v>
      </c>
      <c r="B12" s="70" t="s">
        <v>57</v>
      </c>
      <c r="C12" s="925"/>
      <c r="D12" s="4">
        <f t="shared" ref="D12:D58" si="2">+C12*9%</f>
        <v>0</v>
      </c>
      <c r="E12" s="4">
        <f t="shared" si="0"/>
        <v>0</v>
      </c>
      <c r="F12" s="4">
        <f t="shared" si="1"/>
        <v>0</v>
      </c>
      <c r="G12" s="266">
        <v>0</v>
      </c>
      <c r="H12" s="266">
        <v>0</v>
      </c>
      <c r="I12" s="42"/>
    </row>
    <row r="13" spans="1:9" ht="15.75">
      <c r="A13" s="13">
        <v>3225</v>
      </c>
      <c r="B13" s="70" t="s">
        <v>55</v>
      </c>
      <c r="C13" s="925"/>
      <c r="D13" s="4">
        <f t="shared" si="2"/>
        <v>0</v>
      </c>
      <c r="E13" s="4">
        <f t="shared" si="0"/>
        <v>0</v>
      </c>
      <c r="F13" s="4">
        <f t="shared" si="1"/>
        <v>0</v>
      </c>
      <c r="G13" s="266">
        <v>0</v>
      </c>
      <c r="H13" s="266">
        <v>0</v>
      </c>
      <c r="I13" s="42"/>
    </row>
    <row r="14" spans="1:9" ht="15.75">
      <c r="A14" s="13">
        <v>3230</v>
      </c>
      <c r="B14" s="70" t="s">
        <v>53</v>
      </c>
      <c r="C14" s="925"/>
      <c r="D14" s="4">
        <f t="shared" si="2"/>
        <v>0</v>
      </c>
      <c r="E14" s="4">
        <f t="shared" si="0"/>
        <v>0</v>
      </c>
      <c r="F14" s="4">
        <f t="shared" si="1"/>
        <v>0</v>
      </c>
      <c r="G14" s="266">
        <v>0</v>
      </c>
      <c r="H14" s="266">
        <v>0</v>
      </c>
      <c r="I14" s="42"/>
    </row>
    <row r="15" spans="1:9" ht="15.75">
      <c r="A15" s="13">
        <v>3235</v>
      </c>
      <c r="B15" s="70" t="s">
        <v>51</v>
      </c>
      <c r="C15" s="925">
        <v>160</v>
      </c>
      <c r="D15" s="4">
        <f t="shared" si="2"/>
        <v>14.399999999999999</v>
      </c>
      <c r="E15" s="4">
        <f t="shared" si="0"/>
        <v>14.399999999999999</v>
      </c>
      <c r="F15" s="4" t="str">
        <f t="shared" si="1"/>
        <v xml:space="preserve"> </v>
      </c>
      <c r="G15" s="266">
        <v>0</v>
      </c>
      <c r="H15" s="266">
        <v>0</v>
      </c>
      <c r="I15" s="42"/>
    </row>
    <row r="16" spans="1:9" ht="15.75">
      <c r="A16" s="14" t="s">
        <v>50</v>
      </c>
      <c r="B16" s="70" t="s">
        <v>49</v>
      </c>
      <c r="C16" s="925"/>
      <c r="D16" s="4">
        <f t="shared" si="2"/>
        <v>0</v>
      </c>
      <c r="E16" s="4">
        <f t="shared" si="0"/>
        <v>0</v>
      </c>
      <c r="F16" s="4">
        <f t="shared" si="1"/>
        <v>0</v>
      </c>
      <c r="G16" s="266">
        <v>0</v>
      </c>
      <c r="H16" s="266">
        <v>0</v>
      </c>
      <c r="I16" s="42"/>
    </row>
    <row r="17" spans="1:15" ht="15.75">
      <c r="A17" s="14" t="s">
        <v>48</v>
      </c>
      <c r="B17" s="70" t="s">
        <v>47</v>
      </c>
      <c r="C17" s="925">
        <v>2000</v>
      </c>
      <c r="D17" s="4">
        <f t="shared" si="2"/>
        <v>180</v>
      </c>
      <c r="E17" s="4">
        <f t="shared" si="0"/>
        <v>180</v>
      </c>
      <c r="F17" s="4" t="str">
        <f t="shared" si="1"/>
        <v xml:space="preserve"> </v>
      </c>
      <c r="G17" s="266">
        <v>0</v>
      </c>
      <c r="H17" s="266">
        <v>0</v>
      </c>
      <c r="I17" s="42"/>
    </row>
    <row r="18" spans="1:15" ht="15.75">
      <c r="A18" s="14" t="s">
        <v>46</v>
      </c>
      <c r="B18" s="70" t="s">
        <v>45</v>
      </c>
      <c r="C18" s="925"/>
      <c r="D18" s="4">
        <f t="shared" si="2"/>
        <v>0</v>
      </c>
      <c r="E18" s="4">
        <f t="shared" si="0"/>
        <v>0</v>
      </c>
      <c r="F18" s="4">
        <f t="shared" si="1"/>
        <v>0</v>
      </c>
      <c r="G18" s="266">
        <v>0</v>
      </c>
      <c r="H18" s="266">
        <v>0</v>
      </c>
      <c r="I18" s="42"/>
    </row>
    <row r="19" spans="1:15" ht="15.75">
      <c r="A19" s="13" t="s">
        <v>44</v>
      </c>
      <c r="B19" s="70" t="s">
        <v>43</v>
      </c>
      <c r="C19" s="925">
        <v>28850</v>
      </c>
      <c r="D19" s="4">
        <f t="shared" si="2"/>
        <v>2596.5</v>
      </c>
      <c r="E19" s="4">
        <f t="shared" si="0"/>
        <v>2596.5</v>
      </c>
      <c r="F19" s="4" t="str">
        <f t="shared" si="1"/>
        <v xml:space="preserve"> </v>
      </c>
      <c r="G19" s="266">
        <v>0</v>
      </c>
      <c r="H19" s="266">
        <v>0</v>
      </c>
      <c r="I19" s="42"/>
      <c r="J19" s="1" t="s">
        <v>5</v>
      </c>
    </row>
    <row r="20" spans="1:15" ht="15.75">
      <c r="A20" s="13">
        <v>3271</v>
      </c>
      <c r="B20" s="70" t="s">
        <v>533</v>
      </c>
      <c r="C20" s="925">
        <v>4430</v>
      </c>
      <c r="D20" s="4">
        <f t="shared" si="2"/>
        <v>398.7</v>
      </c>
      <c r="E20" s="4">
        <f t="shared" si="0"/>
        <v>398.7</v>
      </c>
      <c r="F20" s="4" t="str">
        <f t="shared" si="1"/>
        <v xml:space="preserve"> </v>
      </c>
      <c r="G20" s="266">
        <v>0</v>
      </c>
      <c r="H20" s="266">
        <v>0</v>
      </c>
      <c r="I20" s="42"/>
    </row>
    <row r="21" spans="1:15" ht="15.75">
      <c r="A21" s="13">
        <v>3274</v>
      </c>
      <c r="B21" s="70" t="s">
        <v>554</v>
      </c>
      <c r="C21" s="925"/>
      <c r="D21" s="4"/>
      <c r="E21" s="4"/>
      <c r="F21" s="4"/>
      <c r="G21" s="266">
        <v>0</v>
      </c>
      <c r="H21" s="266">
        <v>0</v>
      </c>
      <c r="I21" s="42"/>
    </row>
    <row r="22" spans="1:15" ht="15.75">
      <c r="A22" s="17" t="s">
        <v>42</v>
      </c>
      <c r="B22" s="70" t="s">
        <v>41</v>
      </c>
      <c r="C22" s="925"/>
      <c r="D22" s="4">
        <f t="shared" si="2"/>
        <v>0</v>
      </c>
      <c r="E22" s="4">
        <f t="shared" si="0"/>
        <v>0</v>
      </c>
      <c r="F22" s="4">
        <f t="shared" si="1"/>
        <v>0</v>
      </c>
      <c r="G22" s="266">
        <v>0</v>
      </c>
      <c r="H22" s="266">
        <v>0</v>
      </c>
      <c r="I22" s="42"/>
      <c r="O22" s="1" t="s">
        <v>5</v>
      </c>
    </row>
    <row r="23" spans="1:15" ht="15.75">
      <c r="A23" s="14" t="s">
        <v>40</v>
      </c>
      <c r="B23" s="70" t="s">
        <v>39</v>
      </c>
      <c r="C23" s="925"/>
      <c r="D23" s="4">
        <f t="shared" si="2"/>
        <v>0</v>
      </c>
      <c r="E23" s="4">
        <f t="shared" si="0"/>
        <v>0</v>
      </c>
      <c r="F23" s="4">
        <f t="shared" si="1"/>
        <v>0</v>
      </c>
      <c r="G23" s="266">
        <v>0</v>
      </c>
      <c r="H23" s="266">
        <v>0</v>
      </c>
      <c r="I23" s="42"/>
    </row>
    <row r="24" spans="1:15" ht="15.75">
      <c r="A24" s="14" t="s">
        <v>38</v>
      </c>
      <c r="B24" s="70" t="s">
        <v>37</v>
      </c>
      <c r="C24" s="925"/>
      <c r="D24" s="4">
        <f t="shared" si="2"/>
        <v>0</v>
      </c>
      <c r="E24" s="4">
        <f t="shared" si="0"/>
        <v>0</v>
      </c>
      <c r="F24" s="4">
        <f t="shared" si="1"/>
        <v>0</v>
      </c>
      <c r="G24" s="266">
        <v>0</v>
      </c>
      <c r="H24" s="266">
        <v>0</v>
      </c>
      <c r="I24" s="42"/>
    </row>
    <row r="25" spans="1:15" ht="15.75">
      <c r="A25" s="16" t="s">
        <v>36</v>
      </c>
      <c r="B25" s="70" t="s">
        <v>35</v>
      </c>
      <c r="C25" s="925"/>
      <c r="D25" s="4">
        <f t="shared" si="2"/>
        <v>0</v>
      </c>
      <c r="E25" s="4">
        <f t="shared" si="0"/>
        <v>0</v>
      </c>
      <c r="F25" s="4">
        <f t="shared" si="1"/>
        <v>0</v>
      </c>
      <c r="G25" s="266">
        <v>0</v>
      </c>
      <c r="H25" s="266">
        <v>0</v>
      </c>
      <c r="I25" s="42"/>
    </row>
    <row r="26" spans="1:15" ht="15.75">
      <c r="A26" s="16" t="s">
        <v>34</v>
      </c>
      <c r="B26" s="70" t="s">
        <v>33</v>
      </c>
      <c r="C26" s="925"/>
      <c r="D26" s="4">
        <f t="shared" si="2"/>
        <v>0</v>
      </c>
      <c r="E26" s="4">
        <f t="shared" si="0"/>
        <v>0</v>
      </c>
      <c r="F26" s="4">
        <f t="shared" si="1"/>
        <v>0</v>
      </c>
      <c r="G26" s="266">
        <v>0</v>
      </c>
      <c r="H26" s="266">
        <v>0</v>
      </c>
      <c r="I26" s="42"/>
    </row>
    <row r="27" spans="1:15" ht="15.75">
      <c r="A27" s="16" t="s">
        <v>32</v>
      </c>
      <c r="B27" s="70" t="s">
        <v>31</v>
      </c>
      <c r="C27" s="925"/>
      <c r="D27" s="4">
        <f t="shared" si="2"/>
        <v>0</v>
      </c>
      <c r="E27" s="4">
        <f t="shared" si="0"/>
        <v>0</v>
      </c>
      <c r="F27" s="4">
        <f t="shared" si="1"/>
        <v>0</v>
      </c>
      <c r="G27" s="266">
        <v>0</v>
      </c>
      <c r="H27" s="266">
        <v>0</v>
      </c>
      <c r="I27" s="42"/>
    </row>
    <row r="28" spans="1:15" ht="15.75">
      <c r="A28" s="137" t="s">
        <v>330</v>
      </c>
      <c r="B28" s="33" t="s">
        <v>325</v>
      </c>
      <c r="C28" s="925"/>
      <c r="D28" s="4">
        <f t="shared" ref="D28:D35" si="3">+C28*9%</f>
        <v>0</v>
      </c>
      <c r="E28" s="4">
        <f>+D28</f>
        <v>0</v>
      </c>
      <c r="F28" s="4">
        <f>IF(D28&gt;0," ",C28*18%)</f>
        <v>0</v>
      </c>
      <c r="G28" s="266">
        <v>0</v>
      </c>
      <c r="H28" s="266">
        <v>0</v>
      </c>
      <c r="I28" s="42"/>
    </row>
    <row r="29" spans="1:15" ht="15.75">
      <c r="A29" s="137" t="s">
        <v>526</v>
      </c>
      <c r="B29" s="33" t="s">
        <v>523</v>
      </c>
      <c r="C29" s="925">
        <v>1175</v>
      </c>
      <c r="D29" s="4">
        <f t="shared" si="3"/>
        <v>105.75</v>
      </c>
      <c r="E29" s="4">
        <f>+D29</f>
        <v>105.75</v>
      </c>
      <c r="F29" s="4" t="str">
        <f>IF(D29&gt;0," ",C29*18%)</f>
        <v xml:space="preserve"> </v>
      </c>
      <c r="G29" s="266">
        <v>0</v>
      </c>
      <c r="H29" s="266">
        <v>0</v>
      </c>
      <c r="I29" s="42"/>
    </row>
    <row r="30" spans="1:15" ht="15.75">
      <c r="A30" s="137" t="s">
        <v>527</v>
      </c>
      <c r="B30" s="33" t="s">
        <v>524</v>
      </c>
      <c r="C30" s="925">
        <v>5310</v>
      </c>
      <c r="D30" s="4">
        <f t="shared" si="3"/>
        <v>477.9</v>
      </c>
      <c r="E30" s="4">
        <f>+D30</f>
        <v>477.9</v>
      </c>
      <c r="F30" s="4" t="str">
        <f>IF(D30&gt;0," ",C30*18%)</f>
        <v xml:space="preserve"> </v>
      </c>
      <c r="G30" s="266">
        <v>0</v>
      </c>
      <c r="H30" s="266">
        <v>0</v>
      </c>
      <c r="I30" s="42"/>
      <c r="J30" s="32"/>
    </row>
    <row r="31" spans="1:15" ht="15.75">
      <c r="A31" s="137" t="s">
        <v>528</v>
      </c>
      <c r="B31" s="33" t="s">
        <v>529</v>
      </c>
      <c r="C31" s="925">
        <v>500</v>
      </c>
      <c r="D31" s="4">
        <f t="shared" si="3"/>
        <v>45</v>
      </c>
      <c r="E31" s="4">
        <f>+D31</f>
        <v>45</v>
      </c>
      <c r="F31" s="4" t="str">
        <f>IF(D31&gt;0," ",C31*18%)</f>
        <v xml:space="preserve"> </v>
      </c>
      <c r="G31" s="266">
        <v>0</v>
      </c>
      <c r="H31" s="266">
        <v>0</v>
      </c>
      <c r="I31" s="42"/>
    </row>
    <row r="32" spans="1:15" ht="15.75">
      <c r="A32" s="137" t="s">
        <v>531</v>
      </c>
      <c r="B32" s="33" t="s">
        <v>532</v>
      </c>
      <c r="C32" s="925"/>
      <c r="D32" s="4">
        <f t="shared" si="3"/>
        <v>0</v>
      </c>
      <c r="E32" s="4">
        <f>+D32</f>
        <v>0</v>
      </c>
      <c r="F32" s="4">
        <f>IF(D32&gt;0," ",C32*18%)</f>
        <v>0</v>
      </c>
      <c r="G32" s="266">
        <v>0</v>
      </c>
      <c r="H32" s="266">
        <v>0</v>
      </c>
      <c r="I32" s="42"/>
    </row>
    <row r="33" spans="1:10" ht="15.75">
      <c r="A33" s="13">
        <v>3300</v>
      </c>
      <c r="B33" s="70" t="s">
        <v>29</v>
      </c>
      <c r="C33" s="925">
        <v>195320.5</v>
      </c>
      <c r="D33" s="4">
        <f t="shared" si="3"/>
        <v>17578.845000000001</v>
      </c>
      <c r="E33" s="4">
        <f t="shared" si="0"/>
        <v>17578.845000000001</v>
      </c>
      <c r="F33" s="4">
        <v>0</v>
      </c>
      <c r="G33" s="266">
        <v>0</v>
      </c>
      <c r="H33" s="266">
        <v>0</v>
      </c>
      <c r="I33" s="42"/>
    </row>
    <row r="34" spans="1:10" ht="15.75">
      <c r="A34" s="13">
        <v>3301</v>
      </c>
      <c r="B34" s="70" t="s">
        <v>154</v>
      </c>
      <c r="C34" s="925"/>
      <c r="D34" s="4">
        <f t="shared" si="3"/>
        <v>0</v>
      </c>
      <c r="E34" s="4">
        <f t="shared" si="0"/>
        <v>0</v>
      </c>
      <c r="F34" s="4">
        <f t="shared" si="1"/>
        <v>0</v>
      </c>
      <c r="G34" s="266">
        <v>0</v>
      </c>
      <c r="H34" s="266">
        <v>0</v>
      </c>
      <c r="I34" s="42"/>
    </row>
    <row r="35" spans="1:10" ht="15.75">
      <c r="A35" s="14">
        <v>3302</v>
      </c>
      <c r="B35" s="70" t="s">
        <v>591</v>
      </c>
      <c r="C35" s="925"/>
      <c r="D35" s="4">
        <f t="shared" si="3"/>
        <v>0</v>
      </c>
      <c r="E35" s="4">
        <f t="shared" si="0"/>
        <v>0</v>
      </c>
      <c r="F35" s="4">
        <f>IF(D35&gt;0," ",C35*18%)</f>
        <v>0</v>
      </c>
      <c r="G35" s="266">
        <v>0</v>
      </c>
      <c r="H35" s="266">
        <v>0</v>
      </c>
      <c r="I35" s="42"/>
    </row>
    <row r="36" spans="1:10" ht="15.75">
      <c r="A36" s="14" t="s">
        <v>28</v>
      </c>
      <c r="B36" s="70" t="s">
        <v>27</v>
      </c>
      <c r="C36" s="925"/>
      <c r="D36" s="4">
        <f t="shared" si="2"/>
        <v>0</v>
      </c>
      <c r="E36" s="4">
        <f t="shared" si="0"/>
        <v>0</v>
      </c>
      <c r="F36" s="4">
        <f t="shared" si="1"/>
        <v>0</v>
      </c>
      <c r="G36" s="266">
        <v>0</v>
      </c>
      <c r="H36" s="266">
        <v>0</v>
      </c>
      <c r="I36" s="42"/>
    </row>
    <row r="37" spans="1:10" ht="15.75">
      <c r="A37" s="16" t="s">
        <v>114</v>
      </c>
      <c r="B37" s="70" t="s">
        <v>115</v>
      </c>
      <c r="C37" s="925"/>
      <c r="D37" s="4">
        <f>+C37*9%</f>
        <v>0</v>
      </c>
      <c r="E37" s="4">
        <f>+D37</f>
        <v>0</v>
      </c>
      <c r="F37" s="4">
        <f>IF(D37&gt;0," ",C37*18%)</f>
        <v>0</v>
      </c>
      <c r="G37" s="266">
        <v>0</v>
      </c>
      <c r="H37" s="266">
        <v>0</v>
      </c>
      <c r="I37" s="42"/>
    </row>
    <row r="38" spans="1:10" ht="15" customHeight="1">
      <c r="A38" s="13">
        <v>3310</v>
      </c>
      <c r="B38" s="70" t="s">
        <v>25</v>
      </c>
      <c r="C38" s="925">
        <v>4006.73</v>
      </c>
      <c r="D38" s="4">
        <f>+C38*9%</f>
        <v>360.60570000000001</v>
      </c>
      <c r="E38" s="4">
        <f t="shared" si="0"/>
        <v>360.60570000000001</v>
      </c>
      <c r="F38" s="4" t="str">
        <f t="shared" si="1"/>
        <v xml:space="preserve"> </v>
      </c>
      <c r="G38" s="266">
        <v>0</v>
      </c>
      <c r="H38" s="266"/>
      <c r="I38" s="42"/>
    </row>
    <row r="39" spans="1:10" ht="15.75">
      <c r="A39" s="13">
        <v>3311</v>
      </c>
      <c r="B39" s="70" t="s">
        <v>23</v>
      </c>
      <c r="C39" s="925">
        <v>1650</v>
      </c>
      <c r="D39" s="4">
        <f>+C39*9%</f>
        <v>148.5</v>
      </c>
      <c r="E39" s="4">
        <f t="shared" si="0"/>
        <v>148.5</v>
      </c>
      <c r="F39" s="4" t="str">
        <f t="shared" si="1"/>
        <v xml:space="preserve"> </v>
      </c>
      <c r="G39" s="266">
        <v>0</v>
      </c>
      <c r="H39" s="266">
        <v>0</v>
      </c>
      <c r="I39" s="42"/>
    </row>
    <row r="40" spans="1:10" ht="15.75">
      <c r="A40" s="13">
        <v>3312</v>
      </c>
      <c r="B40" s="70" t="s">
        <v>21</v>
      </c>
      <c r="C40" s="925">
        <v>3750</v>
      </c>
      <c r="D40" s="4">
        <f t="shared" si="2"/>
        <v>337.5</v>
      </c>
      <c r="E40" s="4">
        <f t="shared" si="0"/>
        <v>337.5</v>
      </c>
      <c r="F40" s="4" t="str">
        <f t="shared" si="1"/>
        <v xml:space="preserve"> </v>
      </c>
      <c r="G40" s="266">
        <v>0</v>
      </c>
      <c r="H40" s="266">
        <v>0</v>
      </c>
      <c r="I40" s="42"/>
    </row>
    <row r="41" spans="1:10" ht="15.75">
      <c r="A41" s="13">
        <v>3313</v>
      </c>
      <c r="B41" s="70" t="s">
        <v>19</v>
      </c>
      <c r="C41" s="925">
        <v>11891.94</v>
      </c>
      <c r="D41" s="4">
        <f>+C41*9%</f>
        <v>1070.2746</v>
      </c>
      <c r="E41" s="4">
        <f t="shared" si="0"/>
        <v>1070.2746</v>
      </c>
      <c r="F41" s="4" t="str">
        <f t="shared" si="1"/>
        <v xml:space="preserve"> </v>
      </c>
      <c r="G41" s="266">
        <v>0</v>
      </c>
      <c r="H41" s="266">
        <v>0</v>
      </c>
      <c r="I41" s="42"/>
    </row>
    <row r="42" spans="1:10" ht="15.75">
      <c r="A42" s="14" t="s">
        <v>18</v>
      </c>
      <c r="B42" s="70" t="s">
        <v>17</v>
      </c>
      <c r="C42" s="925">
        <v>10320</v>
      </c>
      <c r="D42" s="4">
        <f t="shared" si="2"/>
        <v>928.8</v>
      </c>
      <c r="E42" s="4">
        <f t="shared" si="0"/>
        <v>928.8</v>
      </c>
      <c r="F42" s="4" t="str">
        <f t="shared" si="1"/>
        <v xml:space="preserve"> </v>
      </c>
      <c r="G42" s="266">
        <v>0</v>
      </c>
      <c r="H42" s="266">
        <v>0</v>
      </c>
      <c r="I42" s="42"/>
      <c r="J42" s="73"/>
    </row>
    <row r="43" spans="1:10" ht="15.75">
      <c r="A43" s="14" t="s">
        <v>16</v>
      </c>
      <c r="B43" s="70" t="s">
        <v>15</v>
      </c>
      <c r="C43" s="925">
        <v>8050</v>
      </c>
      <c r="D43" s="4">
        <f t="shared" si="2"/>
        <v>724.5</v>
      </c>
      <c r="E43" s="4">
        <f t="shared" si="0"/>
        <v>724.5</v>
      </c>
      <c r="F43" s="4" t="str">
        <f t="shared" si="1"/>
        <v xml:space="preserve"> </v>
      </c>
      <c r="G43" s="266">
        <v>0</v>
      </c>
      <c r="H43" s="266">
        <v>0</v>
      </c>
      <c r="I43" s="42"/>
    </row>
    <row r="44" spans="1:10" ht="15.75">
      <c r="A44" s="14" t="s">
        <v>14</v>
      </c>
      <c r="B44" s="70" t="s">
        <v>13</v>
      </c>
      <c r="C44" s="925">
        <v>2055</v>
      </c>
      <c r="D44" s="4">
        <f t="shared" si="2"/>
        <v>184.95</v>
      </c>
      <c r="E44" s="4">
        <f t="shared" si="0"/>
        <v>184.95</v>
      </c>
      <c r="F44" s="4" t="str">
        <f t="shared" si="1"/>
        <v xml:space="preserve"> </v>
      </c>
      <c r="G44" s="266">
        <v>0</v>
      </c>
      <c r="H44" s="266">
        <v>0</v>
      </c>
      <c r="I44" s="42"/>
    </row>
    <row r="45" spans="1:10" ht="15.75">
      <c r="A45" s="14">
        <v>3317</v>
      </c>
      <c r="B45" s="70" t="s">
        <v>286</v>
      </c>
      <c r="C45" s="925"/>
      <c r="D45" s="4">
        <f t="shared" si="2"/>
        <v>0</v>
      </c>
      <c r="E45" s="4">
        <f t="shared" si="0"/>
        <v>0</v>
      </c>
      <c r="F45" s="4">
        <f t="shared" si="1"/>
        <v>0</v>
      </c>
      <c r="G45" s="266">
        <v>0</v>
      </c>
      <c r="H45" s="266">
        <v>0</v>
      </c>
      <c r="I45" s="42"/>
    </row>
    <row r="46" spans="1:10" ht="15.75">
      <c r="A46" s="14" t="s">
        <v>12</v>
      </c>
      <c r="B46" s="70" t="s">
        <v>11</v>
      </c>
      <c r="C46" s="925"/>
      <c r="D46" s="4">
        <f t="shared" si="2"/>
        <v>0</v>
      </c>
      <c r="E46" s="4">
        <f t="shared" si="0"/>
        <v>0</v>
      </c>
      <c r="F46" s="4">
        <f t="shared" si="1"/>
        <v>0</v>
      </c>
      <c r="G46" s="266">
        <v>0</v>
      </c>
      <c r="H46" s="266">
        <v>0</v>
      </c>
      <c r="I46" s="42"/>
    </row>
    <row r="47" spans="1:10" ht="15.75">
      <c r="A47" s="14">
        <v>3320</v>
      </c>
      <c r="B47" s="70" t="s">
        <v>290</v>
      </c>
      <c r="C47" s="925">
        <f>1446546-1446546</f>
        <v>0</v>
      </c>
      <c r="D47" s="4">
        <f t="shared" si="2"/>
        <v>0</v>
      </c>
      <c r="E47" s="4">
        <f t="shared" si="0"/>
        <v>0</v>
      </c>
      <c r="F47" s="4">
        <v>0</v>
      </c>
      <c r="G47" s="266"/>
      <c r="H47" s="266">
        <v>0</v>
      </c>
      <c r="I47" s="42"/>
    </row>
    <row r="48" spans="1:10" ht="15.75">
      <c r="A48" s="14">
        <v>3321</v>
      </c>
      <c r="B48" s="70" t="s">
        <v>156</v>
      </c>
      <c r="C48" s="925"/>
      <c r="D48" s="4">
        <f>+C48*9%</f>
        <v>0</v>
      </c>
      <c r="E48" s="4">
        <f t="shared" ref="E48:E54" si="4">+D48</f>
        <v>0</v>
      </c>
      <c r="F48" s="4">
        <f>IF(D48&gt;0," ",C48*18%)</f>
        <v>0</v>
      </c>
      <c r="G48" s="266">
        <v>0</v>
      </c>
      <c r="H48" s="266">
        <v>0</v>
      </c>
      <c r="I48" s="42"/>
    </row>
    <row r="49" spans="1:11" ht="15.75">
      <c r="A49" s="14">
        <v>3322</v>
      </c>
      <c r="B49" s="70" t="s">
        <v>335</v>
      </c>
      <c r="C49" s="925"/>
      <c r="D49" s="4">
        <f>+C49*5%</f>
        <v>0</v>
      </c>
      <c r="E49" s="4">
        <f t="shared" si="4"/>
        <v>0</v>
      </c>
      <c r="F49" s="4"/>
      <c r="G49" s="266">
        <v>0</v>
      </c>
      <c r="H49" s="266">
        <v>0</v>
      </c>
      <c r="I49" s="42"/>
    </row>
    <row r="50" spans="1:11" ht="15.75">
      <c r="A50" s="14">
        <v>3324</v>
      </c>
      <c r="B50" s="70" t="s">
        <v>438</v>
      </c>
      <c r="C50" s="925">
        <v>390</v>
      </c>
      <c r="D50" s="4">
        <f>+C50*9%</f>
        <v>35.1</v>
      </c>
      <c r="E50" s="4">
        <f t="shared" si="4"/>
        <v>35.1</v>
      </c>
      <c r="F50" s="4"/>
      <c r="G50" s="266">
        <v>0</v>
      </c>
      <c r="H50" s="266">
        <v>0</v>
      </c>
      <c r="I50" s="42"/>
    </row>
    <row r="51" spans="1:11" ht="15.75">
      <c r="A51" s="161">
        <v>3325</v>
      </c>
      <c r="B51" s="70" t="s">
        <v>606</v>
      </c>
      <c r="C51" s="925"/>
      <c r="D51" s="4">
        <f>+C51*2.5%</f>
        <v>0</v>
      </c>
      <c r="E51" s="4">
        <f t="shared" si="4"/>
        <v>0</v>
      </c>
      <c r="F51" s="4">
        <f>IF(D51&gt;0," ",C51*18%)</f>
        <v>0</v>
      </c>
      <c r="G51" s="266">
        <v>0</v>
      </c>
      <c r="H51" s="266">
        <v>0</v>
      </c>
      <c r="I51" s="42"/>
    </row>
    <row r="52" spans="1:11" ht="15.75">
      <c r="A52" s="14">
        <v>3391</v>
      </c>
      <c r="B52" s="70" t="s">
        <v>300</v>
      </c>
      <c r="C52" s="925">
        <v>29142.25</v>
      </c>
      <c r="D52" s="4">
        <f>+C52*9%</f>
        <v>2622.8024999999998</v>
      </c>
      <c r="E52" s="4">
        <f t="shared" si="4"/>
        <v>2622.8024999999998</v>
      </c>
      <c r="F52" s="4" t="str">
        <f>IF(D52&gt;0," ",C52*18%)</f>
        <v xml:space="preserve"> </v>
      </c>
      <c r="G52" s="266">
        <v>0</v>
      </c>
      <c r="H52" s="266">
        <v>0</v>
      </c>
      <c r="I52" s="42"/>
      <c r="J52" s="1" t="s">
        <v>5</v>
      </c>
    </row>
    <row r="53" spans="1:11" ht="15.75">
      <c r="A53" s="14">
        <v>3359</v>
      </c>
      <c r="B53" s="70" t="s">
        <v>683</v>
      </c>
      <c r="C53" s="925"/>
      <c r="D53" s="4">
        <f>+C53*9%</f>
        <v>0</v>
      </c>
      <c r="E53" s="4">
        <f t="shared" si="4"/>
        <v>0</v>
      </c>
      <c r="F53" s="4"/>
      <c r="G53" s="266">
        <v>0</v>
      </c>
      <c r="H53" s="266">
        <v>0</v>
      </c>
      <c r="I53" s="42"/>
    </row>
    <row r="54" spans="1:11" ht="15.75">
      <c r="A54" s="14">
        <v>3825</v>
      </c>
      <c r="B54" s="70" t="s">
        <v>646</v>
      </c>
      <c r="C54" s="925"/>
      <c r="D54" s="4">
        <f>+C54*9%</f>
        <v>0</v>
      </c>
      <c r="E54" s="4">
        <f t="shared" si="4"/>
        <v>0</v>
      </c>
      <c r="F54" s="4"/>
      <c r="G54" s="266">
        <v>0</v>
      </c>
      <c r="H54" s="266">
        <v>0</v>
      </c>
      <c r="I54" s="42"/>
    </row>
    <row r="55" spans="1:11" ht="15.75">
      <c r="A55" s="14">
        <v>3362</v>
      </c>
      <c r="B55" s="70" t="s">
        <v>739</v>
      </c>
      <c r="C55" s="925"/>
      <c r="D55" s="4"/>
      <c r="E55" s="4"/>
      <c r="F55" s="4"/>
      <c r="G55" s="266">
        <v>0</v>
      </c>
      <c r="H55" s="266">
        <v>0</v>
      </c>
      <c r="I55" s="42"/>
    </row>
    <row r="56" spans="1:11" ht="15.75">
      <c r="A56" s="14">
        <v>3340</v>
      </c>
      <c r="B56" s="70" t="s">
        <v>785</v>
      </c>
      <c r="C56" s="925"/>
      <c r="D56" s="4">
        <f>+C56*9%</f>
        <v>0</v>
      </c>
      <c r="E56" s="4">
        <f>+D56</f>
        <v>0</v>
      </c>
      <c r="F56" s="4">
        <f>IF(D56&gt;0," ",C56*18%)</f>
        <v>0</v>
      </c>
      <c r="G56" s="266">
        <v>0</v>
      </c>
      <c r="H56" s="266">
        <v>0</v>
      </c>
      <c r="I56" s="42"/>
    </row>
    <row r="57" spans="1:11" ht="15.75">
      <c r="A57" s="15" t="s">
        <v>10</v>
      </c>
      <c r="B57" s="70"/>
      <c r="C57" s="925"/>
      <c r="D57" s="4"/>
      <c r="E57" s="4"/>
      <c r="F57" s="4"/>
      <c r="G57" s="266">
        <v>0</v>
      </c>
      <c r="H57" s="266">
        <v>0</v>
      </c>
      <c r="I57" s="42"/>
    </row>
    <row r="58" spans="1:11" ht="15.75">
      <c r="A58" s="14" t="s">
        <v>9</v>
      </c>
      <c r="B58" s="70" t="s">
        <v>8</v>
      </c>
      <c r="C58" s="925"/>
      <c r="D58" s="4">
        <f t="shared" si="2"/>
        <v>0</v>
      </c>
      <c r="E58" s="4">
        <f t="shared" si="0"/>
        <v>0</v>
      </c>
      <c r="F58" s="4">
        <v>0</v>
      </c>
      <c r="G58" s="266">
        <v>0</v>
      </c>
      <c r="H58" s="266">
        <v>0</v>
      </c>
      <c r="I58" s="42"/>
    </row>
    <row r="59" spans="1:11" ht="15.75">
      <c r="A59" s="13" t="s">
        <v>7</v>
      </c>
      <c r="B59" s="70" t="s">
        <v>6</v>
      </c>
      <c r="C59" s="925">
        <f>179900-1647</f>
        <v>178253</v>
      </c>
      <c r="D59" s="4">
        <f>+C59*9%</f>
        <v>16042.769999999999</v>
      </c>
      <c r="E59" s="4">
        <f t="shared" si="0"/>
        <v>16042.769999999999</v>
      </c>
      <c r="F59" s="4">
        <v>0</v>
      </c>
      <c r="G59" s="266">
        <v>1647</v>
      </c>
      <c r="H59" s="266">
        <v>0</v>
      </c>
      <c r="I59" s="42"/>
      <c r="K59" s="1" t="s">
        <v>5</v>
      </c>
    </row>
    <row r="60" spans="1:11" ht="15.75">
      <c r="A60" s="5" t="s">
        <v>5</v>
      </c>
      <c r="B60" s="70" t="s">
        <v>4</v>
      </c>
      <c r="C60" s="925">
        <f>0</f>
        <v>0</v>
      </c>
      <c r="D60" s="4">
        <f>+C60*9%</f>
        <v>0</v>
      </c>
      <c r="E60" s="4">
        <f t="shared" si="0"/>
        <v>0</v>
      </c>
      <c r="F60" s="4"/>
      <c r="G60" s="266">
        <v>0</v>
      </c>
      <c r="H60" s="266">
        <v>0</v>
      </c>
      <c r="I60" s="42"/>
    </row>
    <row r="61" spans="1:11" ht="15.75">
      <c r="A61" s="434"/>
      <c r="B61" s="432" t="s">
        <v>465</v>
      </c>
      <c r="C61" s="925">
        <f>0</f>
        <v>0</v>
      </c>
      <c r="D61" s="433">
        <f>+C61*0.09</f>
        <v>0</v>
      </c>
      <c r="E61" s="433">
        <f>+D61</f>
        <v>0</v>
      </c>
      <c r="F61" s="433"/>
      <c r="G61" s="266">
        <v>0</v>
      </c>
      <c r="H61" s="266">
        <v>0</v>
      </c>
      <c r="I61" s="42"/>
    </row>
    <row r="62" spans="1:11" ht="16.5" thickBot="1">
      <c r="A62" s="12"/>
      <c r="B62" s="11" t="s">
        <v>3</v>
      </c>
      <c r="C62" s="10">
        <f>SUM(C9:C61)</f>
        <v>487254.42000000004</v>
      </c>
      <c r="D62" s="10">
        <f>SUM(D9:D61)</f>
        <v>43852.897799999999</v>
      </c>
      <c r="E62" s="10">
        <f>SUM(E9:E61)</f>
        <v>43852.897799999999</v>
      </c>
      <c r="F62" s="10">
        <f>SUM(F9:F61)</f>
        <v>0</v>
      </c>
      <c r="G62" s="10">
        <f>SUM(G9:G59)</f>
        <v>1647</v>
      </c>
      <c r="H62" s="10">
        <f>SUM(H9:H59)</f>
        <v>0</v>
      </c>
      <c r="I62" s="10"/>
    </row>
    <row r="63" spans="1:11" ht="16.5" thickTop="1">
      <c r="A63" s="9" t="s">
        <v>2</v>
      </c>
      <c r="B63" s="8"/>
      <c r="C63" s="7"/>
      <c r="D63" s="7"/>
      <c r="E63" s="7"/>
      <c r="F63" s="6"/>
      <c r="G63" s="1"/>
      <c r="H63" s="32"/>
    </row>
    <row r="64" spans="1:11" ht="15.75">
      <c r="A64" s="5" t="s">
        <v>1</v>
      </c>
      <c r="B64" s="43" t="s">
        <v>0</v>
      </c>
      <c r="C64" s="4">
        <v>8000</v>
      </c>
      <c r="D64" s="25">
        <f>+C64*9%</f>
        <v>720</v>
      </c>
      <c r="E64" s="25">
        <f>+D64</f>
        <v>720</v>
      </c>
      <c r="F64" s="25" t="str">
        <f>IF(D64&gt;0," ",C64*18%)</f>
        <v xml:space="preserve"> </v>
      </c>
      <c r="G64" s="1"/>
      <c r="H64" s="32"/>
    </row>
    <row r="65" spans="1:15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250">
        <f>+D62/C62</f>
        <v>0.09</v>
      </c>
      <c r="H65" s="32"/>
    </row>
    <row r="66" spans="1:15" ht="15.75">
      <c r="A66" s="1228" t="s">
        <v>75</v>
      </c>
      <c r="B66" s="1228"/>
      <c r="C66" s="1228"/>
      <c r="D66" s="1228"/>
      <c r="E66" s="1228"/>
      <c r="F66" s="1228"/>
      <c r="G66" s="1"/>
      <c r="H66" s="32"/>
    </row>
    <row r="67" spans="1:15" ht="15.75">
      <c r="A67" s="28"/>
      <c r="B67" s="28"/>
      <c r="C67" s="28"/>
      <c r="D67" s="28"/>
      <c r="E67" s="28"/>
      <c r="F67" s="28"/>
      <c r="G67" s="1" t="s">
        <v>5</v>
      </c>
      <c r="H67" s="32"/>
    </row>
    <row r="68" spans="1:15" ht="15.75">
      <c r="A68" s="29" t="s">
        <v>76</v>
      </c>
      <c r="B68" s="29"/>
      <c r="C68" s="3"/>
      <c r="D68" s="3"/>
      <c r="E68" s="3"/>
      <c r="F68" s="3"/>
      <c r="G68" s="1"/>
      <c r="H68" s="32"/>
    </row>
    <row r="69" spans="1:15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G69" s="1"/>
      <c r="H69" s="32">
        <f>337.5+192.42+815.4+121.14+57.69+133.38+145.35</f>
        <v>1802.88</v>
      </c>
      <c r="I69" s="1">
        <f>+H69/9%</f>
        <v>20032.000000000004</v>
      </c>
    </row>
    <row r="70" spans="1:15">
      <c r="A70" s="1247"/>
      <c r="B70" s="1248"/>
      <c r="C70" s="1249"/>
      <c r="D70" s="1236"/>
      <c r="E70" s="1236"/>
      <c r="F70" s="1232"/>
      <c r="G70" s="1"/>
      <c r="H70" s="32"/>
    </row>
    <row r="71" spans="1:15" ht="15.75">
      <c r="A71" s="1241" t="s">
        <v>80</v>
      </c>
      <c r="B71" s="1242"/>
      <c r="C71" s="1243"/>
      <c r="D71" s="105">
        <f>+D62</f>
        <v>43852.897799999999</v>
      </c>
      <c r="E71" s="105">
        <f>+E62</f>
        <v>43852.897799999999</v>
      </c>
      <c r="F71" s="105">
        <f>+F62</f>
        <v>0</v>
      </c>
      <c r="G71" s="1"/>
      <c r="H71" s="32">
        <f>16.2/9%</f>
        <v>180</v>
      </c>
    </row>
    <row r="72" spans="1:15" ht="15.75">
      <c r="A72" s="43" t="s">
        <v>103</v>
      </c>
      <c r="B72" s="43"/>
      <c r="C72" s="43">
        <f>+G62</f>
        <v>1647</v>
      </c>
      <c r="D72" s="106">
        <f>+C72*0.09</f>
        <v>148.22999999999999</v>
      </c>
      <c r="E72" s="106">
        <f>+C72*0.09</f>
        <v>148.22999999999999</v>
      </c>
      <c r="F72" s="105">
        <v>0</v>
      </c>
      <c r="G72" s="1" t="s">
        <v>5</v>
      </c>
      <c r="H72" s="32">
        <f>13.5/9%</f>
        <v>150</v>
      </c>
      <c r="O72" s="1">
        <f>+M72-N72</f>
        <v>0</v>
      </c>
    </row>
    <row r="73" spans="1:15" ht="15.75">
      <c r="A73" s="43"/>
      <c r="B73" s="43"/>
      <c r="C73" s="43"/>
      <c r="D73" s="105">
        <f>+D71+D72</f>
        <v>44001.127800000002</v>
      </c>
      <c r="E73" s="105">
        <f>+E71+E72</f>
        <v>44001.127800000002</v>
      </c>
      <c r="F73" s="105">
        <v>0</v>
      </c>
      <c r="G73" s="1"/>
      <c r="H73" s="32"/>
    </row>
    <row r="74" spans="1:15" ht="15.75">
      <c r="A74" s="1241" t="s">
        <v>104</v>
      </c>
      <c r="B74" s="1242"/>
      <c r="C74" s="1243"/>
      <c r="D74" s="108">
        <v>44003.91</v>
      </c>
      <c r="E74" s="108">
        <f>+D74</f>
        <v>44003.91</v>
      </c>
      <c r="F74" s="108">
        <v>0</v>
      </c>
      <c r="G74" s="1"/>
      <c r="H74" s="32"/>
      <c r="J74" s="72"/>
    </row>
    <row r="75" spans="1:15" ht="15.75">
      <c r="A75" s="1250" t="s">
        <v>79</v>
      </c>
      <c r="B75" s="1251"/>
      <c r="C75" s="1252"/>
      <c r="D75" s="107">
        <f>+D73-D74</f>
        <v>-2.7822000000014668</v>
      </c>
      <c r="E75" s="107">
        <f>+E73-E74</f>
        <v>-2.7822000000014668</v>
      </c>
      <c r="F75" s="108">
        <f>IF(F71&gt;F74,F71,F74)</f>
        <v>0</v>
      </c>
      <c r="G75" s="32">
        <f>D75/9%</f>
        <v>-30.913333333349634</v>
      </c>
      <c r="H75" s="32"/>
    </row>
    <row r="76" spans="1:15" ht="15.75">
      <c r="A76" s="3"/>
      <c r="B76" s="2"/>
      <c r="C76" s="3"/>
      <c r="D76" s="933"/>
      <c r="E76" s="3"/>
      <c r="F76" s="199"/>
      <c r="G76" s="1"/>
      <c r="H76" s="32"/>
    </row>
    <row r="77" spans="1:15" ht="15.75">
      <c r="A77" s="27" t="s">
        <v>77</v>
      </c>
      <c r="B77" s="2"/>
      <c r="C77" s="3"/>
      <c r="D77" s="3"/>
      <c r="E77" s="3"/>
      <c r="F77" s="3"/>
      <c r="G77" s="1"/>
      <c r="H77" s="32"/>
    </row>
    <row r="78" spans="1:15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  <c r="G78" s="1"/>
      <c r="H78" s="32"/>
    </row>
    <row r="79" spans="1:15">
      <c r="A79" s="1221"/>
      <c r="B79" s="1222"/>
      <c r="C79" s="1223"/>
      <c r="D79" s="1254" t="s">
        <v>67</v>
      </c>
      <c r="E79" s="1235"/>
      <c r="F79" s="1235"/>
      <c r="G79" s="1"/>
      <c r="H79" s="32"/>
    </row>
    <row r="80" spans="1:15">
      <c r="A80" s="1225"/>
      <c r="B80" s="1226"/>
      <c r="C80" s="1227"/>
      <c r="D80" s="42"/>
      <c r="E80" s="42"/>
      <c r="F80" s="42"/>
      <c r="G80" s="1"/>
      <c r="H80" s="32"/>
    </row>
    <row r="81" spans="1:9" ht="15.75">
      <c r="A81" s="1216" t="s">
        <v>69</v>
      </c>
      <c r="B81" s="1216"/>
      <c r="C81" s="1216"/>
      <c r="D81" s="108">
        <v>4170.6000000000004</v>
      </c>
      <c r="E81" s="108">
        <f>+D81</f>
        <v>4170.6000000000004</v>
      </c>
      <c r="F81" s="56">
        <v>0</v>
      </c>
      <c r="G81" s="32">
        <f>+E81/2</f>
        <v>2085.3000000000002</v>
      </c>
      <c r="H81" s="32">
        <f t="shared" ref="H81:I83" si="5">+E81/2</f>
        <v>2085.3000000000002</v>
      </c>
      <c r="I81" s="32">
        <f t="shared" si="5"/>
        <v>0</v>
      </c>
    </row>
    <row r="82" spans="1:9" ht="15.75">
      <c r="A82" s="1224" t="s">
        <v>83</v>
      </c>
      <c r="B82" s="1224"/>
      <c r="C82" s="1224"/>
      <c r="D82" s="105">
        <f>+C92</f>
        <v>21.6</v>
      </c>
      <c r="E82" s="105">
        <f>+D82</f>
        <v>21.6</v>
      </c>
      <c r="F82" s="56">
        <v>0</v>
      </c>
      <c r="G82" s="32">
        <f>+D82/2</f>
        <v>10.8</v>
      </c>
      <c r="H82" s="32">
        <f t="shared" si="5"/>
        <v>10.8</v>
      </c>
      <c r="I82" s="32">
        <f t="shared" si="5"/>
        <v>0</v>
      </c>
    </row>
    <row r="83" spans="1:9" ht="14.25" customHeight="1">
      <c r="A83" s="1215" t="s">
        <v>82</v>
      </c>
      <c r="B83" s="1215"/>
      <c r="C83" s="1215"/>
      <c r="D83" s="105">
        <f>+D81-D82</f>
        <v>4149</v>
      </c>
      <c r="E83" s="105">
        <f>+E81-E82</f>
        <v>4149</v>
      </c>
      <c r="F83" s="56">
        <f>+F81-F82</f>
        <v>0</v>
      </c>
      <c r="G83" s="32">
        <f>+E83/2</f>
        <v>2074.5</v>
      </c>
      <c r="H83" s="32">
        <f t="shared" si="5"/>
        <v>2074.5</v>
      </c>
      <c r="I83" s="32">
        <f t="shared" si="5"/>
        <v>0</v>
      </c>
    </row>
    <row r="84" spans="1:9" ht="15.75">
      <c r="A84" s="75"/>
      <c r="B84" s="75"/>
      <c r="C84" s="75"/>
      <c r="D84" s="3"/>
      <c r="E84" s="3"/>
      <c r="F84" s="66"/>
      <c r="G84" s="1"/>
      <c r="H84" s="32"/>
    </row>
    <row r="85" spans="1:9" ht="15.75" customHeight="1">
      <c r="A85" s="794"/>
      <c r="B85" s="794"/>
      <c r="C85" s="794"/>
      <c r="D85" s="794"/>
      <c r="E85" s="794"/>
      <c r="F85" s="794"/>
      <c r="G85" s="1"/>
      <c r="H85" s="32"/>
    </row>
    <row r="86" spans="1:9" ht="15.75" customHeight="1">
      <c r="A86" s="402"/>
      <c r="B86" s="402"/>
      <c r="C86" s="402"/>
      <c r="D86" s="402"/>
      <c r="E86" s="402"/>
      <c r="F86" s="402"/>
      <c r="G86" s="1"/>
      <c r="H86" s="32"/>
    </row>
    <row r="87" spans="1:9">
      <c r="A87" s="136"/>
      <c r="B87" s="145" t="s">
        <v>391</v>
      </c>
      <c r="C87" s="112"/>
      <c r="D87" s="112"/>
      <c r="E87" s="112"/>
      <c r="F87" s="71"/>
      <c r="G87" s="1"/>
      <c r="H87" s="32"/>
    </row>
    <row r="88" spans="1:9">
      <c r="A88" s="74"/>
      <c r="B88" s="145" t="s">
        <v>322</v>
      </c>
      <c r="C88" s="144" t="s">
        <v>89</v>
      </c>
      <c r="D88" s="144" t="s">
        <v>67</v>
      </c>
      <c r="E88" s="145" t="s">
        <v>68</v>
      </c>
      <c r="F88" s="71"/>
      <c r="G88" s="1"/>
      <c r="H88" s="32"/>
    </row>
    <row r="89" spans="1:9">
      <c r="A89" s="1"/>
      <c r="B89" s="1" t="s">
        <v>102</v>
      </c>
      <c r="C89" s="133">
        <v>13.5</v>
      </c>
      <c r="D89" s="133">
        <f>+C89</f>
        <v>13.5</v>
      </c>
      <c r="E89" s="1">
        <v>0</v>
      </c>
      <c r="F89" s="1"/>
      <c r="G89" s="1"/>
      <c r="H89" s="32"/>
    </row>
    <row r="90" spans="1:9">
      <c r="A90" s="1"/>
      <c r="B90" s="1" t="s">
        <v>440</v>
      </c>
      <c r="C90" s="133">
        <v>0</v>
      </c>
      <c r="D90" s="133">
        <f>+C90</f>
        <v>0</v>
      </c>
      <c r="E90" s="1"/>
      <c r="F90" s="1"/>
      <c r="G90" s="1"/>
      <c r="H90" s="32"/>
    </row>
    <row r="91" spans="1:9">
      <c r="A91" s="1"/>
      <c r="B91" s="1" t="s">
        <v>102</v>
      </c>
      <c r="C91" s="133">
        <v>8.1</v>
      </c>
      <c r="D91" s="133">
        <f>+C91</f>
        <v>8.1</v>
      </c>
      <c r="E91" s="1"/>
      <c r="F91" s="1"/>
      <c r="G91" s="1"/>
      <c r="H91" s="32"/>
    </row>
    <row r="92" spans="1:9">
      <c r="A92" s="1"/>
      <c r="B92" s="141" t="s">
        <v>135</v>
      </c>
      <c r="C92" s="142">
        <f>+SUM(C89:C91)</f>
        <v>21.6</v>
      </c>
      <c r="D92" s="142">
        <f>+SUM(D89:D91)</f>
        <v>21.6</v>
      </c>
      <c r="E92" s="142">
        <f>SUM(E89:E89)</f>
        <v>0</v>
      </c>
      <c r="F92" s="1"/>
      <c r="G92" s="1"/>
      <c r="H92" s="32"/>
    </row>
    <row r="93" spans="1:9">
      <c r="A93" s="1"/>
      <c r="B93" s="1"/>
      <c r="C93" s="1"/>
      <c r="D93" s="1"/>
      <c r="E93" s="1"/>
      <c r="F93" s="1"/>
      <c r="G93" s="1"/>
      <c r="H93" s="32"/>
    </row>
    <row r="94" spans="1:9" ht="14.45" customHeight="1">
      <c r="A94" s="402"/>
      <c r="B94" s="402"/>
      <c r="C94" s="402"/>
      <c r="D94" s="402"/>
      <c r="E94" s="402"/>
      <c r="F94" s="402"/>
      <c r="G94" s="1"/>
      <c r="H94" s="32"/>
    </row>
    <row r="95" spans="1:9">
      <c r="A95" s="1"/>
      <c r="B95" s="1"/>
      <c r="C95" s="1"/>
      <c r="D95" s="1"/>
      <c r="E95" s="1"/>
      <c r="F95" s="1"/>
      <c r="G95" s="1"/>
      <c r="H95" s="32"/>
    </row>
    <row r="96" spans="1:9">
      <c r="A96" s="1023"/>
      <c r="B96" s="1023"/>
      <c r="C96" s="1023"/>
      <c r="D96" s="1023"/>
      <c r="E96" s="1023"/>
      <c r="F96" s="1023"/>
    </row>
    <row r="97" spans="1:6">
      <c r="A97" s="1023"/>
      <c r="B97" s="1023"/>
      <c r="C97" s="1023"/>
      <c r="D97" s="1023"/>
      <c r="E97" s="1023"/>
      <c r="F97" s="1023"/>
    </row>
  </sheetData>
  <mergeCells count="28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2:C82"/>
    <mergeCell ref="A83:C83"/>
    <mergeCell ref="F78:F79"/>
    <mergeCell ref="E78:E79"/>
    <mergeCell ref="A78:C79"/>
    <mergeCell ref="D78:D79"/>
    <mergeCell ref="A81:C81"/>
    <mergeCell ref="A80:C80"/>
    <mergeCell ref="A71:C71"/>
    <mergeCell ref="A74:C74"/>
    <mergeCell ref="A75:C75"/>
    <mergeCell ref="G7:G8"/>
    <mergeCell ref="I7:I8"/>
    <mergeCell ref="H7:H8"/>
    <mergeCell ref="A66:F66"/>
    <mergeCell ref="A69:C70"/>
    <mergeCell ref="D69:D70"/>
    <mergeCell ref="E69:E70"/>
    <mergeCell ref="F69:F70"/>
  </mergeCells>
  <conditionalFormatting sqref="A87:A88 A28:B32">
    <cfRule type="containsText" dxfId="382" priority="44" operator="containsText" text="EXCESS COLLECTED">
      <formula>NOT(ISERROR(SEARCH("EXCESS COLLECTED",A28)))</formula>
    </cfRule>
  </conditionalFormatting>
  <conditionalFormatting sqref="A10:B21 G81:XFD94">
    <cfRule type="containsText" dxfId="381" priority="34" operator="containsText" text="LESS COLLECTED">
      <formula>NOT(ISERROR(SEARCH("LESS COLLECTED",A10)))</formula>
    </cfRule>
  </conditionalFormatting>
  <conditionalFormatting sqref="A22:B34">
    <cfRule type="containsText" dxfId="380" priority="45" operator="containsText" text="LESS COLLECTED">
      <formula>NOT(ISERROR(SEARCH("LESS COLLECTED",A22)))</formula>
    </cfRule>
  </conditionalFormatting>
  <conditionalFormatting sqref="A35:B56">
    <cfRule type="containsText" dxfId="379" priority="2" operator="containsText" text="LESS COLLECTED">
      <formula>NOT(ISERROR(SEARCH("LESS COLLECTED",A35)))</formula>
    </cfRule>
  </conditionalFormatting>
  <conditionalFormatting sqref="A47:B56">
    <cfRule type="containsText" dxfId="378" priority="1" operator="containsText" text="EXCESS COLLECTED">
      <formula>NOT(ISERROR(SEARCH("EXCESS COLLECTED",A47)))</formula>
    </cfRule>
  </conditionalFormatting>
  <conditionalFormatting sqref="A57:B61">
    <cfRule type="containsText" dxfId="377" priority="49" operator="containsText" text="LESS COLLECTED">
      <formula>NOT(ISERROR(SEARCH("LESS COLLECTED",A57)))</formula>
    </cfRule>
  </conditionalFormatting>
  <conditionalFormatting sqref="A1:XFD7 A8:F8 J8:XFD8 A9:XFD9 H74:XFD74 H80:XFD80 F87:F93 A95:XFD95 I96:XFD1048576">
    <cfRule type="containsText" dxfId="376" priority="94" operator="containsText" text="LESS COLLECTED">
      <formula>NOT(ISERROR(SEARCH("LESS COLLECTED",A1)))</formula>
    </cfRule>
  </conditionalFormatting>
  <conditionalFormatting sqref="B61">
    <cfRule type="containsText" dxfId="375" priority="48" operator="containsText" text="EXCESS COLLECTED">
      <formula>NOT(ISERROR(SEARCH("EXCESS COLLECTED",B61)))</formula>
    </cfRule>
  </conditionalFormatting>
  <conditionalFormatting sqref="B89:C91">
    <cfRule type="containsText" dxfId="374" priority="28" operator="containsText" text="LESS COLLECTED">
      <formula>NOT(ISERROR(SEARCH("LESS COLLECTED",B89)))</formula>
    </cfRule>
  </conditionalFormatting>
  <conditionalFormatting sqref="B89:D91">
    <cfRule type="containsText" dxfId="373" priority="27" operator="containsText" text="EXCESS COLLECTED">
      <formula>NOT(ISERROR(SEARCH("EXCESS COLLECTED",B89)))</formula>
    </cfRule>
  </conditionalFormatting>
  <conditionalFormatting sqref="B92:E92">
    <cfRule type="containsText" dxfId="372" priority="79" operator="containsText" text="LESS COLLECTED">
      <formula>NOT(ISERROR(SEARCH("LESS COLLECTED",B92)))</formula>
    </cfRule>
  </conditionalFormatting>
  <conditionalFormatting sqref="C92:D92 C88:D88">
    <cfRule type="containsText" dxfId="371" priority="78" operator="containsText" text="EXCESS COLLECTED">
      <formula>NOT(ISERROR(SEARCH("EXCESS COLLECTED",C88)))</formula>
    </cfRule>
  </conditionalFormatting>
  <conditionalFormatting sqref="C10:F62">
    <cfRule type="containsText" dxfId="370" priority="4" operator="containsText" text="LESS COLLECTED">
      <formula>NOT(ISERROR(SEARCH("LESS COLLECTED",C10)))</formula>
    </cfRule>
  </conditionalFormatting>
  <conditionalFormatting sqref="D89:E92">
    <cfRule type="containsText" dxfId="369" priority="57" operator="containsText" text="LESS COLLECTED">
      <formula>NOT(ISERROR(SEARCH("LESS COLLECTED",D89)))</formula>
    </cfRule>
  </conditionalFormatting>
  <conditionalFormatting sqref="D92:E92">
    <cfRule type="containsText" dxfId="368" priority="56" operator="containsText" text="EXCESS COLLECTED">
      <formula>NOT(ISERROR(SEARCH("EXCESS COLLECTED",D92)))</formula>
    </cfRule>
  </conditionalFormatting>
  <conditionalFormatting sqref="D7:F8 A66:F84 B87:E87 C88:E88 A85">
    <cfRule type="containsText" dxfId="367" priority="87" operator="containsText" text="LESS COLLECTED">
      <formula>NOT(ISERROR(SEARCH("LESS COLLECTED",A7)))</formula>
    </cfRule>
  </conditionalFormatting>
  <conditionalFormatting sqref="D7:F8 D69:E70 A72:F73 B87">
    <cfRule type="containsText" dxfId="366" priority="86" operator="containsText" text="EXCESS COLLECTED">
      <formula>NOT(ISERROR(SEARCH("EXCESS COLLECTED",A7)))</formula>
    </cfRule>
  </conditionalFormatting>
  <conditionalFormatting sqref="D48:F56">
    <cfRule type="containsText" dxfId="365" priority="3" operator="containsText" text="EXCESS COLLECTED">
      <formula>NOT(ISERROR(SEARCH("EXCESS COLLECTED",D48)))</formula>
    </cfRule>
  </conditionalFormatting>
  <conditionalFormatting sqref="E92">
    <cfRule type="containsText" dxfId="364" priority="54" operator="containsText" text="EXCESS COLLECTED">
      <formula>NOT(ISERROR(SEARCH("EXCESS COLLECTED",E92)))</formula>
    </cfRule>
    <cfRule type="containsText" dxfId="363" priority="55" operator="containsText" text="LESS COLLECTED">
      <formula>NOT(ISERROR(SEARCH("LESS COLLECTED",E92)))</formula>
    </cfRule>
  </conditionalFormatting>
  <conditionalFormatting sqref="G75 I75:XFD75 G76:XFD79 A87:A94">
    <cfRule type="containsText" dxfId="362" priority="9" operator="containsText" text="LESS COLLECTED">
      <formula>NOT(ISERROR(SEARCH("LESS COLLECTED",A75)))</formula>
    </cfRule>
  </conditionalFormatting>
  <pageMargins left="0.7" right="0.7" top="0.75" bottom="0.75" header="0.3" footer="0.3"/>
  <pageSetup paperSize="9" scale="48" orientation="portrait" r:id="rId1"/>
  <ignoredErrors>
    <ignoredError sqref="D49 D51 G82" formula="1"/>
    <ignoredError sqref="G62:H62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92D050"/>
  </sheetPr>
  <dimension ref="A1:N108"/>
  <sheetViews>
    <sheetView topLeftCell="A64" zoomScaleNormal="100" workbookViewId="0">
      <selection activeCell="D74" sqref="D74"/>
    </sheetView>
  </sheetViews>
  <sheetFormatPr defaultColWidth="9.140625" defaultRowHeight="15"/>
  <cols>
    <col min="1" max="1" width="14.28515625" customWidth="1"/>
    <col min="2" max="2" width="50" bestFit="1" customWidth="1"/>
    <col min="3" max="3" width="16.42578125" customWidth="1"/>
    <col min="4" max="4" width="21" customWidth="1"/>
    <col min="5" max="5" width="18.7109375" customWidth="1"/>
    <col min="6" max="6" width="16.7109375" bestFit="1" customWidth="1"/>
    <col min="7" max="7" width="17" customWidth="1"/>
    <col min="8" max="8" width="15.5703125" customWidth="1"/>
    <col min="9" max="9" width="10.28515625" bestFit="1" customWidth="1"/>
    <col min="10" max="10" width="15" style="1" customWidth="1"/>
    <col min="11" max="11" width="12.85546875" style="1" bestFit="1" customWidth="1"/>
    <col min="12" max="14" width="9.140625" style="1"/>
    <col min="15" max="15" width="1.7109375" style="1" bestFit="1" customWidth="1"/>
    <col min="16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  <c r="G1" s="1"/>
      <c r="H1" s="32"/>
      <c r="I1" s="1"/>
    </row>
    <row r="2" spans="1:10" ht="15.75">
      <c r="A2" s="41"/>
      <c r="B2" s="41"/>
      <c r="C2" s="41"/>
      <c r="D2" s="41"/>
      <c r="E2" s="41"/>
      <c r="F2" s="41"/>
      <c r="G2" s="1"/>
      <c r="H2" s="32"/>
      <c r="I2" s="1"/>
    </row>
    <row r="3" spans="1:10" ht="15.75">
      <c r="A3" s="1229" t="s">
        <v>93</v>
      </c>
      <c r="B3" s="1229"/>
      <c r="C3" s="1229"/>
      <c r="D3" s="1229"/>
      <c r="E3" s="1229"/>
      <c r="F3" s="1229"/>
      <c r="G3" s="1"/>
      <c r="H3" s="32"/>
      <c r="I3" s="1"/>
    </row>
    <row r="4" spans="1:10" ht="15.75">
      <c r="A4" s="1229" t="s">
        <v>368</v>
      </c>
      <c r="B4" s="1229"/>
      <c r="C4" s="1229"/>
      <c r="D4" s="1229"/>
      <c r="E4" s="1229"/>
      <c r="F4" s="1229"/>
      <c r="G4" s="1"/>
      <c r="H4" s="32"/>
      <c r="I4" s="1"/>
    </row>
    <row r="5" spans="1:10" ht="15.75">
      <c r="A5" s="1228" t="str">
        <f>+'JODHPUR-SATELLITE'!A5</f>
        <v>SUMMARY OF INCOME FOR THE MONTH OF SEP 2026</v>
      </c>
      <c r="B5" s="1228"/>
      <c r="C5" s="1228"/>
      <c r="D5" s="1228"/>
      <c r="E5" s="1228"/>
      <c r="F5" s="1228"/>
      <c r="G5" s="1"/>
      <c r="H5" s="32"/>
      <c r="I5" s="1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  <c r="G6" s="1"/>
      <c r="H6" s="32"/>
      <c r="I6" s="1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389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925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595">
        <v>0</v>
      </c>
      <c r="H9" s="595">
        <v>0</v>
      </c>
      <c r="I9" s="595">
        <v>0</v>
      </c>
    </row>
    <row r="10" spans="1:10" ht="15.75">
      <c r="A10" s="31" t="s">
        <v>87</v>
      </c>
      <c r="B10" s="70" t="s">
        <v>61</v>
      </c>
      <c r="C10" s="925"/>
      <c r="D10" s="4">
        <f>+C10*9%</f>
        <v>0</v>
      </c>
      <c r="E10" s="4">
        <f>+D10</f>
        <v>0</v>
      </c>
      <c r="F10" s="4">
        <f>IF(D10&gt;0," ",C10*18%)</f>
        <v>0</v>
      </c>
      <c r="G10" s="595">
        <v>0</v>
      </c>
      <c r="H10" s="595">
        <v>0</v>
      </c>
      <c r="I10" s="595">
        <v>0</v>
      </c>
    </row>
    <row r="11" spans="1:10" ht="15.75">
      <c r="A11" s="13" t="s">
        <v>60</v>
      </c>
      <c r="B11" s="70" t="s">
        <v>59</v>
      </c>
      <c r="C11" s="925">
        <v>150</v>
      </c>
      <c r="D11" s="4">
        <f t="shared" ref="D11:D58" si="0">+C11*9%</f>
        <v>13.5</v>
      </c>
      <c r="E11" s="4">
        <f t="shared" ref="E11:E59" si="1">+D11</f>
        <v>13.5</v>
      </c>
      <c r="F11" s="4" t="str">
        <f>IF(D11&gt;0," ",C11*18%)</f>
        <v xml:space="preserve"> </v>
      </c>
      <c r="G11" s="595">
        <v>0</v>
      </c>
      <c r="H11" s="595">
        <v>0</v>
      </c>
      <c r="I11" s="595">
        <v>0</v>
      </c>
    </row>
    <row r="12" spans="1:10" ht="15.75">
      <c r="A12" s="14" t="s">
        <v>58</v>
      </c>
      <c r="B12" s="70" t="s">
        <v>57</v>
      </c>
      <c r="C12" s="925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595">
        <v>0</v>
      </c>
      <c r="H12" s="595">
        <v>0</v>
      </c>
      <c r="I12" s="595">
        <v>0</v>
      </c>
    </row>
    <row r="13" spans="1:10" ht="15.75">
      <c r="A13" s="13" t="s">
        <v>56</v>
      </c>
      <c r="B13" s="70" t="s">
        <v>412</v>
      </c>
      <c r="C13" s="925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595">
        <v>0</v>
      </c>
      <c r="H13" s="595">
        <v>0</v>
      </c>
      <c r="I13" s="595">
        <v>0</v>
      </c>
    </row>
    <row r="14" spans="1:10" ht="15.75">
      <c r="A14" s="13">
        <v>3230</v>
      </c>
      <c r="B14" s="70" t="s">
        <v>53</v>
      </c>
      <c r="C14" s="4"/>
      <c r="D14" s="4">
        <f t="shared" si="0"/>
        <v>0</v>
      </c>
      <c r="E14" s="4">
        <f t="shared" si="1"/>
        <v>0</v>
      </c>
      <c r="F14" s="4">
        <v>0</v>
      </c>
      <c r="G14" s="595">
        <v>0</v>
      </c>
      <c r="H14" s="595">
        <v>0</v>
      </c>
      <c r="I14" s="595">
        <v>0</v>
      </c>
    </row>
    <row r="15" spans="1:10" ht="15.75">
      <c r="A15" s="13" t="s">
        <v>52</v>
      </c>
      <c r="B15" s="70" t="s">
        <v>51</v>
      </c>
      <c r="C15" s="925"/>
      <c r="D15" s="4">
        <f t="shared" ref="D15:D20" si="2">+C15*9%</f>
        <v>0</v>
      </c>
      <c r="E15" s="4">
        <f t="shared" si="1"/>
        <v>0</v>
      </c>
      <c r="F15" s="4">
        <f t="shared" ref="F15:F20" si="3">IF(D15&gt;0," ",C15*18%)</f>
        <v>0</v>
      </c>
      <c r="G15" s="595">
        <v>0</v>
      </c>
      <c r="H15" s="595">
        <v>0</v>
      </c>
      <c r="I15" s="595">
        <v>0</v>
      </c>
    </row>
    <row r="16" spans="1:10" ht="15.75">
      <c r="A16" s="14" t="s">
        <v>50</v>
      </c>
      <c r="B16" s="70" t="s">
        <v>49</v>
      </c>
      <c r="C16" s="925"/>
      <c r="D16" s="4">
        <f t="shared" si="2"/>
        <v>0</v>
      </c>
      <c r="E16" s="4">
        <f t="shared" si="1"/>
        <v>0</v>
      </c>
      <c r="F16" s="4">
        <f t="shared" si="3"/>
        <v>0</v>
      </c>
      <c r="G16" s="595">
        <v>0</v>
      </c>
      <c r="H16" s="595">
        <v>0</v>
      </c>
      <c r="I16" s="595">
        <v>0</v>
      </c>
    </row>
    <row r="17" spans="1:14" ht="15.75">
      <c r="A17" s="14" t="s">
        <v>48</v>
      </c>
      <c r="B17" s="70" t="s">
        <v>47</v>
      </c>
      <c r="C17" s="925"/>
      <c r="D17" s="4">
        <f t="shared" si="2"/>
        <v>0</v>
      </c>
      <c r="E17" s="4">
        <f t="shared" si="1"/>
        <v>0</v>
      </c>
      <c r="F17" s="4">
        <f t="shared" si="3"/>
        <v>0</v>
      </c>
      <c r="G17" s="595">
        <v>0</v>
      </c>
      <c r="H17" s="595">
        <v>0</v>
      </c>
      <c r="I17" s="595">
        <v>0</v>
      </c>
    </row>
    <row r="18" spans="1:14" ht="15.75">
      <c r="A18" s="14" t="s">
        <v>46</v>
      </c>
      <c r="B18" s="70" t="s">
        <v>45</v>
      </c>
      <c r="C18" s="925"/>
      <c r="D18" s="4">
        <f t="shared" si="2"/>
        <v>0</v>
      </c>
      <c r="E18" s="4">
        <f t="shared" si="1"/>
        <v>0</v>
      </c>
      <c r="F18" s="4">
        <f t="shared" si="3"/>
        <v>0</v>
      </c>
      <c r="G18" s="595">
        <v>0</v>
      </c>
      <c r="H18" s="595">
        <v>0</v>
      </c>
      <c r="I18" s="595">
        <v>0</v>
      </c>
    </row>
    <row r="19" spans="1:14" ht="15.75">
      <c r="A19" s="13" t="s">
        <v>44</v>
      </c>
      <c r="B19" s="70" t="s">
        <v>43</v>
      </c>
      <c r="C19" s="925">
        <v>26000</v>
      </c>
      <c r="D19" s="4">
        <f t="shared" si="2"/>
        <v>2340</v>
      </c>
      <c r="E19" s="4">
        <f t="shared" si="1"/>
        <v>2340</v>
      </c>
      <c r="F19" s="4" t="str">
        <f t="shared" si="3"/>
        <v xml:space="preserve"> </v>
      </c>
      <c r="G19" s="595">
        <v>0</v>
      </c>
      <c r="H19" s="595">
        <v>0</v>
      </c>
      <c r="I19" s="595">
        <v>0</v>
      </c>
    </row>
    <row r="20" spans="1:14" ht="15.75">
      <c r="A20" s="13">
        <v>3271</v>
      </c>
      <c r="B20" s="70" t="s">
        <v>533</v>
      </c>
      <c r="C20" s="925"/>
      <c r="D20" s="4">
        <f t="shared" si="2"/>
        <v>0</v>
      </c>
      <c r="E20" s="4">
        <f t="shared" si="1"/>
        <v>0</v>
      </c>
      <c r="F20" s="4">
        <f t="shared" si="3"/>
        <v>0</v>
      </c>
      <c r="G20" s="595">
        <v>0</v>
      </c>
      <c r="H20" s="595">
        <v>0</v>
      </c>
      <c r="I20" s="595">
        <v>0</v>
      </c>
    </row>
    <row r="21" spans="1:14" ht="15.75">
      <c r="A21" s="13">
        <v>3274</v>
      </c>
      <c r="B21" s="70" t="s">
        <v>554</v>
      </c>
      <c r="C21" s="925"/>
      <c r="D21" s="4"/>
      <c r="E21" s="4"/>
      <c r="F21" s="4"/>
      <c r="G21" s="595">
        <v>0</v>
      </c>
      <c r="H21" s="595">
        <v>0</v>
      </c>
      <c r="I21" s="595">
        <v>0</v>
      </c>
    </row>
    <row r="22" spans="1:14" ht="15.75">
      <c r="A22" s="17" t="s">
        <v>42</v>
      </c>
      <c r="B22" s="70" t="s">
        <v>41</v>
      </c>
      <c r="C22" s="925"/>
      <c r="D22" s="4">
        <f t="shared" si="0"/>
        <v>0</v>
      </c>
      <c r="E22" s="4">
        <f t="shared" si="1"/>
        <v>0</v>
      </c>
      <c r="F22" s="4">
        <v>0</v>
      </c>
      <c r="G22" s="595">
        <v>0</v>
      </c>
      <c r="H22" s="595">
        <v>0</v>
      </c>
      <c r="I22" s="595">
        <v>0</v>
      </c>
    </row>
    <row r="23" spans="1:14" ht="15.75">
      <c r="A23" s="14" t="s">
        <v>40</v>
      </c>
      <c r="B23" s="70" t="s">
        <v>39</v>
      </c>
      <c r="C23" s="925"/>
      <c r="D23" s="4">
        <f t="shared" si="0"/>
        <v>0</v>
      </c>
      <c r="E23" s="4">
        <f t="shared" si="1"/>
        <v>0</v>
      </c>
      <c r="F23" s="4">
        <f>IF(D23&gt;0," ",C23*18%)</f>
        <v>0</v>
      </c>
      <c r="G23" s="595">
        <v>0</v>
      </c>
      <c r="H23" s="595">
        <v>0</v>
      </c>
      <c r="I23" s="595">
        <v>0</v>
      </c>
    </row>
    <row r="24" spans="1:14" ht="15.75">
      <c r="A24" s="14" t="s">
        <v>38</v>
      </c>
      <c r="B24" s="70" t="s">
        <v>37</v>
      </c>
      <c r="C24" s="925"/>
      <c r="D24" s="4">
        <f t="shared" si="0"/>
        <v>0</v>
      </c>
      <c r="E24" s="4">
        <f t="shared" si="1"/>
        <v>0</v>
      </c>
      <c r="F24" s="4" t="s">
        <v>5</v>
      </c>
      <c r="G24" s="595">
        <v>0</v>
      </c>
      <c r="H24" s="595">
        <v>0</v>
      </c>
      <c r="I24" s="595">
        <v>0</v>
      </c>
    </row>
    <row r="25" spans="1:14" ht="15.75">
      <c r="A25" s="16" t="s">
        <v>36</v>
      </c>
      <c r="B25" s="70" t="s">
        <v>35</v>
      </c>
      <c r="C25" s="925"/>
      <c r="D25" s="4">
        <f t="shared" si="0"/>
        <v>0</v>
      </c>
      <c r="E25" s="4">
        <f t="shared" si="1"/>
        <v>0</v>
      </c>
      <c r="F25" s="4">
        <f t="shared" ref="F25:F32" si="4">IF(D25&gt;0," ",C25*18%)</f>
        <v>0</v>
      </c>
      <c r="G25" s="595">
        <v>0</v>
      </c>
      <c r="H25" s="595">
        <v>0</v>
      </c>
      <c r="I25" s="595">
        <v>0</v>
      </c>
    </row>
    <row r="26" spans="1:14" ht="15.75">
      <c r="A26" s="16" t="s">
        <v>34</v>
      </c>
      <c r="B26" s="70" t="s">
        <v>33</v>
      </c>
      <c r="C26" s="925"/>
      <c r="D26" s="4">
        <f t="shared" si="0"/>
        <v>0</v>
      </c>
      <c r="E26" s="4">
        <f t="shared" si="1"/>
        <v>0</v>
      </c>
      <c r="F26" s="4">
        <f t="shared" si="4"/>
        <v>0</v>
      </c>
      <c r="G26" s="595">
        <v>0</v>
      </c>
      <c r="H26" s="595">
        <v>0</v>
      </c>
      <c r="I26" s="595">
        <v>0</v>
      </c>
    </row>
    <row r="27" spans="1:14" ht="15.75">
      <c r="A27" s="16" t="s">
        <v>32</v>
      </c>
      <c r="B27" s="70" t="s">
        <v>31</v>
      </c>
      <c r="C27" s="925"/>
      <c r="D27" s="4">
        <f t="shared" si="0"/>
        <v>0</v>
      </c>
      <c r="E27" s="4">
        <f t="shared" si="1"/>
        <v>0</v>
      </c>
      <c r="F27" s="4">
        <f t="shared" si="4"/>
        <v>0</v>
      </c>
      <c r="G27" s="595">
        <v>0</v>
      </c>
      <c r="H27" s="595">
        <v>0</v>
      </c>
      <c r="I27" s="595">
        <v>0</v>
      </c>
    </row>
    <row r="28" spans="1:14" ht="15.75">
      <c r="A28" s="137">
        <v>3291</v>
      </c>
      <c r="B28" s="33" t="s">
        <v>325</v>
      </c>
      <c r="C28" s="925"/>
      <c r="D28" s="4">
        <f>+C28*9%</f>
        <v>0</v>
      </c>
      <c r="E28" s="4">
        <f>+D28</f>
        <v>0</v>
      </c>
      <c r="F28" s="4">
        <f t="shared" si="4"/>
        <v>0</v>
      </c>
      <c r="G28" s="595">
        <v>0</v>
      </c>
      <c r="H28" s="595">
        <v>0</v>
      </c>
      <c r="I28" s="595">
        <v>0</v>
      </c>
    </row>
    <row r="29" spans="1:14" ht="15.75">
      <c r="A29" s="137" t="s">
        <v>526</v>
      </c>
      <c r="B29" s="33" t="s">
        <v>523</v>
      </c>
      <c r="C29" s="925">
        <v>1222.5</v>
      </c>
      <c r="D29" s="4">
        <f>+C29*9%</f>
        <v>110.02499999999999</v>
      </c>
      <c r="E29" s="4">
        <f>+D29</f>
        <v>110.02499999999999</v>
      </c>
      <c r="F29" s="4" t="str">
        <f t="shared" si="4"/>
        <v xml:space="preserve"> </v>
      </c>
      <c r="G29" s="595">
        <v>0</v>
      </c>
      <c r="H29" s="595">
        <v>0</v>
      </c>
      <c r="I29" s="595">
        <v>0</v>
      </c>
      <c r="K29"/>
      <c r="L29"/>
      <c r="N29"/>
    </row>
    <row r="30" spans="1:14" ht="15.75">
      <c r="A30" s="137" t="s">
        <v>527</v>
      </c>
      <c r="B30" s="33" t="s">
        <v>524</v>
      </c>
      <c r="C30" s="925">
        <v>6180</v>
      </c>
      <c r="D30" s="4">
        <f>+C30*9%</f>
        <v>556.19999999999993</v>
      </c>
      <c r="E30" s="4">
        <f>+D30</f>
        <v>556.19999999999993</v>
      </c>
      <c r="F30" s="4" t="str">
        <f t="shared" si="4"/>
        <v xml:space="preserve"> </v>
      </c>
      <c r="G30" s="595">
        <v>0</v>
      </c>
      <c r="H30" s="595">
        <v>0</v>
      </c>
      <c r="I30" s="595">
        <v>0</v>
      </c>
      <c r="K30"/>
      <c r="L30"/>
      <c r="M30"/>
      <c r="N30"/>
    </row>
    <row r="31" spans="1:14" ht="15.75">
      <c r="A31" s="137" t="s">
        <v>528</v>
      </c>
      <c r="B31" s="33" t="s">
        <v>529</v>
      </c>
      <c r="C31" s="925">
        <v>150</v>
      </c>
      <c r="D31" s="4">
        <f>+C31*9%</f>
        <v>13.5</v>
      </c>
      <c r="E31" s="4">
        <f>+D31</f>
        <v>13.5</v>
      </c>
      <c r="F31" s="4" t="str">
        <f t="shared" si="4"/>
        <v xml:space="preserve"> </v>
      </c>
      <c r="G31" s="595">
        <v>0</v>
      </c>
      <c r="H31" s="595">
        <v>0</v>
      </c>
      <c r="I31" s="595">
        <v>0</v>
      </c>
      <c r="K31"/>
      <c r="L31"/>
      <c r="M31"/>
      <c r="N31"/>
    </row>
    <row r="32" spans="1:14" ht="15.75">
      <c r="A32" s="137" t="s">
        <v>531</v>
      </c>
      <c r="B32" s="33" t="s">
        <v>532</v>
      </c>
      <c r="C32" s="925"/>
      <c r="D32" s="4">
        <f>+C32*9%</f>
        <v>0</v>
      </c>
      <c r="E32" s="4">
        <f>+D32</f>
        <v>0</v>
      </c>
      <c r="F32" s="4">
        <f t="shared" si="4"/>
        <v>0</v>
      </c>
      <c r="G32" s="595">
        <v>0</v>
      </c>
      <c r="H32" s="595">
        <v>0</v>
      </c>
      <c r="I32" s="595">
        <v>0</v>
      </c>
      <c r="J32" s="269"/>
    </row>
    <row r="33" spans="1:9" ht="15.75">
      <c r="A33" s="14" t="s">
        <v>30</v>
      </c>
      <c r="B33" s="70" t="s">
        <v>29</v>
      </c>
      <c r="C33" s="925">
        <v>119880.52</v>
      </c>
      <c r="D33" s="4">
        <f t="shared" si="0"/>
        <v>10789.246800000001</v>
      </c>
      <c r="E33" s="4">
        <f t="shared" si="1"/>
        <v>10789.246800000001</v>
      </c>
      <c r="F33" s="4">
        <v>0</v>
      </c>
      <c r="G33" s="595">
        <v>0</v>
      </c>
      <c r="H33" s="595">
        <v>0</v>
      </c>
      <c r="I33" s="595">
        <v>0</v>
      </c>
    </row>
    <row r="34" spans="1:9" ht="15.75">
      <c r="A34" s="13">
        <v>3301</v>
      </c>
      <c r="B34" s="70" t="s">
        <v>154</v>
      </c>
      <c r="C34" s="925"/>
      <c r="D34" s="4">
        <f>+C34*9%</f>
        <v>0</v>
      </c>
      <c r="E34" s="4">
        <f>+D34</f>
        <v>0</v>
      </c>
      <c r="F34" s="4">
        <f>IF(D34&gt;0," ",C34*18%)</f>
        <v>0</v>
      </c>
      <c r="G34" s="595">
        <v>0</v>
      </c>
      <c r="H34" s="595">
        <v>0</v>
      </c>
      <c r="I34" s="595">
        <v>0</v>
      </c>
    </row>
    <row r="35" spans="1:9" ht="15.75">
      <c r="A35" s="13">
        <v>3302</v>
      </c>
      <c r="B35" s="70" t="s">
        <v>525</v>
      </c>
      <c r="C35" s="925"/>
      <c r="D35" s="4">
        <f>+C35*9%</f>
        <v>0</v>
      </c>
      <c r="E35" s="4">
        <f>+D35</f>
        <v>0</v>
      </c>
      <c r="F35" s="4">
        <f>IF(D35&gt;0," ",C35*18%)</f>
        <v>0</v>
      </c>
      <c r="G35" s="595">
        <v>0</v>
      </c>
      <c r="H35" s="595">
        <v>0</v>
      </c>
      <c r="I35" s="595">
        <v>0</v>
      </c>
    </row>
    <row r="36" spans="1:9" ht="15.75">
      <c r="A36" s="14" t="s">
        <v>28</v>
      </c>
      <c r="B36" s="70" t="s">
        <v>27</v>
      </c>
      <c r="C36" s="925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595">
        <v>0</v>
      </c>
      <c r="H36" s="595">
        <v>0</v>
      </c>
      <c r="I36" s="595">
        <v>0</v>
      </c>
    </row>
    <row r="37" spans="1:9" ht="15.75">
      <c r="A37" s="16" t="s">
        <v>114</v>
      </c>
      <c r="B37" s="70" t="s">
        <v>115</v>
      </c>
      <c r="C37" s="925"/>
      <c r="D37" s="4">
        <f>+C37*9%</f>
        <v>0</v>
      </c>
      <c r="E37" s="4">
        <f>+D37</f>
        <v>0</v>
      </c>
      <c r="F37" s="4">
        <f>IF(D37&gt;0," ",C37*18%)</f>
        <v>0</v>
      </c>
      <c r="G37" s="595">
        <v>0</v>
      </c>
      <c r="H37" s="595">
        <v>0</v>
      </c>
      <c r="I37" s="595">
        <v>0</v>
      </c>
    </row>
    <row r="38" spans="1:9" ht="15.75">
      <c r="A38" s="13" t="s">
        <v>26</v>
      </c>
      <c r="B38" s="70" t="s">
        <v>394</v>
      </c>
      <c r="C38" s="925">
        <v>1138.8900000000001</v>
      </c>
      <c r="D38" s="4">
        <f t="shared" si="0"/>
        <v>102.5001</v>
      </c>
      <c r="E38" s="4">
        <f t="shared" si="1"/>
        <v>102.5001</v>
      </c>
      <c r="F38" s="4">
        <v>0</v>
      </c>
      <c r="G38" s="595">
        <v>0</v>
      </c>
      <c r="H38" s="595">
        <v>0</v>
      </c>
      <c r="I38" s="595">
        <v>0</v>
      </c>
    </row>
    <row r="39" spans="1:9" ht="15.75">
      <c r="A39" s="13" t="s">
        <v>24</v>
      </c>
      <c r="B39" s="70" t="s">
        <v>23</v>
      </c>
      <c r="C39" s="925">
        <v>800</v>
      </c>
      <c r="D39" s="4">
        <f t="shared" si="0"/>
        <v>72</v>
      </c>
      <c r="E39" s="4">
        <f t="shared" si="1"/>
        <v>72</v>
      </c>
      <c r="F39" s="4" t="str">
        <f t="shared" ref="F39:F46" si="5">IF(D39&gt;0," ",C39*18%)</f>
        <v xml:space="preserve"> </v>
      </c>
      <c r="G39" s="595">
        <v>0</v>
      </c>
      <c r="H39" s="595"/>
      <c r="I39" s="595">
        <v>0</v>
      </c>
    </row>
    <row r="40" spans="1:9" ht="15.75">
      <c r="A40" s="13" t="s">
        <v>22</v>
      </c>
      <c r="B40" s="70" t="s">
        <v>21</v>
      </c>
      <c r="C40" s="925">
        <v>2350</v>
      </c>
      <c r="D40" s="4">
        <f t="shared" si="0"/>
        <v>211.5</v>
      </c>
      <c r="E40" s="4">
        <f t="shared" si="1"/>
        <v>211.5</v>
      </c>
      <c r="F40" s="4" t="str">
        <f t="shared" si="5"/>
        <v xml:space="preserve"> </v>
      </c>
      <c r="G40" s="595">
        <v>0</v>
      </c>
      <c r="H40" s="595">
        <v>0</v>
      </c>
      <c r="I40" s="595">
        <v>0</v>
      </c>
    </row>
    <row r="41" spans="1:9" ht="15.75">
      <c r="A41" s="13" t="s">
        <v>20</v>
      </c>
      <c r="B41" s="70" t="s">
        <v>19</v>
      </c>
      <c r="C41" s="925">
        <v>5600</v>
      </c>
      <c r="D41" s="4">
        <f t="shared" si="0"/>
        <v>504</v>
      </c>
      <c r="E41" s="4">
        <f t="shared" si="1"/>
        <v>504</v>
      </c>
      <c r="F41" s="4" t="str">
        <f t="shared" si="5"/>
        <v xml:space="preserve"> </v>
      </c>
      <c r="G41" s="595">
        <v>0</v>
      </c>
      <c r="H41" s="595">
        <v>0</v>
      </c>
      <c r="I41" s="595">
        <v>0</v>
      </c>
    </row>
    <row r="42" spans="1:9" ht="15.75">
      <c r="A42" s="14" t="s">
        <v>18</v>
      </c>
      <c r="B42" s="70" t="s">
        <v>17</v>
      </c>
      <c r="C42" s="925">
        <v>3750</v>
      </c>
      <c r="D42" s="4">
        <f t="shared" si="0"/>
        <v>337.5</v>
      </c>
      <c r="E42" s="4">
        <f t="shared" si="1"/>
        <v>337.5</v>
      </c>
      <c r="F42" s="4" t="str">
        <f t="shared" si="5"/>
        <v xml:space="preserve"> </v>
      </c>
      <c r="G42" s="595">
        <v>0</v>
      </c>
      <c r="H42" s="595">
        <v>0</v>
      </c>
      <c r="I42" s="595">
        <v>0</v>
      </c>
    </row>
    <row r="43" spans="1:9" ht="15.75">
      <c r="A43" s="14" t="s">
        <v>16</v>
      </c>
      <c r="B43" s="70" t="s">
        <v>15</v>
      </c>
      <c r="C43" s="925">
        <v>1400</v>
      </c>
      <c r="D43" s="4">
        <f t="shared" si="0"/>
        <v>126</v>
      </c>
      <c r="E43" s="4">
        <f t="shared" si="1"/>
        <v>126</v>
      </c>
      <c r="F43" s="4" t="str">
        <f t="shared" si="5"/>
        <v xml:space="preserve"> </v>
      </c>
      <c r="G43" s="595">
        <v>0</v>
      </c>
      <c r="H43" s="595">
        <v>0</v>
      </c>
      <c r="I43" s="595">
        <v>0</v>
      </c>
    </row>
    <row r="44" spans="1:9" ht="15.75">
      <c r="A44" s="14" t="s">
        <v>14</v>
      </c>
      <c r="B44" s="70" t="s">
        <v>13</v>
      </c>
      <c r="C44" s="925">
        <v>1811</v>
      </c>
      <c r="D44" s="4">
        <f t="shared" si="0"/>
        <v>162.98999999999998</v>
      </c>
      <c r="E44" s="4">
        <f t="shared" si="1"/>
        <v>162.98999999999998</v>
      </c>
      <c r="F44" s="4" t="str">
        <f t="shared" si="5"/>
        <v xml:space="preserve"> </v>
      </c>
      <c r="G44" s="595">
        <v>0</v>
      </c>
      <c r="H44" s="595">
        <v>0</v>
      </c>
      <c r="I44" s="595">
        <v>0</v>
      </c>
    </row>
    <row r="45" spans="1:9" ht="15.75">
      <c r="A45" s="14">
        <v>3317</v>
      </c>
      <c r="B45" s="70" t="s">
        <v>286</v>
      </c>
      <c r="C45" s="925"/>
      <c r="D45" s="4">
        <f t="shared" si="0"/>
        <v>0</v>
      </c>
      <c r="E45" s="4">
        <f t="shared" si="1"/>
        <v>0</v>
      </c>
      <c r="F45" s="4">
        <f t="shared" si="5"/>
        <v>0</v>
      </c>
      <c r="G45" s="595">
        <v>0</v>
      </c>
      <c r="H45" s="595">
        <v>0</v>
      </c>
      <c r="I45" s="595">
        <v>0</v>
      </c>
    </row>
    <row r="46" spans="1:9" ht="15.75">
      <c r="A46" s="14" t="s">
        <v>12</v>
      </c>
      <c r="B46" s="70" t="s">
        <v>11</v>
      </c>
      <c r="C46" s="925"/>
      <c r="D46" s="4">
        <f t="shared" si="0"/>
        <v>0</v>
      </c>
      <c r="E46" s="4">
        <f t="shared" si="1"/>
        <v>0</v>
      </c>
      <c r="F46" s="4">
        <f t="shared" si="5"/>
        <v>0</v>
      </c>
      <c r="G46" s="595">
        <v>0</v>
      </c>
      <c r="H46" s="595">
        <v>0</v>
      </c>
      <c r="I46" s="595">
        <v>0</v>
      </c>
    </row>
    <row r="47" spans="1:9" ht="15.75">
      <c r="A47" s="14">
        <v>3320</v>
      </c>
      <c r="B47" s="70" t="s">
        <v>289</v>
      </c>
      <c r="C47" s="925">
        <f>4007620.07-4006231</f>
        <v>1389.0699999998324</v>
      </c>
      <c r="D47" s="4">
        <f>+C47*9%</f>
        <v>125.01629999998491</v>
      </c>
      <c r="E47" s="4">
        <f>+D47</f>
        <v>125.01629999998491</v>
      </c>
      <c r="F47" s="4"/>
      <c r="G47" s="595">
        <v>0</v>
      </c>
      <c r="H47" s="595">
        <v>0</v>
      </c>
      <c r="I47" s="595">
        <v>0</v>
      </c>
    </row>
    <row r="48" spans="1:9" ht="15.75">
      <c r="A48" s="14">
        <v>3321</v>
      </c>
      <c r="B48" s="70" t="s">
        <v>156</v>
      </c>
      <c r="C48" s="925"/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595">
        <v>0</v>
      </c>
      <c r="H48" s="595">
        <v>0</v>
      </c>
      <c r="I48" s="595">
        <v>0</v>
      </c>
    </row>
    <row r="49" spans="1:11" ht="15.75">
      <c r="A49" s="14">
        <v>3322</v>
      </c>
      <c r="B49" s="70" t="s">
        <v>335</v>
      </c>
      <c r="C49" s="925"/>
      <c r="D49" s="4">
        <f>+C49*2.5%</f>
        <v>0</v>
      </c>
      <c r="E49" s="4">
        <f>+D49</f>
        <v>0</v>
      </c>
      <c r="F49" s="4"/>
      <c r="G49" s="595">
        <v>0</v>
      </c>
      <c r="H49" s="595">
        <v>0</v>
      </c>
      <c r="I49" s="595">
        <v>0</v>
      </c>
      <c r="J49" s="269"/>
    </row>
    <row r="50" spans="1:11" ht="15.75">
      <c r="A50" s="14">
        <v>3324</v>
      </c>
      <c r="B50" s="70" t="s">
        <v>438</v>
      </c>
      <c r="C50" s="925">
        <v>1875.34</v>
      </c>
      <c r="D50" s="4">
        <f>+C50*9%</f>
        <v>168.78059999999999</v>
      </c>
      <c r="E50" s="4">
        <f>+D50</f>
        <v>168.78059999999999</v>
      </c>
      <c r="F50" s="4"/>
      <c r="G50" s="595">
        <v>0</v>
      </c>
      <c r="H50" s="595">
        <v>0</v>
      </c>
      <c r="I50" s="595">
        <v>0</v>
      </c>
    </row>
    <row r="51" spans="1:11" ht="15.75">
      <c r="A51" s="161">
        <v>3325</v>
      </c>
      <c r="B51" s="70" t="s">
        <v>606</v>
      </c>
      <c r="C51" s="925"/>
      <c r="D51" s="4">
        <f>+C51*2.5%</f>
        <v>0</v>
      </c>
      <c r="E51" s="4">
        <f>+D51</f>
        <v>0</v>
      </c>
      <c r="F51" s="4">
        <f>IF(D51&gt;0," ",C51*18%)</f>
        <v>0</v>
      </c>
      <c r="G51" s="595">
        <v>0</v>
      </c>
      <c r="H51" s="595">
        <v>0</v>
      </c>
      <c r="I51" s="595">
        <v>0</v>
      </c>
    </row>
    <row r="52" spans="1:11" ht="15.75">
      <c r="A52" s="14">
        <v>3391</v>
      </c>
      <c r="B52" s="70" t="s">
        <v>300</v>
      </c>
      <c r="C52" s="925">
        <v>22041.25</v>
      </c>
      <c r="D52" s="4">
        <f t="shared" si="0"/>
        <v>1983.7124999999999</v>
      </c>
      <c r="E52" s="4">
        <f t="shared" si="1"/>
        <v>1983.7124999999999</v>
      </c>
      <c r="F52" s="4" t="str">
        <f>IF(D52&gt;0," ",C52*18%)</f>
        <v xml:space="preserve"> </v>
      </c>
      <c r="G52" s="595">
        <v>0</v>
      </c>
      <c r="H52" s="595">
        <v>0</v>
      </c>
      <c r="I52" s="595">
        <v>0</v>
      </c>
      <c r="J52" s="1194"/>
      <c r="K52" s="204"/>
    </row>
    <row r="53" spans="1:11" ht="15.75">
      <c r="A53" s="14">
        <v>3359</v>
      </c>
      <c r="B53" s="70" t="s">
        <v>683</v>
      </c>
      <c r="C53" s="925"/>
      <c r="D53" s="4">
        <f t="shared" si="0"/>
        <v>0</v>
      </c>
      <c r="E53" s="4">
        <f t="shared" si="1"/>
        <v>0</v>
      </c>
      <c r="F53" s="4">
        <f>IF(D53&gt;0," ",C53*18%)</f>
        <v>0</v>
      </c>
      <c r="G53" s="595">
        <v>0</v>
      </c>
      <c r="H53" s="595">
        <v>0</v>
      </c>
      <c r="I53" s="595">
        <v>0</v>
      </c>
      <c r="J53" s="1193"/>
      <c r="K53" s="204"/>
    </row>
    <row r="54" spans="1:11" ht="15.75">
      <c r="A54" s="14">
        <v>3825</v>
      </c>
      <c r="B54" s="70" t="s">
        <v>646</v>
      </c>
      <c r="C54" s="925"/>
      <c r="D54" s="4">
        <f t="shared" si="0"/>
        <v>0</v>
      </c>
      <c r="E54" s="4">
        <f t="shared" si="1"/>
        <v>0</v>
      </c>
      <c r="F54" s="4">
        <f>IF(D54&gt;0," ",C54*18%)</f>
        <v>0</v>
      </c>
      <c r="G54" s="595">
        <v>0</v>
      </c>
      <c r="H54" s="595">
        <v>0</v>
      </c>
      <c r="I54" s="595">
        <v>0</v>
      </c>
    </row>
    <row r="55" spans="1:11" ht="15.75">
      <c r="A55" s="14">
        <v>3362</v>
      </c>
      <c r="B55" s="70" t="s">
        <v>739</v>
      </c>
      <c r="C55" s="925"/>
      <c r="D55" s="4">
        <f t="shared" si="0"/>
        <v>0</v>
      </c>
      <c r="E55" s="4">
        <f t="shared" si="1"/>
        <v>0</v>
      </c>
      <c r="F55" s="4"/>
      <c r="G55" s="266">
        <v>0</v>
      </c>
      <c r="H55" s="266">
        <v>0</v>
      </c>
      <c r="I55" s="266">
        <v>0</v>
      </c>
    </row>
    <row r="56" spans="1:11" ht="15.75">
      <c r="A56" s="14">
        <v>3340</v>
      </c>
      <c r="B56" s="70" t="s">
        <v>785</v>
      </c>
      <c r="C56" s="925"/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11" ht="15.75">
      <c r="A57" s="15" t="s">
        <v>10</v>
      </c>
      <c r="B57" s="70"/>
      <c r="C57" s="925"/>
      <c r="D57" s="4">
        <f t="shared" si="0"/>
        <v>0</v>
      </c>
      <c r="E57" s="4">
        <f t="shared" si="1"/>
        <v>0</v>
      </c>
      <c r="F57" s="4"/>
      <c r="G57" s="595">
        <v>0</v>
      </c>
      <c r="H57" s="595">
        <v>0</v>
      </c>
      <c r="I57" s="595">
        <v>0</v>
      </c>
    </row>
    <row r="58" spans="1:11" ht="15.75">
      <c r="A58" s="14" t="s">
        <v>9</v>
      </c>
      <c r="B58" s="70" t="s">
        <v>8</v>
      </c>
      <c r="C58" s="925"/>
      <c r="D58" s="4">
        <f t="shared" si="0"/>
        <v>0</v>
      </c>
      <c r="E58" s="4">
        <f t="shared" si="1"/>
        <v>0</v>
      </c>
      <c r="F58" s="4">
        <v>0</v>
      </c>
      <c r="G58" s="925">
        <v>0</v>
      </c>
      <c r="H58" s="595">
        <v>0</v>
      </c>
      <c r="I58" s="595">
        <v>0</v>
      </c>
      <c r="K58" s="620"/>
    </row>
    <row r="59" spans="1:11" ht="15.75">
      <c r="A59" s="13" t="s">
        <v>7</v>
      </c>
      <c r="B59" s="70" t="s">
        <v>6</v>
      </c>
      <c r="C59" s="925">
        <f>564600-14411</f>
        <v>550189</v>
      </c>
      <c r="D59" s="4">
        <f>+C59*9%</f>
        <v>49517.009999999995</v>
      </c>
      <c r="E59" s="4">
        <f t="shared" si="1"/>
        <v>49517.009999999995</v>
      </c>
      <c r="F59" s="4">
        <v>0</v>
      </c>
      <c r="G59" s="925">
        <v>14117</v>
      </c>
      <c r="H59" s="595">
        <v>0</v>
      </c>
      <c r="I59" s="595">
        <v>0</v>
      </c>
    </row>
    <row r="60" spans="1:11" ht="15.75">
      <c r="A60" s="5" t="s">
        <v>5</v>
      </c>
      <c r="B60" s="70" t="s">
        <v>4</v>
      </c>
      <c r="C60" s="925">
        <v>0</v>
      </c>
      <c r="D60" s="4"/>
      <c r="E60" s="4"/>
      <c r="F60" s="4"/>
      <c r="G60" s="595">
        <v>0</v>
      </c>
      <c r="H60" s="595">
        <v>0</v>
      </c>
      <c r="I60" s="595">
        <v>0</v>
      </c>
    </row>
    <row r="61" spans="1:11" ht="15.75">
      <c r="A61" s="434"/>
      <c r="B61" s="432" t="s">
        <v>465</v>
      </c>
      <c r="C61" s="925">
        <v>0</v>
      </c>
      <c r="D61" s="433">
        <f>+C61*0.09</f>
        <v>0</v>
      </c>
      <c r="E61" s="433">
        <f>+D61</f>
        <v>0</v>
      </c>
      <c r="F61" s="433"/>
      <c r="G61" s="595">
        <v>0</v>
      </c>
      <c r="H61" s="595">
        <v>0</v>
      </c>
      <c r="I61" s="595">
        <v>0</v>
      </c>
    </row>
    <row r="62" spans="1:11" ht="16.5" thickBot="1">
      <c r="A62" s="12"/>
      <c r="B62" s="11" t="s">
        <v>3</v>
      </c>
      <c r="C62" s="10">
        <f>SUM(C9:C61)</f>
        <v>745927.56999999983</v>
      </c>
      <c r="D62" s="10">
        <f>SUM(D9:D61)</f>
        <v>67133.481299999985</v>
      </c>
      <c r="E62" s="10">
        <f>SUM(E9:E61)</f>
        <v>67133.481299999985</v>
      </c>
      <c r="F62" s="10">
        <f>SUM(F9:F59)</f>
        <v>0</v>
      </c>
      <c r="G62" s="10">
        <f>SUM(G9:G60)</f>
        <v>14117</v>
      </c>
      <c r="H62" s="10">
        <f>SUM(H9:H59)</f>
        <v>0</v>
      </c>
      <c r="I62" s="10">
        <f>SUM(I9:I59)</f>
        <v>0</v>
      </c>
    </row>
    <row r="63" spans="1:11" ht="16.5" thickTop="1">
      <c r="A63" s="9" t="s">
        <v>2</v>
      </c>
      <c r="B63" s="8"/>
      <c r="C63" s="915"/>
      <c r="D63" s="7"/>
      <c r="E63" s="7"/>
      <c r="F63" s="6"/>
      <c r="G63" s="1"/>
      <c r="H63" s="32"/>
      <c r="I63" s="1"/>
    </row>
    <row r="64" spans="1:11" ht="15.75">
      <c r="A64" s="13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/>
      <c r="G64" s="1"/>
      <c r="H64" s="32"/>
      <c r="I64" s="1"/>
    </row>
    <row r="65" spans="1:10" ht="15.75">
      <c r="A65" s="13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67133.481299999985</v>
      </c>
      <c r="H65" s="32"/>
    </row>
    <row r="66" spans="1:10" ht="15.75">
      <c r="A66" s="1228" t="s">
        <v>75</v>
      </c>
      <c r="B66" s="1228"/>
      <c r="C66" s="1228"/>
      <c r="D66" s="1228"/>
      <c r="E66" s="1228"/>
      <c r="F66" s="1228"/>
      <c r="G66" s="1"/>
      <c r="H66" s="32">
        <f>+C62+G62</f>
        <v>760044.56999999983</v>
      </c>
      <c r="I66" s="1"/>
    </row>
    <row r="67" spans="1:10" ht="15.75">
      <c r="A67" s="28"/>
      <c r="B67" s="28"/>
      <c r="C67" s="28"/>
      <c r="D67" s="28"/>
      <c r="E67" s="28"/>
      <c r="F67" s="28"/>
      <c r="G67" s="1"/>
      <c r="H67" s="32">
        <f>+H66*0.09</f>
        <v>68404.011299999984</v>
      </c>
      <c r="I67" s="1" t="s">
        <v>5</v>
      </c>
    </row>
    <row r="68" spans="1:10" ht="15.75">
      <c r="A68" s="29" t="s">
        <v>76</v>
      </c>
      <c r="B68" s="29"/>
      <c r="C68" s="3"/>
      <c r="D68" s="3"/>
      <c r="E68" s="3"/>
      <c r="F68" s="3"/>
      <c r="G68" s="1"/>
      <c r="H68" s="32"/>
      <c r="I68" s="1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G69" s="1"/>
      <c r="H69" s="32"/>
      <c r="I69" s="1"/>
    </row>
    <row r="70" spans="1:10">
      <c r="A70" s="1247"/>
      <c r="B70" s="1248"/>
      <c r="C70" s="1249"/>
      <c r="D70" s="1236"/>
      <c r="E70" s="1236"/>
      <c r="F70" s="1232"/>
      <c r="G70" s="1"/>
      <c r="H70" s="32" t="s">
        <v>5</v>
      </c>
      <c r="I70" s="1"/>
    </row>
    <row r="71" spans="1:10" ht="15.75">
      <c r="A71" s="1241" t="s">
        <v>80</v>
      </c>
      <c r="B71" s="1242"/>
      <c r="C71" s="1243"/>
      <c r="D71" s="105">
        <f>+D62</f>
        <v>67133.481299999985</v>
      </c>
      <c r="E71" s="105">
        <f>+E62</f>
        <v>67133.481299999985</v>
      </c>
      <c r="F71" s="105">
        <f>+F62</f>
        <v>0</v>
      </c>
      <c r="G71" s="1"/>
      <c r="H71" s="1"/>
      <c r="I71" s="1"/>
    </row>
    <row r="72" spans="1:10" ht="15.75">
      <c r="A72" s="43" t="s">
        <v>103</v>
      </c>
      <c r="B72" s="43"/>
      <c r="C72" s="43">
        <f>+G62</f>
        <v>14117</v>
      </c>
      <c r="D72" s="106">
        <f>+C72*0.09</f>
        <v>1270.53</v>
      </c>
      <c r="E72" s="106">
        <f>+C72*0.09</f>
        <v>1270.53</v>
      </c>
      <c r="F72" s="106">
        <v>0</v>
      </c>
      <c r="G72" s="1"/>
      <c r="H72" s="32" t="s">
        <v>5</v>
      </c>
      <c r="I72" s="1" t="s">
        <v>5</v>
      </c>
    </row>
    <row r="73" spans="1:10" ht="15.75">
      <c r="A73" s="43"/>
      <c r="B73" s="43"/>
      <c r="C73" s="43"/>
      <c r="D73" s="105">
        <f>+D71+D72</f>
        <v>68404.011299999984</v>
      </c>
      <c r="E73" s="105">
        <f>+E71+E72</f>
        <v>68404.011299999984</v>
      </c>
      <c r="F73" s="105">
        <v>0</v>
      </c>
      <c r="G73" s="1"/>
      <c r="H73" s="32"/>
      <c r="I73" s="1"/>
    </row>
    <row r="74" spans="1:10" ht="15.75">
      <c r="A74" s="1241" t="s">
        <v>104</v>
      </c>
      <c r="B74" s="1242"/>
      <c r="C74" s="1243"/>
      <c r="D74" s="108">
        <v>68413.73</v>
      </c>
      <c r="E74" s="108">
        <f>+D74</f>
        <v>68413.73</v>
      </c>
      <c r="F74" s="108">
        <v>0</v>
      </c>
      <c r="G74" s="1"/>
      <c r="H74" s="32" t="s">
        <v>5</v>
      </c>
      <c r="I74" s="1"/>
      <c r="J74" s="72"/>
    </row>
    <row r="75" spans="1:10" ht="15.75">
      <c r="A75" s="1250" t="s">
        <v>79</v>
      </c>
      <c r="B75" s="1251"/>
      <c r="C75" s="1252"/>
      <c r="D75" s="107">
        <f>+D73-D74</f>
        <v>-9.718700000012177</v>
      </c>
      <c r="E75" s="107">
        <f>+E73-E74</f>
        <v>-9.718700000012177</v>
      </c>
      <c r="F75" s="108">
        <f>IF(F71&gt;F74,F71,F74)</f>
        <v>0</v>
      </c>
      <c r="G75" s="1">
        <f>+E75/9%</f>
        <v>-107.98555555569087</v>
      </c>
      <c r="H75" s="32"/>
      <c r="I75" s="1" t="s">
        <v>5</v>
      </c>
    </row>
    <row r="76" spans="1:10" ht="15.75">
      <c r="A76" s="3"/>
      <c r="B76" s="2"/>
      <c r="C76" s="3"/>
      <c r="D76" s="3"/>
      <c r="E76" s="3"/>
      <c r="F76" s="3"/>
      <c r="G76" s="1"/>
      <c r="H76" s="32"/>
      <c r="I76" s="1"/>
    </row>
    <row r="77" spans="1:10" ht="15.75">
      <c r="A77" s="27" t="s">
        <v>77</v>
      </c>
      <c r="B77" s="2"/>
      <c r="C77" s="3"/>
      <c r="D77" s="3"/>
      <c r="E77" s="3"/>
      <c r="F77" s="3"/>
      <c r="G77" s="1"/>
      <c r="H77" s="32"/>
      <c r="I77" s="1"/>
    </row>
    <row r="78" spans="1:10">
      <c r="A78" s="1218" t="s">
        <v>65</v>
      </c>
      <c r="B78" s="1219"/>
      <c r="C78" s="1220"/>
      <c r="D78" s="1253" t="s">
        <v>70</v>
      </c>
      <c r="E78" s="1253" t="s">
        <v>71</v>
      </c>
      <c r="F78" s="1253" t="s">
        <v>72</v>
      </c>
      <c r="G78" s="1"/>
      <c r="H78" s="32"/>
      <c r="I78" s="1"/>
    </row>
    <row r="79" spans="1:10">
      <c r="A79" s="1221"/>
      <c r="B79" s="1222"/>
      <c r="C79" s="1223"/>
      <c r="D79" s="1254" t="s">
        <v>67</v>
      </c>
      <c r="E79" s="1254"/>
      <c r="F79" s="1254"/>
      <c r="G79" s="1"/>
      <c r="H79" s="32"/>
      <c r="I79" s="1"/>
    </row>
    <row r="80" spans="1:10">
      <c r="A80" s="1225"/>
      <c r="B80" s="1226"/>
      <c r="C80" s="1227"/>
      <c r="D80" s="42"/>
      <c r="E80" s="42"/>
      <c r="F80" s="42"/>
      <c r="G80" s="1"/>
      <c r="H80" s="32"/>
      <c r="I80" s="1"/>
    </row>
    <row r="81" spans="1:9" ht="15.75">
      <c r="A81" s="1216" t="s">
        <v>69</v>
      </c>
      <c r="B81" s="1216"/>
      <c r="C81" s="1216"/>
      <c r="D81" s="108">
        <v>26436.080000000002</v>
      </c>
      <c r="E81" s="108">
        <f>+D81</f>
        <v>26436.080000000002</v>
      </c>
      <c r="F81" s="58">
        <v>0</v>
      </c>
      <c r="G81" s="32">
        <f t="shared" ref="G81:I83" si="6">+D81/2</f>
        <v>13218.04</v>
      </c>
      <c r="H81" s="32">
        <f t="shared" si="6"/>
        <v>13218.04</v>
      </c>
      <c r="I81" s="32">
        <f t="shared" si="6"/>
        <v>0</v>
      </c>
    </row>
    <row r="82" spans="1:9" ht="15.75">
      <c r="A82" s="1224" t="s">
        <v>83</v>
      </c>
      <c r="B82" s="1224"/>
      <c r="C82" s="1224"/>
      <c r="D82" s="105">
        <f>+C91</f>
        <v>29.61</v>
      </c>
      <c r="E82" s="105">
        <f>+D91</f>
        <v>29.61</v>
      </c>
      <c r="F82" s="56">
        <v>0</v>
      </c>
      <c r="G82" s="32">
        <f t="shared" si="6"/>
        <v>14.805</v>
      </c>
      <c r="H82" s="32">
        <f t="shared" si="6"/>
        <v>14.805</v>
      </c>
      <c r="I82" s="32">
        <f t="shared" si="6"/>
        <v>0</v>
      </c>
    </row>
    <row r="83" spans="1:9" ht="15.75">
      <c r="A83" s="1215" t="s">
        <v>82</v>
      </c>
      <c r="B83" s="1215"/>
      <c r="C83" s="1215"/>
      <c r="D83" s="108">
        <f>+D81-D82</f>
        <v>26406.47</v>
      </c>
      <c r="E83" s="108">
        <f>+E81-E82</f>
        <v>26406.47</v>
      </c>
      <c r="F83" s="58">
        <f>+F81-F82</f>
        <v>0</v>
      </c>
      <c r="G83" s="32">
        <f t="shared" si="6"/>
        <v>13203.235000000001</v>
      </c>
      <c r="H83" s="32">
        <f t="shared" si="6"/>
        <v>13203.235000000001</v>
      </c>
      <c r="I83" s="32">
        <f t="shared" si="6"/>
        <v>0</v>
      </c>
    </row>
    <row r="84" spans="1:9" ht="15.75" thickBot="1">
      <c r="A84" s="1"/>
      <c r="B84" s="1"/>
      <c r="C84" s="1"/>
      <c r="D84" s="1"/>
      <c r="E84" s="1"/>
      <c r="F84" s="1"/>
      <c r="G84" s="1"/>
      <c r="H84" s="32"/>
      <c r="I84" s="1"/>
    </row>
    <row r="85" spans="1:9" ht="15.75" thickBot="1">
      <c r="A85" s="1"/>
      <c r="B85" s="1285" t="s">
        <v>101</v>
      </c>
      <c r="C85" s="1286"/>
      <c r="D85" s="1286"/>
      <c r="E85" s="1287"/>
      <c r="F85" s="1"/>
      <c r="G85" s="1"/>
      <c r="H85" s="32"/>
      <c r="I85" s="1"/>
    </row>
    <row r="86" spans="1:9" ht="15.75" thickBot="1">
      <c r="A86" s="1"/>
      <c r="B86" s="216" t="s">
        <v>322</v>
      </c>
      <c r="C86" s="621" t="s">
        <v>155</v>
      </c>
      <c r="D86" s="621" t="s">
        <v>67</v>
      </c>
      <c r="E86" s="622" t="s">
        <v>68</v>
      </c>
      <c r="F86" s="1"/>
      <c r="G86" s="1"/>
      <c r="H86" s="32"/>
      <c r="I86" s="1"/>
    </row>
    <row r="87" spans="1:9">
      <c r="A87" s="1"/>
      <c r="B87" s="215" t="s">
        <v>102</v>
      </c>
      <c r="C87" s="1">
        <v>29.61</v>
      </c>
      <c r="D87" s="1">
        <f>+C87</f>
        <v>29.61</v>
      </c>
      <c r="E87" s="226">
        <v>0</v>
      </c>
      <c r="F87" s="1"/>
      <c r="G87" s="1"/>
      <c r="H87" s="32"/>
      <c r="I87" s="1"/>
    </row>
    <row r="88" spans="1:9">
      <c r="A88" s="1"/>
      <c r="B88" s="215" t="s">
        <v>102</v>
      </c>
      <c r="C88" s="1">
        <v>0</v>
      </c>
      <c r="D88" s="1">
        <f>+C88</f>
        <v>0</v>
      </c>
      <c r="E88" s="226">
        <v>0</v>
      </c>
      <c r="F88" s="1"/>
      <c r="G88" s="1"/>
      <c r="H88" s="32"/>
      <c r="I88" s="1"/>
    </row>
    <row r="89" spans="1:9">
      <c r="A89" s="1"/>
      <c r="B89" s="215" t="s">
        <v>102</v>
      </c>
      <c r="C89" s="1"/>
      <c r="D89" s="1">
        <f>+C89</f>
        <v>0</v>
      </c>
      <c r="E89" s="226">
        <v>0</v>
      </c>
      <c r="F89" s="1"/>
      <c r="G89" s="1"/>
      <c r="H89" s="32"/>
      <c r="I89" s="1"/>
    </row>
    <row r="90" spans="1:9" ht="15.75" thickBot="1">
      <c r="A90" s="1"/>
      <c r="B90" s="217" t="s">
        <v>440</v>
      </c>
      <c r="C90" s="1"/>
      <c r="D90" s="218">
        <v>0</v>
      </c>
      <c r="E90" s="219">
        <v>0</v>
      </c>
      <c r="F90" s="1"/>
      <c r="G90" s="1">
        <f>+C91/2</f>
        <v>14.805</v>
      </c>
      <c r="H90" s="1">
        <f>+D91/2</f>
        <v>14.805</v>
      </c>
      <c r="I90" s="1">
        <f>+E91/2</f>
        <v>0</v>
      </c>
    </row>
    <row r="91" spans="1:9" ht="15.75" thickBot="1">
      <c r="A91" s="1"/>
      <c r="B91" s="216" t="s">
        <v>135</v>
      </c>
      <c r="C91" s="623">
        <f>+SUM(C87:C90)</f>
        <v>29.61</v>
      </c>
      <c r="D91" s="623">
        <f>+SUM(D87:D90)</f>
        <v>29.61</v>
      </c>
      <c r="E91" s="622">
        <f>+SUM(E87:E90)</f>
        <v>0</v>
      </c>
      <c r="F91" s="1"/>
      <c r="G91" s="1"/>
      <c r="H91" s="1"/>
      <c r="I91" s="1"/>
    </row>
    <row r="92" spans="1:9" ht="20.25" customHeight="1">
      <c r="A92" s="40"/>
      <c r="B92" s="40"/>
      <c r="C92" s="40"/>
      <c r="D92" s="40"/>
      <c r="E92" s="40"/>
      <c r="F92" s="1"/>
      <c r="G92" s="1"/>
      <c r="H92" s="32"/>
      <c r="I92" s="1"/>
    </row>
    <row r="93" spans="1:9">
      <c r="A93" s="32"/>
      <c r="B93" s="1"/>
      <c r="C93" s="1"/>
      <c r="D93" s="1"/>
      <c r="E93" s="1"/>
      <c r="F93" s="1"/>
      <c r="G93" s="1"/>
      <c r="H93" s="1"/>
      <c r="I93" s="1"/>
    </row>
    <row r="94" spans="1:9">
      <c r="C94" s="1"/>
      <c r="D94" s="1"/>
      <c r="E94" s="1"/>
      <c r="F94" s="1"/>
      <c r="G94" s="1"/>
      <c r="H94" s="1"/>
      <c r="I94" s="1"/>
    </row>
    <row r="95" spans="1:9">
      <c r="A95" s="1"/>
      <c r="B95" s="1"/>
      <c r="C95" s="1"/>
      <c r="D95" s="1"/>
      <c r="E95" s="1"/>
      <c r="F95" s="1"/>
      <c r="G95" s="1"/>
      <c r="H95" s="1"/>
      <c r="I95" s="1"/>
    </row>
    <row r="96" spans="1:9">
      <c r="A96" s="1"/>
      <c r="B96" s="1"/>
      <c r="C96" s="1"/>
      <c r="D96" s="1"/>
      <c r="E96" s="1"/>
      <c r="F96" s="1"/>
      <c r="G96" s="1"/>
      <c r="H96" s="1"/>
      <c r="I96" s="1"/>
    </row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</sheetData>
  <mergeCells count="29">
    <mergeCell ref="G7:G8"/>
    <mergeCell ref="H7:H8"/>
    <mergeCell ref="I7:I8"/>
    <mergeCell ref="A80:C80"/>
    <mergeCell ref="E78:E79"/>
    <mergeCell ref="F78:F79"/>
    <mergeCell ref="A71:C71"/>
    <mergeCell ref="D78:D79"/>
    <mergeCell ref="A66:F66"/>
    <mergeCell ref="A69:C70"/>
    <mergeCell ref="D69:D70"/>
    <mergeCell ref="E69:E70"/>
    <mergeCell ref="F69:F7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2:C82"/>
    <mergeCell ref="A74:C74"/>
    <mergeCell ref="A75:C75"/>
    <mergeCell ref="A78:C79"/>
    <mergeCell ref="B85:E85"/>
    <mergeCell ref="A83:C83"/>
    <mergeCell ref="A81:C81"/>
  </mergeCells>
  <conditionalFormatting sqref="A85:A92 A1:XFD7 A8:F8 J8:XFD8 G62:XFD69 G70 I70:XFD70 H74:XFD74 G75:XFD79 H80:XFD80 G81:XFD86 F85">
    <cfRule type="containsText" dxfId="361" priority="164" operator="containsText" text="LESS COLLECTED">
      <formula>NOT(ISERROR(SEARCH("LESS COLLECTED",A1)))</formula>
    </cfRule>
  </conditionalFormatting>
  <conditionalFormatting sqref="A9:B27 K22 D24:L25 D26:M28 D29:J31 D32:XFD35 B87:XFD92 A93:XFD93 C94:XFD94 A95:XFD108 J109:XFD1048576">
    <cfRule type="containsText" dxfId="360" priority="38" operator="containsText" text="LESS COLLECTED">
      <formula>NOT(ISERROR(SEARCH("LESS COLLECTED",A9)))</formula>
    </cfRule>
  </conditionalFormatting>
  <conditionalFormatting sqref="A22:B34 B87:XFD92 G71:XFD73 A93:XFD93 C94:XFD94 A95:XFD108 J109:XFD1048576">
    <cfRule type="containsText" dxfId="359" priority="48" operator="containsText" text="LESS COLLECTED">
      <formula>NOT(ISERROR(SEARCH("LESS COLLECTED",A22)))</formula>
    </cfRule>
  </conditionalFormatting>
  <conditionalFormatting sqref="A35:B56">
    <cfRule type="containsText" dxfId="358" priority="11" operator="containsText" text="LESS COLLECTED">
      <formula>NOT(ISERROR(SEARCH("LESS COLLECTED",A35)))</formula>
    </cfRule>
  </conditionalFormatting>
  <conditionalFormatting sqref="A48:B56">
    <cfRule type="containsText" dxfId="357" priority="10" operator="containsText" text="EXCESS COLLECTED">
      <formula>NOT(ISERROR(SEARCH("EXCESS COLLECTED",A48)))</formula>
    </cfRule>
  </conditionalFormatting>
  <conditionalFormatting sqref="A57:B61">
    <cfRule type="containsText" dxfId="356" priority="54" operator="containsText" text="LESS COLLECTED">
      <formula>NOT(ISERROR(SEARCH("LESS COLLECTED",A57)))</formula>
    </cfRule>
  </conditionalFormatting>
  <conditionalFormatting sqref="B61">
    <cfRule type="containsText" dxfId="355" priority="53" operator="containsText" text="EXCESS COLLECTED">
      <formula>NOT(ISERROR(SEARCH("EXCESS COLLECTED",B61)))</formula>
    </cfRule>
  </conditionalFormatting>
  <conditionalFormatting sqref="B87:D90 A28:B32">
    <cfRule type="containsText" dxfId="354" priority="47" operator="containsText" text="EXCESS COLLECTED">
      <formula>NOT(ISERROR(SEARCH("EXCESS COLLECTED",A28)))</formula>
    </cfRule>
  </conditionalFormatting>
  <conditionalFormatting sqref="C14">
    <cfRule type="containsText" dxfId="353" priority="1" operator="containsText" text="LESS COLLECTED">
      <formula>NOT(ISERROR(SEARCH("LESS COLLECTED",C14)))</formula>
    </cfRule>
  </conditionalFormatting>
  <conditionalFormatting sqref="D48:F56">
    <cfRule type="containsText" dxfId="352" priority="12" operator="containsText" text="EXCESS COLLECTED">
      <formula>NOT(ISERROR(SEARCH("EXCESS COLLECTED",D48)))</formula>
    </cfRule>
  </conditionalFormatting>
  <conditionalFormatting sqref="D52:J52 D53:I53 D9:XFD15 D16:L21 M16:M25 N16:N28 D22:J23 L22:L23 L52:XFD53">
    <cfRule type="containsText" dxfId="351" priority="19" operator="containsText" text="LESS COLLECTED">
      <formula>NOT(ISERROR(SEARCH("LESS COLLECTED",D9)))</formula>
    </cfRule>
  </conditionalFormatting>
  <conditionalFormatting sqref="D32:XFD51 A9:B21 K22 D24:L25 D26:M28 D29:J31">
    <cfRule type="containsText" dxfId="350" priority="37" operator="containsText" text="LESS COLLECTED">
      <formula>NOT(ISERROR(SEARCH("LESS COLLECTED",A9)))</formula>
    </cfRule>
  </conditionalFormatting>
  <conditionalFormatting sqref="D54:XFD57 D58:F59 H58:XFD59">
    <cfRule type="containsText" dxfId="349" priority="15" operator="containsText" text="LESS COLLECTED">
      <formula>NOT(ISERROR(SEARCH("LESS COLLECTED",D54)))</formula>
    </cfRule>
  </conditionalFormatting>
  <conditionalFormatting sqref="D60:XFD61 A66:F73 A85:B85 C86:F86">
    <cfRule type="containsText" dxfId="348" priority="153" operator="containsText" text="LESS COLLECTED">
      <formula>NOT(ISERROR(SEARCH("LESS COLLECTED",A60)))</formula>
    </cfRule>
  </conditionalFormatting>
  <conditionalFormatting sqref="G33:G57 G60">
    <cfRule type="containsText" dxfId="347" priority="24" operator="containsText" text="LESS COLLECTED">
      <formula>NOT(ISERROR(SEARCH("LESS COLLECTED",G33)))</formula>
    </cfRule>
  </conditionalFormatting>
  <conditionalFormatting sqref="G60:G61 D69:E70 A72:F73 A85:B85 C86:D86">
    <cfRule type="containsText" dxfId="346" priority="152" operator="containsText" text="EXCESS COLLECTED">
      <formula>NOT(ISERROR(SEARCH("EXCESS COLLECTED",A60)))</formula>
    </cfRule>
  </conditionalFormatting>
  <conditionalFormatting sqref="G10:I57 H58:I58 G60:I61">
    <cfRule type="containsText" dxfId="345" priority="25" operator="containsText" text="LESS COLLECTED">
      <formula>NOT(ISERROR(SEARCH("LESS COLLECTED",G10)))</formula>
    </cfRule>
  </conditionalFormatting>
  <pageMargins left="1.155511811" right="0.86811023600000004" top="0" bottom="0" header="0.31496062992126" footer="0.31496062992126"/>
  <pageSetup paperSize="9" scale="56" orientation="portrait" r:id="rId1"/>
  <ignoredErrors>
    <ignoredError sqref="D49:D50 D51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>
    <tabColor rgb="FF92D050"/>
  </sheetPr>
  <dimension ref="A1:O93"/>
  <sheetViews>
    <sheetView topLeftCell="A68" workbookViewId="0">
      <selection activeCell="F78" sqref="F78:F79"/>
    </sheetView>
  </sheetViews>
  <sheetFormatPr defaultColWidth="9.140625" defaultRowHeight="15"/>
  <cols>
    <col min="1" max="1" width="11.42578125" customWidth="1"/>
    <col min="2" max="2" width="55.42578125" bestFit="1" customWidth="1"/>
    <col min="3" max="3" width="14.5703125" bestFit="1" customWidth="1"/>
    <col min="4" max="4" width="16.140625" bestFit="1" customWidth="1"/>
    <col min="5" max="5" width="14.140625" customWidth="1"/>
    <col min="6" max="6" width="14.42578125" customWidth="1"/>
    <col min="7" max="7" width="19.85546875" customWidth="1"/>
    <col min="8" max="8" width="11" bestFit="1" customWidth="1"/>
    <col min="10" max="10" width="11.140625" bestFit="1" customWidth="1"/>
    <col min="11" max="11" width="9.140625" style="1"/>
    <col min="12" max="12" width="9.85546875" style="1" bestFit="1" customWidth="1"/>
    <col min="13" max="16384" width="9.140625" style="1"/>
  </cols>
  <sheetData>
    <row r="1" spans="1:14" ht="15.75">
      <c r="A1" s="1228" t="s">
        <v>73</v>
      </c>
      <c r="B1" s="1228"/>
      <c r="C1" s="1228"/>
      <c r="D1" s="1228"/>
      <c r="E1" s="1228"/>
      <c r="F1" s="1228"/>
      <c r="G1" s="1"/>
      <c r="H1" s="32"/>
      <c r="I1" s="1"/>
      <c r="J1" s="1"/>
    </row>
    <row r="2" spans="1:14" ht="15.75">
      <c r="A2" s="41"/>
      <c r="B2" s="41"/>
      <c r="C2" s="41"/>
      <c r="D2" s="41"/>
      <c r="E2" s="41"/>
      <c r="F2" s="41"/>
      <c r="G2" s="1"/>
      <c r="H2" s="32"/>
      <c r="I2" s="1"/>
      <c r="J2" s="1"/>
    </row>
    <row r="3" spans="1:14" ht="15.75">
      <c r="A3" s="1229" t="s">
        <v>94</v>
      </c>
      <c r="B3" s="1229"/>
      <c r="C3" s="1229"/>
      <c r="D3" s="1229"/>
      <c r="E3" s="1229"/>
      <c r="F3" s="1229"/>
      <c r="G3" s="1"/>
      <c r="H3" s="32"/>
      <c r="I3" s="1"/>
      <c r="J3" s="1"/>
    </row>
    <row r="4" spans="1:14" ht="15.75">
      <c r="A4" s="1229" t="s">
        <v>353</v>
      </c>
      <c r="B4" s="1229"/>
      <c r="C4" s="1229"/>
      <c r="D4" s="1229"/>
      <c r="E4" s="1229"/>
      <c r="F4" s="1229"/>
      <c r="G4" s="1"/>
      <c r="H4" s="32"/>
      <c r="I4" s="1"/>
      <c r="J4" s="1"/>
    </row>
    <row r="5" spans="1:14" ht="15.75">
      <c r="A5" s="1228" t="str">
        <f>+PANJRAPOLE!A5</f>
        <v>SUMMARY OF INCOME FOR THE MONTH OF SEP 2026</v>
      </c>
      <c r="B5" s="1228"/>
      <c r="C5" s="1228"/>
      <c r="D5" s="1228"/>
      <c r="E5" s="1228"/>
      <c r="F5" s="1228"/>
      <c r="G5" s="1"/>
      <c r="H5" s="32"/>
      <c r="I5" s="1"/>
      <c r="J5" s="1" t="s">
        <v>74</v>
      </c>
    </row>
    <row r="6" spans="1:14" ht="15.75">
      <c r="A6" s="24" t="s">
        <v>5</v>
      </c>
      <c r="B6" s="3"/>
      <c r="C6" s="23"/>
      <c r="D6" s="1230" t="s">
        <v>5</v>
      </c>
      <c r="E6" s="1230"/>
      <c r="F6" s="3"/>
      <c r="G6" s="1"/>
      <c r="H6" s="32"/>
      <c r="I6" s="1"/>
      <c r="J6" s="1"/>
    </row>
    <row r="7" spans="1:14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  <c r="J7" s="1"/>
    </row>
    <row r="8" spans="1:14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  <c r="J8" s="1"/>
    </row>
    <row r="9" spans="1:14" ht="15.75">
      <c r="A9" s="31">
        <v>3303</v>
      </c>
      <c r="B9" s="70" t="s">
        <v>609</v>
      </c>
      <c r="C9" s="925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595">
        <v>0</v>
      </c>
      <c r="H9" s="595">
        <v>0</v>
      </c>
      <c r="I9" s="595">
        <v>0</v>
      </c>
      <c r="J9" s="1"/>
    </row>
    <row r="10" spans="1:14" ht="15.75">
      <c r="A10" s="31" t="s">
        <v>87</v>
      </c>
      <c r="B10" s="70" t="s">
        <v>61</v>
      </c>
      <c r="C10" s="925"/>
      <c r="D10" s="4">
        <f>+C10*9%</f>
        <v>0</v>
      </c>
      <c r="E10" s="4">
        <f>+D10</f>
        <v>0</v>
      </c>
      <c r="F10" s="4">
        <f>IF(D10&gt;0," ",C10*18%)</f>
        <v>0</v>
      </c>
      <c r="G10" s="595">
        <v>0</v>
      </c>
      <c r="H10" s="595">
        <v>0</v>
      </c>
      <c r="I10" s="595">
        <v>0</v>
      </c>
      <c r="J10" s="1"/>
    </row>
    <row r="11" spans="1:14" ht="15.75">
      <c r="A11" s="13" t="s">
        <v>60</v>
      </c>
      <c r="B11" s="70" t="s">
        <v>59</v>
      </c>
      <c r="C11" s="925">
        <v>200</v>
      </c>
      <c r="D11" s="4">
        <f t="shared" ref="D11:D58" si="0">+C11*9%</f>
        <v>18</v>
      </c>
      <c r="E11" s="4">
        <f t="shared" ref="E11:E59" si="1">+D11</f>
        <v>18</v>
      </c>
      <c r="F11" s="4" t="str">
        <f t="shared" ref="F11:F59" si="2">IF(D11&gt;0," ",C11*18%)</f>
        <v xml:space="preserve"> </v>
      </c>
      <c r="G11" s="595">
        <v>0</v>
      </c>
      <c r="H11" s="595">
        <v>0</v>
      </c>
      <c r="I11" s="595">
        <v>0</v>
      </c>
      <c r="J11" s="1"/>
    </row>
    <row r="12" spans="1:14" ht="15.75">
      <c r="A12" s="14" t="s">
        <v>58</v>
      </c>
      <c r="B12" s="70" t="s">
        <v>57</v>
      </c>
      <c r="C12" s="925"/>
      <c r="D12" s="4">
        <f t="shared" si="0"/>
        <v>0</v>
      </c>
      <c r="E12" s="4">
        <f t="shared" si="1"/>
        <v>0</v>
      </c>
      <c r="F12" s="4">
        <f t="shared" si="2"/>
        <v>0</v>
      </c>
      <c r="G12" s="595">
        <v>0</v>
      </c>
      <c r="H12" s="595">
        <v>0</v>
      </c>
      <c r="I12" s="595">
        <v>0</v>
      </c>
      <c r="J12" s="1"/>
    </row>
    <row r="13" spans="1:14" ht="15.75">
      <c r="A13" s="13" t="s">
        <v>56</v>
      </c>
      <c r="B13" s="70" t="s">
        <v>55</v>
      </c>
      <c r="C13" s="925"/>
      <c r="D13" s="4">
        <f t="shared" si="0"/>
        <v>0</v>
      </c>
      <c r="E13" s="4">
        <f t="shared" si="1"/>
        <v>0</v>
      </c>
      <c r="F13" s="4">
        <f t="shared" si="2"/>
        <v>0</v>
      </c>
      <c r="G13" s="595">
        <v>0</v>
      </c>
      <c r="H13" s="595">
        <v>0</v>
      </c>
      <c r="I13" s="595">
        <v>0</v>
      </c>
      <c r="J13" s="32"/>
      <c r="K13" s="32"/>
      <c r="L13" s="32"/>
    </row>
    <row r="14" spans="1:14" ht="15" customHeight="1">
      <c r="A14" s="13" t="s">
        <v>54</v>
      </c>
      <c r="B14" s="70" t="s">
        <v>53</v>
      </c>
      <c r="C14" s="925">
        <f>95526-5000</f>
        <v>90526</v>
      </c>
      <c r="D14" s="4">
        <f t="shared" si="0"/>
        <v>8147.34</v>
      </c>
      <c r="E14" s="4">
        <f t="shared" si="1"/>
        <v>8147.34</v>
      </c>
      <c r="F14" s="4">
        <v>0</v>
      </c>
      <c r="G14" s="595">
        <v>0</v>
      </c>
      <c r="H14" s="595">
        <v>0</v>
      </c>
      <c r="I14" s="595">
        <v>0</v>
      </c>
      <c r="J14" s="1"/>
      <c r="K14" s="1">
        <v>0</v>
      </c>
      <c r="L14" s="1">
        <v>0</v>
      </c>
      <c r="M14" s="1">
        <v>0</v>
      </c>
      <c r="N14" s="1">
        <v>0</v>
      </c>
    </row>
    <row r="15" spans="1:14" ht="15.75">
      <c r="A15" s="13" t="s">
        <v>52</v>
      </c>
      <c r="B15" s="70" t="s">
        <v>51</v>
      </c>
      <c r="C15" s="925"/>
      <c r="D15" s="4">
        <f t="shared" si="0"/>
        <v>0</v>
      </c>
      <c r="E15" s="4">
        <f t="shared" si="1"/>
        <v>0</v>
      </c>
      <c r="F15" s="4">
        <f t="shared" si="2"/>
        <v>0</v>
      </c>
      <c r="G15" s="595">
        <v>0</v>
      </c>
      <c r="H15" s="595">
        <v>0</v>
      </c>
      <c r="I15" s="595">
        <v>0</v>
      </c>
      <c r="J15" s="1"/>
    </row>
    <row r="16" spans="1:14" ht="15.75">
      <c r="A16" s="14" t="s">
        <v>50</v>
      </c>
      <c r="B16" s="70" t="s">
        <v>49</v>
      </c>
      <c r="C16" s="925"/>
      <c r="D16" s="4">
        <f t="shared" si="0"/>
        <v>0</v>
      </c>
      <c r="E16" s="4">
        <f t="shared" si="1"/>
        <v>0</v>
      </c>
      <c r="F16" s="4">
        <f t="shared" si="2"/>
        <v>0</v>
      </c>
      <c r="G16" s="595">
        <v>0</v>
      </c>
      <c r="H16" s="595">
        <v>0</v>
      </c>
      <c r="I16" s="595">
        <v>0</v>
      </c>
      <c r="J16" s="1"/>
    </row>
    <row r="17" spans="1:15" ht="15.75">
      <c r="A17" s="14" t="s">
        <v>48</v>
      </c>
      <c r="B17" s="70" t="s">
        <v>47</v>
      </c>
      <c r="C17" s="925"/>
      <c r="D17" s="4">
        <f t="shared" si="0"/>
        <v>0</v>
      </c>
      <c r="E17" s="4">
        <f t="shared" si="1"/>
        <v>0</v>
      </c>
      <c r="F17" s="4">
        <f t="shared" si="2"/>
        <v>0</v>
      </c>
      <c r="G17" s="595">
        <v>0</v>
      </c>
      <c r="H17" s="595">
        <v>0</v>
      </c>
      <c r="I17" s="595">
        <v>0</v>
      </c>
      <c r="J17" s="1"/>
    </row>
    <row r="18" spans="1:15" ht="15.75">
      <c r="A18" s="14" t="s">
        <v>46</v>
      </c>
      <c r="B18" s="70" t="s">
        <v>45</v>
      </c>
      <c r="C18" s="925"/>
      <c r="D18" s="4">
        <f t="shared" si="0"/>
        <v>0</v>
      </c>
      <c r="E18" s="4">
        <f t="shared" si="1"/>
        <v>0</v>
      </c>
      <c r="F18" s="4">
        <f t="shared" si="2"/>
        <v>0</v>
      </c>
      <c r="G18" s="595">
        <v>0</v>
      </c>
      <c r="H18" s="595">
        <v>0</v>
      </c>
      <c r="I18" s="595">
        <v>0</v>
      </c>
      <c r="J18" s="1"/>
    </row>
    <row r="19" spans="1:15" ht="15.75">
      <c r="A19" s="13" t="s">
        <v>44</v>
      </c>
      <c r="B19" s="70" t="s">
        <v>43</v>
      </c>
      <c r="C19" s="925">
        <v>3000</v>
      </c>
      <c r="D19" s="4">
        <f t="shared" si="0"/>
        <v>270</v>
      </c>
      <c r="E19" s="4">
        <f t="shared" si="1"/>
        <v>270</v>
      </c>
      <c r="F19" s="4"/>
      <c r="G19" s="595">
        <v>0</v>
      </c>
      <c r="H19" s="595">
        <v>0</v>
      </c>
      <c r="I19" s="595">
        <v>0</v>
      </c>
      <c r="J19" s="1"/>
    </row>
    <row r="20" spans="1:15" ht="15.75">
      <c r="A20" s="13">
        <v>3271</v>
      </c>
      <c r="B20" s="70" t="s">
        <v>533</v>
      </c>
      <c r="C20" s="925">
        <v>2700</v>
      </c>
      <c r="D20" s="4">
        <f t="shared" si="0"/>
        <v>243</v>
      </c>
      <c r="E20" s="4">
        <f t="shared" si="1"/>
        <v>243</v>
      </c>
      <c r="F20" s="4"/>
      <c r="G20" s="595">
        <v>0</v>
      </c>
      <c r="H20" s="595">
        <v>0</v>
      </c>
      <c r="I20" s="595">
        <v>0</v>
      </c>
      <c r="J20" s="1"/>
    </row>
    <row r="21" spans="1:15" ht="15.75">
      <c r="A21" s="13">
        <v>3274</v>
      </c>
      <c r="B21" s="70" t="s">
        <v>554</v>
      </c>
      <c r="C21" s="925"/>
      <c r="D21" s="4"/>
      <c r="E21" s="4"/>
      <c r="F21" s="4"/>
      <c r="G21" s="595">
        <v>0</v>
      </c>
      <c r="H21" s="595">
        <v>0</v>
      </c>
      <c r="I21" s="595">
        <v>0</v>
      </c>
      <c r="J21" s="1"/>
    </row>
    <row r="22" spans="1:15" ht="15.75">
      <c r="A22" s="17" t="s">
        <v>42</v>
      </c>
      <c r="B22" s="70" t="s">
        <v>41</v>
      </c>
      <c r="C22" s="925"/>
      <c r="D22" s="4">
        <f t="shared" si="0"/>
        <v>0</v>
      </c>
      <c r="E22" s="4">
        <f t="shared" si="1"/>
        <v>0</v>
      </c>
      <c r="F22" s="4">
        <f t="shared" si="2"/>
        <v>0</v>
      </c>
      <c r="G22" s="595">
        <v>0</v>
      </c>
      <c r="H22" s="595">
        <v>0</v>
      </c>
      <c r="I22" s="595">
        <v>0</v>
      </c>
      <c r="J22" s="1"/>
      <c r="O22" s="1" t="s">
        <v>5</v>
      </c>
    </row>
    <row r="23" spans="1:15" ht="15.75">
      <c r="A23" s="14" t="s">
        <v>40</v>
      </c>
      <c r="B23" s="70" t="s">
        <v>39</v>
      </c>
      <c r="C23" s="925"/>
      <c r="D23" s="4">
        <f t="shared" si="0"/>
        <v>0</v>
      </c>
      <c r="E23" s="4">
        <f t="shared" si="1"/>
        <v>0</v>
      </c>
      <c r="F23" s="4">
        <f t="shared" si="2"/>
        <v>0</v>
      </c>
      <c r="G23" s="595">
        <v>0</v>
      </c>
      <c r="H23" s="595">
        <v>0</v>
      </c>
      <c r="I23" s="595">
        <v>0</v>
      </c>
      <c r="J23" s="1"/>
    </row>
    <row r="24" spans="1:15" ht="15.75">
      <c r="A24" s="14" t="s">
        <v>38</v>
      </c>
      <c r="B24" s="70" t="s">
        <v>37</v>
      </c>
      <c r="C24" s="925"/>
      <c r="D24" s="4">
        <f t="shared" si="0"/>
        <v>0</v>
      </c>
      <c r="E24" s="4">
        <f t="shared" si="1"/>
        <v>0</v>
      </c>
      <c r="F24" s="4" t="s">
        <v>5</v>
      </c>
      <c r="G24" s="595">
        <v>0</v>
      </c>
      <c r="H24" s="595">
        <v>0</v>
      </c>
      <c r="I24" s="595">
        <v>0</v>
      </c>
      <c r="J24" s="1"/>
    </row>
    <row r="25" spans="1:15" ht="15.75">
      <c r="A25" s="16" t="s">
        <v>36</v>
      </c>
      <c r="B25" s="70" t="s">
        <v>35</v>
      </c>
      <c r="C25" s="925"/>
      <c r="D25" s="4">
        <f t="shared" si="0"/>
        <v>0</v>
      </c>
      <c r="E25" s="4">
        <f t="shared" si="1"/>
        <v>0</v>
      </c>
      <c r="F25" s="4">
        <f t="shared" si="2"/>
        <v>0</v>
      </c>
      <c r="G25" s="595">
        <v>0</v>
      </c>
      <c r="H25" s="595">
        <v>0</v>
      </c>
      <c r="I25" s="595">
        <v>0</v>
      </c>
      <c r="J25" s="1"/>
    </row>
    <row r="26" spans="1:15" ht="15.75">
      <c r="A26" s="16" t="s">
        <v>34</v>
      </c>
      <c r="B26" s="70" t="s">
        <v>33</v>
      </c>
      <c r="C26" s="925"/>
      <c r="D26" s="4">
        <f t="shared" si="0"/>
        <v>0</v>
      </c>
      <c r="E26" s="4">
        <f t="shared" si="1"/>
        <v>0</v>
      </c>
      <c r="F26" s="4">
        <f t="shared" si="2"/>
        <v>0</v>
      </c>
      <c r="G26" s="595">
        <v>0</v>
      </c>
      <c r="H26" s="595">
        <v>0</v>
      </c>
      <c r="I26" s="595">
        <v>0</v>
      </c>
      <c r="J26" s="1"/>
    </row>
    <row r="27" spans="1:15" ht="15.75">
      <c r="A27" s="16" t="s">
        <v>32</v>
      </c>
      <c r="B27" s="70" t="s">
        <v>31</v>
      </c>
      <c r="C27" s="925"/>
      <c r="D27" s="4">
        <f t="shared" si="0"/>
        <v>0</v>
      </c>
      <c r="E27" s="4">
        <f t="shared" si="1"/>
        <v>0</v>
      </c>
      <c r="F27" s="4">
        <f t="shared" si="2"/>
        <v>0</v>
      </c>
      <c r="G27" s="595">
        <v>0</v>
      </c>
      <c r="H27" s="595">
        <v>0</v>
      </c>
      <c r="I27" s="595">
        <v>0</v>
      </c>
      <c r="J27" s="1"/>
    </row>
    <row r="28" spans="1:15" ht="15.75">
      <c r="A28" s="137">
        <v>3291</v>
      </c>
      <c r="B28" s="33" t="s">
        <v>325</v>
      </c>
      <c r="C28" s="925"/>
      <c r="D28" s="4">
        <f>+C28*9%</f>
        <v>0</v>
      </c>
      <c r="E28" s="4">
        <f>+D28</f>
        <v>0</v>
      </c>
      <c r="F28" s="4">
        <f>IF(D28&gt;0," ",C28*18%)</f>
        <v>0</v>
      </c>
      <c r="G28" s="595">
        <v>0</v>
      </c>
      <c r="H28" s="595">
        <v>0</v>
      </c>
      <c r="I28" s="595">
        <v>0</v>
      </c>
      <c r="J28" s="1"/>
    </row>
    <row r="29" spans="1:15" ht="15.75">
      <c r="A29" s="137" t="s">
        <v>526</v>
      </c>
      <c r="B29" s="33" t="s">
        <v>523</v>
      </c>
      <c r="C29" s="925">
        <v>980</v>
      </c>
      <c r="D29" s="4">
        <f>+C29*9%</f>
        <v>88.2</v>
      </c>
      <c r="E29" s="4">
        <f>+D29</f>
        <v>88.2</v>
      </c>
      <c r="F29" s="4" t="str">
        <f>IF(D29&gt;0," ",C29*18%)</f>
        <v xml:space="preserve"> </v>
      </c>
      <c r="G29" s="595">
        <v>0</v>
      </c>
      <c r="H29" s="595">
        <v>0</v>
      </c>
      <c r="I29" s="595">
        <v>0</v>
      </c>
      <c r="J29" s="1"/>
    </row>
    <row r="30" spans="1:15" ht="15.75">
      <c r="A30" s="137" t="s">
        <v>527</v>
      </c>
      <c r="B30" s="33" t="s">
        <v>524</v>
      </c>
      <c r="C30" s="925">
        <v>1070</v>
      </c>
      <c r="D30" s="4">
        <f>+C30*9%</f>
        <v>96.3</v>
      </c>
      <c r="E30" s="4">
        <f>+D30</f>
        <v>96.3</v>
      </c>
      <c r="F30" s="4" t="str">
        <f>IF(D30&gt;0," ",C30*18%)</f>
        <v xml:space="preserve"> </v>
      </c>
      <c r="G30" s="595">
        <v>0</v>
      </c>
      <c r="H30" s="595">
        <v>0</v>
      </c>
      <c r="I30" s="595">
        <v>0</v>
      </c>
      <c r="J30" s="1"/>
    </row>
    <row r="31" spans="1:15" ht="15.75">
      <c r="A31" s="137" t="s">
        <v>528</v>
      </c>
      <c r="B31" s="33" t="s">
        <v>529</v>
      </c>
      <c r="C31" s="925">
        <v>250</v>
      </c>
      <c r="D31" s="4">
        <f>+C31*9%</f>
        <v>22.5</v>
      </c>
      <c r="E31" s="4">
        <f>+D31</f>
        <v>22.5</v>
      </c>
      <c r="F31" s="4" t="str">
        <f>IF(D31&gt;0," ",C31*18%)</f>
        <v xml:space="preserve"> </v>
      </c>
      <c r="G31" s="595">
        <v>0</v>
      </c>
      <c r="H31" s="595">
        <v>0</v>
      </c>
      <c r="I31" s="595">
        <v>0</v>
      </c>
      <c r="J31" s="1"/>
    </row>
    <row r="32" spans="1:15" ht="15.75">
      <c r="A32" s="137" t="s">
        <v>531</v>
      </c>
      <c r="B32" s="33" t="s">
        <v>532</v>
      </c>
      <c r="C32" s="925"/>
      <c r="D32" s="4">
        <f>+C32*9%</f>
        <v>0</v>
      </c>
      <c r="E32" s="4">
        <f>+D32</f>
        <v>0</v>
      </c>
      <c r="F32" s="4">
        <f>IF(D32&gt;0," ",C32*18%)</f>
        <v>0</v>
      </c>
      <c r="G32" s="595">
        <v>0</v>
      </c>
      <c r="H32" s="595">
        <v>0</v>
      </c>
      <c r="I32" s="595">
        <v>0</v>
      </c>
      <c r="J32" s="1"/>
    </row>
    <row r="33" spans="1:13" ht="15.75">
      <c r="A33" s="13" t="s">
        <v>30</v>
      </c>
      <c r="B33" s="70" t="s">
        <v>29</v>
      </c>
      <c r="C33" s="925">
        <v>109170.1</v>
      </c>
      <c r="D33" s="4">
        <f t="shared" si="0"/>
        <v>9825.3089999999993</v>
      </c>
      <c r="E33" s="4">
        <f t="shared" si="1"/>
        <v>9825.3089999999993</v>
      </c>
      <c r="F33" s="4" t="str">
        <f t="shared" si="2"/>
        <v xml:space="preserve"> </v>
      </c>
      <c r="G33" s="595">
        <v>0</v>
      </c>
      <c r="H33" s="595">
        <v>0</v>
      </c>
      <c r="I33" s="595">
        <v>0</v>
      </c>
      <c r="J33" s="1"/>
    </row>
    <row r="34" spans="1:13" ht="15.75">
      <c r="A34" s="13">
        <v>3301</v>
      </c>
      <c r="B34" s="70" t="s">
        <v>154</v>
      </c>
      <c r="C34" s="925"/>
      <c r="D34" s="4">
        <f>+C34*9%</f>
        <v>0</v>
      </c>
      <c r="E34" s="4">
        <f>+D34</f>
        <v>0</v>
      </c>
      <c r="F34" s="4">
        <f t="shared" si="2"/>
        <v>0</v>
      </c>
      <c r="G34" s="595">
        <v>0</v>
      </c>
      <c r="H34" s="595">
        <v>0</v>
      </c>
      <c r="I34" s="595">
        <v>0</v>
      </c>
      <c r="J34" s="1"/>
    </row>
    <row r="35" spans="1:13" ht="15.75">
      <c r="A35" s="13">
        <v>3302</v>
      </c>
      <c r="B35" s="70" t="s">
        <v>525</v>
      </c>
      <c r="C35" s="925"/>
      <c r="D35" s="4">
        <f>+C35*9%</f>
        <v>0</v>
      </c>
      <c r="E35" s="4">
        <f>+D35</f>
        <v>0</v>
      </c>
      <c r="F35" s="4">
        <f>IF(D35&gt;0," ",C35*18%)</f>
        <v>0</v>
      </c>
      <c r="G35" s="595">
        <v>0</v>
      </c>
      <c r="H35" s="595">
        <v>0</v>
      </c>
      <c r="I35" s="595">
        <v>0</v>
      </c>
      <c r="J35" s="1"/>
    </row>
    <row r="36" spans="1:13" ht="15.75">
      <c r="A36" s="14" t="s">
        <v>28</v>
      </c>
      <c r="B36" s="70" t="s">
        <v>27</v>
      </c>
      <c r="C36" s="925"/>
      <c r="D36" s="4">
        <f t="shared" si="0"/>
        <v>0</v>
      </c>
      <c r="E36" s="4">
        <f t="shared" si="1"/>
        <v>0</v>
      </c>
      <c r="F36" s="4">
        <f t="shared" si="2"/>
        <v>0</v>
      </c>
      <c r="G36" s="595">
        <v>0</v>
      </c>
      <c r="H36" s="595">
        <v>0</v>
      </c>
      <c r="I36" s="595">
        <v>0</v>
      </c>
      <c r="J36" s="1"/>
    </row>
    <row r="37" spans="1:13" ht="15.75">
      <c r="A37" s="16" t="s">
        <v>114</v>
      </c>
      <c r="B37" s="70" t="s">
        <v>115</v>
      </c>
      <c r="C37" s="925"/>
      <c r="D37" s="4">
        <f>+C37*9%</f>
        <v>0</v>
      </c>
      <c r="E37" s="4">
        <f>+D37</f>
        <v>0</v>
      </c>
      <c r="F37" s="4">
        <f>IF(D37&gt;0," ",C37*18%)</f>
        <v>0</v>
      </c>
      <c r="G37" s="595">
        <v>0</v>
      </c>
      <c r="H37" s="595">
        <v>0</v>
      </c>
      <c r="I37" s="595">
        <v>0</v>
      </c>
      <c r="J37" s="1"/>
    </row>
    <row r="38" spans="1:13" ht="15.75">
      <c r="A38" s="13" t="s">
        <v>26</v>
      </c>
      <c r="B38" s="70" t="s">
        <v>25</v>
      </c>
      <c r="C38" s="925">
        <v>2308.79</v>
      </c>
      <c r="D38" s="4">
        <f t="shared" si="0"/>
        <v>207.7911</v>
      </c>
      <c r="E38" s="4">
        <f t="shared" si="1"/>
        <v>207.7911</v>
      </c>
      <c r="F38" s="4">
        <v>0</v>
      </c>
      <c r="G38" s="595">
        <v>0</v>
      </c>
      <c r="H38" s="595">
        <v>0</v>
      </c>
      <c r="I38" s="595">
        <v>0</v>
      </c>
      <c r="J38" s="1"/>
    </row>
    <row r="39" spans="1:13" ht="15.75">
      <c r="A39" s="13" t="s">
        <v>24</v>
      </c>
      <c r="B39" s="70" t="s">
        <v>23</v>
      </c>
      <c r="C39" s="925">
        <v>1000</v>
      </c>
      <c r="D39" s="4">
        <f t="shared" si="0"/>
        <v>90</v>
      </c>
      <c r="E39" s="4">
        <f t="shared" si="1"/>
        <v>90</v>
      </c>
      <c r="F39" s="4">
        <v>0</v>
      </c>
      <c r="G39" s="595">
        <v>0</v>
      </c>
      <c r="H39" s="595">
        <v>0</v>
      </c>
      <c r="I39" s="595">
        <v>0</v>
      </c>
      <c r="J39" s="1"/>
      <c r="M39" s="1">
        <f>3884-4463</f>
        <v>-579</v>
      </c>
    </row>
    <row r="40" spans="1:13" ht="15.75">
      <c r="A40" s="13" t="s">
        <v>22</v>
      </c>
      <c r="B40" s="70" t="s">
        <v>21</v>
      </c>
      <c r="C40" s="925">
        <v>3200</v>
      </c>
      <c r="D40" s="4">
        <f t="shared" si="0"/>
        <v>288</v>
      </c>
      <c r="E40" s="4">
        <f t="shared" si="1"/>
        <v>288</v>
      </c>
      <c r="F40" s="4" t="str">
        <f t="shared" si="2"/>
        <v xml:space="preserve"> </v>
      </c>
      <c r="G40" s="595">
        <v>0</v>
      </c>
      <c r="H40" s="595">
        <v>0</v>
      </c>
      <c r="I40" s="595">
        <v>0</v>
      </c>
      <c r="J40" s="1"/>
    </row>
    <row r="41" spans="1:13" ht="15.75">
      <c r="A41" s="13" t="s">
        <v>20</v>
      </c>
      <c r="B41" s="70" t="s">
        <v>19</v>
      </c>
      <c r="C41" s="925">
        <v>3600</v>
      </c>
      <c r="D41" s="4">
        <f t="shared" si="0"/>
        <v>324</v>
      </c>
      <c r="E41" s="4">
        <f t="shared" si="1"/>
        <v>324</v>
      </c>
      <c r="F41" s="4" t="str">
        <f t="shared" si="2"/>
        <v xml:space="preserve"> </v>
      </c>
      <c r="G41" s="595">
        <v>0</v>
      </c>
      <c r="H41" s="595">
        <v>0</v>
      </c>
      <c r="I41" s="595">
        <v>0</v>
      </c>
      <c r="J41" s="1"/>
    </row>
    <row r="42" spans="1:13" ht="15.75">
      <c r="A42" s="14" t="s">
        <v>18</v>
      </c>
      <c r="B42" s="70" t="s">
        <v>17</v>
      </c>
      <c r="C42" s="925">
        <v>9180</v>
      </c>
      <c r="D42" s="4">
        <f t="shared" si="0"/>
        <v>826.19999999999993</v>
      </c>
      <c r="E42" s="4">
        <f t="shared" si="1"/>
        <v>826.19999999999993</v>
      </c>
      <c r="F42" s="4" t="str">
        <f t="shared" si="2"/>
        <v xml:space="preserve"> </v>
      </c>
      <c r="G42" s="595">
        <v>0</v>
      </c>
      <c r="H42" s="595">
        <v>0</v>
      </c>
      <c r="I42" s="595">
        <v>0</v>
      </c>
      <c r="J42" s="1"/>
    </row>
    <row r="43" spans="1:13" ht="15.75">
      <c r="A43" s="14" t="s">
        <v>16</v>
      </c>
      <c r="B43" s="70" t="s">
        <v>15</v>
      </c>
      <c r="C43" s="925">
        <v>2450</v>
      </c>
      <c r="D43" s="4">
        <f>+C43*9%</f>
        <v>220.5</v>
      </c>
      <c r="E43" s="4">
        <f t="shared" si="1"/>
        <v>220.5</v>
      </c>
      <c r="F43" s="4" t="str">
        <f>IF(D43&gt;0," ",C43*18%)</f>
        <v xml:space="preserve"> </v>
      </c>
      <c r="G43" s="595">
        <v>0</v>
      </c>
      <c r="H43" s="595">
        <v>0</v>
      </c>
      <c r="I43" s="595">
        <v>0</v>
      </c>
      <c r="J43" s="1"/>
    </row>
    <row r="44" spans="1:13" ht="15.75">
      <c r="A44" s="14" t="s">
        <v>14</v>
      </c>
      <c r="B44" s="70" t="s">
        <v>13</v>
      </c>
      <c r="C44" s="925">
        <v>1489</v>
      </c>
      <c r="D44" s="4">
        <f>+C44*9%</f>
        <v>134.01</v>
      </c>
      <c r="E44" s="4">
        <f t="shared" si="1"/>
        <v>134.01</v>
      </c>
      <c r="F44" s="4" t="str">
        <f>IF(D44&gt;0," ",C44*18%)</f>
        <v xml:space="preserve"> </v>
      </c>
      <c r="G44" s="595">
        <v>0</v>
      </c>
      <c r="H44" s="595">
        <v>0</v>
      </c>
      <c r="I44" s="595">
        <v>0</v>
      </c>
      <c r="J44" s="1"/>
    </row>
    <row r="45" spans="1:13" ht="15.75">
      <c r="A45" s="14">
        <v>3317</v>
      </c>
      <c r="B45" s="70" t="s">
        <v>286</v>
      </c>
      <c r="C45" s="925"/>
      <c r="D45" s="4">
        <f t="shared" si="0"/>
        <v>0</v>
      </c>
      <c r="E45" s="4">
        <f t="shared" si="1"/>
        <v>0</v>
      </c>
      <c r="F45" s="4">
        <v>0</v>
      </c>
      <c r="G45" s="595">
        <v>0</v>
      </c>
      <c r="H45" s="595">
        <v>0</v>
      </c>
      <c r="I45" s="595">
        <v>0</v>
      </c>
      <c r="J45" s="1"/>
    </row>
    <row r="46" spans="1:13" ht="15.75">
      <c r="A46" s="14" t="s">
        <v>12</v>
      </c>
      <c r="B46" s="70" t="s">
        <v>11</v>
      </c>
      <c r="C46" s="925"/>
      <c r="D46" s="4">
        <f t="shared" si="0"/>
        <v>0</v>
      </c>
      <c r="E46" s="4">
        <f t="shared" si="1"/>
        <v>0</v>
      </c>
      <c r="F46" s="4">
        <f t="shared" si="2"/>
        <v>0</v>
      </c>
      <c r="G46" s="595">
        <v>0</v>
      </c>
      <c r="H46" s="595">
        <v>0</v>
      </c>
      <c r="I46" s="595">
        <v>0</v>
      </c>
      <c r="J46" s="1"/>
    </row>
    <row r="47" spans="1:13" ht="15.75">
      <c r="A47" s="14">
        <v>3320</v>
      </c>
      <c r="B47" s="70" t="s">
        <v>290</v>
      </c>
      <c r="C47" s="925"/>
      <c r="D47" s="4">
        <f t="shared" si="0"/>
        <v>0</v>
      </c>
      <c r="E47" s="4">
        <f t="shared" si="1"/>
        <v>0</v>
      </c>
      <c r="F47" s="4">
        <f t="shared" si="2"/>
        <v>0</v>
      </c>
      <c r="G47" s="595">
        <v>0</v>
      </c>
      <c r="H47" s="595">
        <v>0</v>
      </c>
      <c r="I47" s="595">
        <v>0</v>
      </c>
      <c r="J47" s="1"/>
    </row>
    <row r="48" spans="1:13" ht="15.75">
      <c r="A48" s="14">
        <v>3321</v>
      </c>
      <c r="B48" s="70" t="s">
        <v>156</v>
      </c>
      <c r="C48" s="925"/>
      <c r="D48" s="4">
        <f t="shared" si="0"/>
        <v>0</v>
      </c>
      <c r="E48" s="4">
        <f t="shared" si="1"/>
        <v>0</v>
      </c>
      <c r="F48" s="4">
        <f t="shared" si="2"/>
        <v>0</v>
      </c>
      <c r="G48" s="595">
        <v>0</v>
      </c>
      <c r="H48" s="595">
        <v>0</v>
      </c>
      <c r="I48" s="595">
        <v>0</v>
      </c>
      <c r="J48" s="1"/>
    </row>
    <row r="49" spans="1:9" s="1" customFormat="1" ht="15.75">
      <c r="A49" s="14">
        <v>3322</v>
      </c>
      <c r="B49" s="70" t="s">
        <v>335</v>
      </c>
      <c r="C49" s="925"/>
      <c r="D49" s="4">
        <f>+C49*9%</f>
        <v>0</v>
      </c>
      <c r="E49" s="4">
        <f t="shared" ref="E49:E57" si="3">+D49</f>
        <v>0</v>
      </c>
      <c r="F49" s="4"/>
      <c r="G49" s="595">
        <v>0</v>
      </c>
      <c r="H49" s="595">
        <v>0</v>
      </c>
      <c r="I49" s="595">
        <v>0</v>
      </c>
    </row>
    <row r="50" spans="1:9" s="1" customFormat="1" ht="15.75">
      <c r="A50" s="14">
        <v>3324</v>
      </c>
      <c r="B50" s="70" t="s">
        <v>438</v>
      </c>
      <c r="C50" s="925"/>
      <c r="D50" s="4">
        <f>+C50*9%</f>
        <v>0</v>
      </c>
      <c r="E50" s="4">
        <f t="shared" si="3"/>
        <v>0</v>
      </c>
      <c r="F50" s="4"/>
      <c r="G50" s="595">
        <v>0</v>
      </c>
      <c r="H50" s="595">
        <v>0</v>
      </c>
      <c r="I50" s="595">
        <v>0</v>
      </c>
    </row>
    <row r="51" spans="1:9" s="1" customFormat="1" ht="15.75">
      <c r="A51" s="161">
        <v>3325</v>
      </c>
      <c r="B51" s="70" t="s">
        <v>606</v>
      </c>
      <c r="C51" s="925"/>
      <c r="D51" s="4">
        <f>+C51*2.5%</f>
        <v>0</v>
      </c>
      <c r="E51" s="4">
        <f t="shared" si="3"/>
        <v>0</v>
      </c>
      <c r="F51" s="4">
        <f>IF(D51&gt;0," ",C51*18%)</f>
        <v>0</v>
      </c>
      <c r="G51" s="595">
        <v>0</v>
      </c>
      <c r="H51" s="595">
        <v>0</v>
      </c>
      <c r="I51" s="595">
        <v>0</v>
      </c>
    </row>
    <row r="52" spans="1:9" s="1" customFormat="1" ht="15.75">
      <c r="A52" s="14">
        <v>3391</v>
      </c>
      <c r="B52" s="70" t="s">
        <v>300</v>
      </c>
      <c r="C52" s="925">
        <v>16302.25</v>
      </c>
      <c r="D52" s="4">
        <f>+C52*9%</f>
        <v>1467.2024999999999</v>
      </c>
      <c r="E52" s="4">
        <f t="shared" si="3"/>
        <v>1467.2024999999999</v>
      </c>
      <c r="F52" s="4" t="str">
        <f t="shared" si="2"/>
        <v xml:space="preserve"> </v>
      </c>
      <c r="G52" s="595">
        <v>0</v>
      </c>
      <c r="H52" s="595">
        <v>0</v>
      </c>
      <c r="I52" s="595">
        <v>0</v>
      </c>
    </row>
    <row r="53" spans="1:9" s="1" customFormat="1" ht="15.75">
      <c r="A53" s="14">
        <v>3359</v>
      </c>
      <c r="B53" s="70" t="s">
        <v>683</v>
      </c>
      <c r="C53" s="925"/>
      <c r="D53" s="4">
        <f>+C53*9%</f>
        <v>0</v>
      </c>
      <c r="E53" s="4">
        <f t="shared" si="3"/>
        <v>0</v>
      </c>
      <c r="F53" s="4">
        <f t="shared" si="2"/>
        <v>0</v>
      </c>
      <c r="G53" s="595">
        <v>0</v>
      </c>
      <c r="H53" s="595"/>
      <c r="I53" s="595">
        <v>0</v>
      </c>
    </row>
    <row r="54" spans="1:9" s="1" customFormat="1" ht="15.75">
      <c r="A54" s="14">
        <v>3825</v>
      </c>
      <c r="B54" s="70" t="s">
        <v>646</v>
      </c>
      <c r="C54" s="925"/>
      <c r="D54" s="4">
        <f>+C54*9%</f>
        <v>0</v>
      </c>
      <c r="E54" s="4">
        <f t="shared" si="3"/>
        <v>0</v>
      </c>
      <c r="F54" s="4">
        <f>IF(D54&gt;0," ",C54*18%)</f>
        <v>0</v>
      </c>
      <c r="G54" s="595">
        <v>0</v>
      </c>
      <c r="H54" s="595">
        <v>0</v>
      </c>
      <c r="I54" s="595">
        <v>0</v>
      </c>
    </row>
    <row r="55" spans="1:9" s="1" customFormat="1" ht="15.75">
      <c r="A55" s="14">
        <v>3362</v>
      </c>
      <c r="B55" s="70" t="s">
        <v>739</v>
      </c>
      <c r="C55" s="925"/>
      <c r="D55" s="4"/>
      <c r="E55" s="4"/>
      <c r="F55" s="4"/>
      <c r="G55" s="595">
        <v>0</v>
      </c>
      <c r="H55" s="595">
        <v>0</v>
      </c>
      <c r="I55" s="595">
        <v>0</v>
      </c>
    </row>
    <row r="56" spans="1:9" s="1" customFormat="1" ht="15.75">
      <c r="A56" s="14">
        <v>3340</v>
      </c>
      <c r="B56" s="70" t="s">
        <v>785</v>
      </c>
      <c r="C56" s="925"/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9" s="1" customFormat="1" ht="15.75">
      <c r="A57" s="15" t="s">
        <v>10</v>
      </c>
      <c r="B57" s="70"/>
      <c r="C57" s="925"/>
      <c r="D57" s="4">
        <f>+C57*9%</f>
        <v>0</v>
      </c>
      <c r="E57" s="4">
        <f t="shared" si="3"/>
        <v>0</v>
      </c>
      <c r="F57" s="4"/>
      <c r="G57" s="595">
        <v>0</v>
      </c>
      <c r="H57" s="595">
        <v>0</v>
      </c>
      <c r="I57" s="595">
        <v>0</v>
      </c>
    </row>
    <row r="58" spans="1:9" s="1" customFormat="1" ht="15.75">
      <c r="A58" s="14" t="s">
        <v>9</v>
      </c>
      <c r="B58" s="70" t="s">
        <v>8</v>
      </c>
      <c r="C58" s="925">
        <v>2564</v>
      </c>
      <c r="D58" s="4">
        <f t="shared" si="0"/>
        <v>230.76</v>
      </c>
      <c r="E58" s="4">
        <f t="shared" si="1"/>
        <v>230.76</v>
      </c>
      <c r="F58" s="4">
        <v>0</v>
      </c>
      <c r="G58" s="595">
        <v>0</v>
      </c>
      <c r="H58" s="595">
        <v>0</v>
      </c>
      <c r="I58" s="595">
        <v>0</v>
      </c>
    </row>
    <row r="59" spans="1:9" s="1" customFormat="1" ht="15.75">
      <c r="A59" s="13" t="s">
        <v>7</v>
      </c>
      <c r="B59" s="70" t="s">
        <v>6</v>
      </c>
      <c r="C59" s="925">
        <v>0</v>
      </c>
      <c r="D59" s="4">
        <f>+C59*9%</f>
        <v>0</v>
      </c>
      <c r="E59" s="4">
        <f t="shared" si="1"/>
        <v>0</v>
      </c>
      <c r="F59" s="4">
        <f t="shared" si="2"/>
        <v>0</v>
      </c>
      <c r="G59" s="595">
        <v>0</v>
      </c>
      <c r="H59" s="595">
        <v>0</v>
      </c>
      <c r="I59" s="595">
        <v>0</v>
      </c>
    </row>
    <row r="60" spans="1:9" s="1" customFormat="1" ht="15.75">
      <c r="A60" s="5" t="s">
        <v>5</v>
      </c>
      <c r="B60" s="70" t="s">
        <v>4</v>
      </c>
      <c r="C60" s="925">
        <v>0</v>
      </c>
      <c r="D60" s="4"/>
      <c r="E60" s="4"/>
      <c r="F60" s="4"/>
      <c r="G60" s="595">
        <v>0</v>
      </c>
      <c r="H60" s="595">
        <v>0</v>
      </c>
      <c r="I60" s="595">
        <v>0</v>
      </c>
    </row>
    <row r="61" spans="1:9" s="1" customFormat="1" ht="15.75">
      <c r="A61" s="434"/>
      <c r="B61" s="432" t="s">
        <v>465</v>
      </c>
      <c r="C61" s="925">
        <v>0</v>
      </c>
      <c r="D61" s="433">
        <f>+C61*0.09</f>
        <v>0</v>
      </c>
      <c r="E61" s="433">
        <f>+D61</f>
        <v>0</v>
      </c>
      <c r="F61" s="433"/>
      <c r="G61" s="595">
        <v>0</v>
      </c>
      <c r="H61" s="595">
        <v>0</v>
      </c>
      <c r="I61" s="595">
        <v>0</v>
      </c>
    </row>
    <row r="62" spans="1:9" s="1" customFormat="1" ht="16.5" thickBot="1">
      <c r="A62" s="12"/>
      <c r="B62" s="11" t="s">
        <v>3</v>
      </c>
      <c r="C62" s="10">
        <f>SUM(C9:C61)</f>
        <v>249990.14</v>
      </c>
      <c r="D62" s="10">
        <f>SUM(D9:D61)</f>
        <v>22499.112599999993</v>
      </c>
      <c r="E62" s="10">
        <f>SUM(E9:E61)</f>
        <v>22499.112599999993</v>
      </c>
      <c r="F62" s="10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9" s="1" customFormat="1" ht="16.5" thickTop="1">
      <c r="A63" s="9" t="s">
        <v>2</v>
      </c>
      <c r="B63" s="8"/>
      <c r="C63" s="7"/>
      <c r="D63" s="7"/>
      <c r="E63" s="7"/>
      <c r="F63" s="6"/>
      <c r="H63" s="32"/>
    </row>
    <row r="64" spans="1:9" s="1" customFormat="1" ht="15.75">
      <c r="A64" s="5" t="s">
        <v>1</v>
      </c>
      <c r="B64" s="43" t="s">
        <v>0</v>
      </c>
      <c r="C64" s="25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H64" s="32"/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22499.1126</v>
      </c>
      <c r="H65" s="32"/>
      <c r="I65" s="1"/>
      <c r="J65" s="1"/>
    </row>
    <row r="66" spans="1:10" ht="15.75">
      <c r="A66" s="54"/>
      <c r="B66" s="54"/>
      <c r="C66" s="54"/>
      <c r="D66" s="54"/>
      <c r="E66" s="54"/>
      <c r="F66" s="54"/>
      <c r="G66" s="1"/>
      <c r="H66" s="32"/>
      <c r="I66" s="1"/>
      <c r="J66" s="1"/>
    </row>
    <row r="67" spans="1:10" ht="15.75">
      <c r="A67" s="28"/>
      <c r="B67" s="28"/>
      <c r="C67" s="28"/>
      <c r="D67" s="28"/>
      <c r="E67" s="28"/>
      <c r="F67" s="28"/>
      <c r="G67" s="1"/>
      <c r="H67" s="32" t="s">
        <v>5</v>
      </c>
      <c r="I67" s="1"/>
      <c r="J67" s="1"/>
    </row>
    <row r="68" spans="1:10" ht="15.75">
      <c r="A68" s="29" t="s">
        <v>76</v>
      </c>
      <c r="B68" s="29"/>
      <c r="C68" s="3"/>
      <c r="D68" s="3"/>
      <c r="E68" s="3"/>
      <c r="F68" s="3"/>
      <c r="G68" s="1"/>
      <c r="H68" s="32"/>
      <c r="I68" s="1"/>
      <c r="J68" s="1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G69" s="1"/>
      <c r="H69" s="32"/>
      <c r="I69" s="1"/>
      <c r="J69" s="1"/>
    </row>
    <row r="70" spans="1:10">
      <c r="A70" s="1247"/>
      <c r="B70" s="1248"/>
      <c r="C70" s="1249"/>
      <c r="D70" s="1236"/>
      <c r="E70" s="1236"/>
      <c r="F70" s="1232"/>
      <c r="G70" s="1"/>
      <c r="H70" s="32"/>
      <c r="I70" s="1"/>
      <c r="J70" s="1"/>
    </row>
    <row r="71" spans="1:10" ht="15.75">
      <c r="A71" s="1241" t="s">
        <v>80</v>
      </c>
      <c r="B71" s="1242"/>
      <c r="C71" s="1243"/>
      <c r="D71" s="105">
        <f>+D62</f>
        <v>22499.112599999993</v>
      </c>
      <c r="E71" s="105">
        <f>+E62</f>
        <v>22499.112599999993</v>
      </c>
      <c r="F71" s="105">
        <f>+F62</f>
        <v>0</v>
      </c>
      <c r="G71" s="1" t="s">
        <v>5</v>
      </c>
      <c r="H71" s="32"/>
      <c r="I71" s="1"/>
      <c r="J71" s="1"/>
    </row>
    <row r="72" spans="1:10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+C72*0.09</f>
        <v>0</v>
      </c>
      <c r="F72" s="106">
        <v>0</v>
      </c>
      <c r="G72" s="1" t="s">
        <v>5</v>
      </c>
      <c r="H72" s="32"/>
      <c r="I72" s="1"/>
      <c r="J72" s="1"/>
    </row>
    <row r="73" spans="1:10" ht="15.75">
      <c r="A73" s="43"/>
      <c r="B73" s="43"/>
      <c r="C73" s="43"/>
      <c r="D73" s="105">
        <f>+D71+D72</f>
        <v>22499.112599999993</v>
      </c>
      <c r="E73" s="105">
        <f>+E71+E72</f>
        <v>22499.112599999993</v>
      </c>
      <c r="F73" s="105">
        <v>0</v>
      </c>
      <c r="G73" s="1">
        <v>0</v>
      </c>
      <c r="H73" s="32" t="s">
        <v>5</v>
      </c>
      <c r="I73" s="1"/>
      <c r="J73" s="1"/>
    </row>
    <row r="74" spans="1:10" ht="15.75">
      <c r="A74" s="1241" t="s">
        <v>104</v>
      </c>
      <c r="B74" s="1242"/>
      <c r="C74" s="1243"/>
      <c r="D74" s="108">
        <v>22500.65</v>
      </c>
      <c r="E74" s="108">
        <f>+D74</f>
        <v>22500.65</v>
      </c>
      <c r="F74" s="108">
        <v>0</v>
      </c>
      <c r="G74" s="1"/>
      <c r="H74" s="32"/>
      <c r="I74" s="1"/>
      <c r="J74" s="72">
        <v>1368</v>
      </c>
    </row>
    <row r="75" spans="1:10" ht="15.75">
      <c r="A75" s="1250" t="s">
        <v>79</v>
      </c>
      <c r="B75" s="1251"/>
      <c r="C75" s="1252"/>
      <c r="D75" s="107">
        <f>+D73-D74</f>
        <v>-1.537400000008347</v>
      </c>
      <c r="E75" s="107">
        <f>+E73-E74</f>
        <v>-1.537400000008347</v>
      </c>
      <c r="F75" s="108">
        <f>IF(F71&gt;F74,F71,F74)</f>
        <v>0</v>
      </c>
      <c r="G75" s="1">
        <f>+D75/9%</f>
        <v>-17.082222222314968</v>
      </c>
      <c r="H75" s="32"/>
      <c r="I75" s="1"/>
      <c r="J75" s="1">
        <v>104</v>
      </c>
    </row>
    <row r="76" spans="1:10" ht="15.75">
      <c r="A76" s="3"/>
      <c r="B76" s="2"/>
      <c r="C76" s="3"/>
      <c r="D76" s="3"/>
      <c r="E76" s="3"/>
      <c r="F76" s="3"/>
      <c r="G76" s="1"/>
      <c r="H76" s="32"/>
      <c r="I76" s="1"/>
      <c r="J76" s="1">
        <f>J74-J75</f>
        <v>1264</v>
      </c>
    </row>
    <row r="77" spans="1:10" ht="15.75">
      <c r="A77" s="27" t="s">
        <v>77</v>
      </c>
      <c r="B77" s="2"/>
      <c r="C77" s="3"/>
      <c r="D77" s="3"/>
      <c r="E77" s="3"/>
      <c r="F77" s="3"/>
      <c r="G77" s="1"/>
      <c r="H77" s="32"/>
      <c r="I77" s="1"/>
      <c r="J77" s="1"/>
    </row>
    <row r="78" spans="1:10" ht="15" customHeight="1">
      <c r="A78" s="1218" t="s">
        <v>65</v>
      </c>
      <c r="B78" s="1219"/>
      <c r="C78" s="1220"/>
      <c r="D78" s="1253" t="s">
        <v>70</v>
      </c>
      <c r="E78" s="1253" t="s">
        <v>71</v>
      </c>
      <c r="F78" s="1234" t="s">
        <v>72</v>
      </c>
      <c r="G78" s="1"/>
      <c r="H78" s="32"/>
      <c r="I78" s="1"/>
      <c r="J78" s="1"/>
    </row>
    <row r="79" spans="1:10" ht="15" customHeight="1">
      <c r="A79" s="1221"/>
      <c r="B79" s="1222"/>
      <c r="C79" s="1223"/>
      <c r="D79" s="1254" t="s">
        <v>67</v>
      </c>
      <c r="E79" s="1254"/>
      <c r="F79" s="1235"/>
      <c r="G79" s="1"/>
      <c r="H79" s="32"/>
      <c r="I79" s="1"/>
      <c r="J79" s="1"/>
    </row>
    <row r="80" spans="1:10">
      <c r="A80" s="1225"/>
      <c r="B80" s="1226"/>
      <c r="C80" s="1227"/>
      <c r="D80" s="42"/>
      <c r="E80" s="42"/>
      <c r="F80" s="42"/>
      <c r="G80" s="32"/>
      <c r="H80" s="32"/>
      <c r="I80" s="32"/>
      <c r="J80" s="1"/>
    </row>
    <row r="81" spans="1:12" ht="15.75">
      <c r="A81" s="1216" t="s">
        <v>69</v>
      </c>
      <c r="B81" s="1216"/>
      <c r="C81" s="1216"/>
      <c r="D81" s="108">
        <v>2534.2199999999998</v>
      </c>
      <c r="E81" s="108">
        <f>+D81</f>
        <v>2534.2199999999998</v>
      </c>
      <c r="F81" s="58">
        <v>0</v>
      </c>
      <c r="G81" s="32">
        <f t="shared" ref="G81:I83" si="4">+D81/2</f>
        <v>1267.1099999999999</v>
      </c>
      <c r="H81" s="32">
        <f t="shared" si="4"/>
        <v>1267.1099999999999</v>
      </c>
      <c r="I81" s="32">
        <f t="shared" si="4"/>
        <v>0</v>
      </c>
      <c r="J81" s="1"/>
      <c r="L81" s="1">
        <v>0</v>
      </c>
    </row>
    <row r="82" spans="1:12" ht="15.75">
      <c r="A82" s="1224" t="s">
        <v>83</v>
      </c>
      <c r="B82" s="1224"/>
      <c r="C82" s="1224"/>
      <c r="D82" s="105">
        <f>+C90</f>
        <v>29.61</v>
      </c>
      <c r="E82" s="105">
        <f>D82</f>
        <v>29.61</v>
      </c>
      <c r="F82" s="56">
        <f>+E90</f>
        <v>0</v>
      </c>
      <c r="G82" s="32">
        <f t="shared" si="4"/>
        <v>14.805</v>
      </c>
      <c r="H82" s="32">
        <f t="shared" si="4"/>
        <v>14.805</v>
      </c>
      <c r="I82" s="32">
        <f t="shared" si="4"/>
        <v>0</v>
      </c>
      <c r="J82" s="1"/>
    </row>
    <row r="83" spans="1:12" ht="15.75">
      <c r="A83" s="1215" t="s">
        <v>82</v>
      </c>
      <c r="B83" s="1215"/>
      <c r="C83" s="1215"/>
      <c r="D83" s="105">
        <f>+D81-D82</f>
        <v>2504.6099999999997</v>
      </c>
      <c r="E83" s="105">
        <f>+E81-E82</f>
        <v>2504.6099999999997</v>
      </c>
      <c r="F83" s="56">
        <f>+F81-F82</f>
        <v>0</v>
      </c>
      <c r="G83" s="32">
        <f t="shared" si="4"/>
        <v>1252.3049999999998</v>
      </c>
      <c r="H83" s="32">
        <f t="shared" si="4"/>
        <v>1252.3049999999998</v>
      </c>
      <c r="I83" s="32">
        <f t="shared" si="4"/>
        <v>0</v>
      </c>
      <c r="J83" s="1"/>
    </row>
    <row r="84" spans="1:12">
      <c r="A84" s="1"/>
      <c r="B84" s="1"/>
      <c r="C84" s="1"/>
      <c r="D84" s="1"/>
      <c r="E84" s="1"/>
      <c r="F84" s="1"/>
      <c r="G84" s="1"/>
      <c r="H84" s="32"/>
      <c r="I84" s="1"/>
      <c r="J84" s="1"/>
    </row>
    <row r="85" spans="1:12">
      <c r="A85" s="74"/>
      <c r="B85" s="1"/>
      <c r="C85" s="1"/>
      <c r="D85" s="1"/>
      <c r="E85" s="1"/>
      <c r="F85" s="1"/>
      <c r="G85" s="440"/>
      <c r="H85" s="32"/>
      <c r="I85" s="1"/>
      <c r="J85" s="1"/>
    </row>
    <row r="86" spans="1:12">
      <c r="A86" s="1"/>
      <c r="B86" s="145" t="s">
        <v>306</v>
      </c>
      <c r="C86" s="112"/>
      <c r="D86" s="112"/>
      <c r="E86" s="112"/>
      <c r="F86" s="1"/>
      <c r="G86" s="1"/>
      <c r="H86" s="32"/>
      <c r="I86" s="1"/>
      <c r="J86" s="1"/>
    </row>
    <row r="87" spans="1:12">
      <c r="A87" s="1"/>
      <c r="B87" s="141" t="s">
        <v>322</v>
      </c>
      <c r="C87" s="1177" t="s">
        <v>89</v>
      </c>
      <c r="D87" s="1177" t="s">
        <v>67</v>
      </c>
      <c r="E87" s="1177" t="s">
        <v>68</v>
      </c>
      <c r="F87" s="1"/>
      <c r="G87" s="1"/>
      <c r="H87" s="32"/>
      <c r="I87" s="1"/>
      <c r="J87" s="1"/>
    </row>
    <row r="88" spans="1:12">
      <c r="A88" s="1"/>
      <c r="B88" s="486" t="s">
        <v>102</v>
      </c>
      <c r="C88" s="1188">
        <v>29.61</v>
      </c>
      <c r="D88" s="1188">
        <f>+C88</f>
        <v>29.61</v>
      </c>
      <c r="E88" s="1188"/>
      <c r="F88" s="1"/>
      <c r="G88" s="1"/>
      <c r="H88" s="32"/>
      <c r="I88" s="1"/>
      <c r="J88" s="1"/>
    </row>
    <row r="89" spans="1:12">
      <c r="A89" s="1"/>
      <c r="B89" s="486" t="s">
        <v>102</v>
      </c>
      <c r="C89" s="1187"/>
      <c r="D89" s="1187">
        <f>+C89</f>
        <v>0</v>
      </c>
      <c r="E89" s="1187"/>
      <c r="F89" s="1"/>
      <c r="G89" s="1"/>
      <c r="H89" s="32"/>
      <c r="I89" s="1"/>
      <c r="J89" s="1"/>
    </row>
    <row r="90" spans="1:12" ht="15.75" thickBot="1">
      <c r="A90" s="1"/>
      <c r="B90" s="145" t="s">
        <v>135</v>
      </c>
      <c r="C90" s="418">
        <f>SUM(C88:C88)</f>
        <v>29.61</v>
      </c>
      <c r="D90" s="418">
        <f>SUM(D88:D88)</f>
        <v>29.61</v>
      </c>
      <c r="E90" s="418">
        <f>SUM(E88:E88)</f>
        <v>0</v>
      </c>
      <c r="F90" s="1"/>
      <c r="G90" s="1"/>
      <c r="H90" s="32"/>
      <c r="I90" s="1"/>
      <c r="J90" s="1"/>
    </row>
    <row r="91" spans="1:12" ht="15.75" thickTop="1">
      <c r="A91" s="1"/>
      <c r="B91" s="174"/>
      <c r="C91" s="76"/>
      <c r="D91" s="76"/>
      <c r="E91" s="1"/>
      <c r="F91" s="1"/>
      <c r="G91" s="1"/>
      <c r="H91" s="32"/>
      <c r="I91" s="1"/>
      <c r="J91" s="1"/>
    </row>
    <row r="92" spans="1:12">
      <c r="A92" s="1"/>
      <c r="B92" s="1"/>
      <c r="C92" s="1"/>
      <c r="D92" s="1"/>
      <c r="E92" s="1"/>
      <c r="F92" s="1"/>
      <c r="G92" s="1"/>
      <c r="H92" s="32"/>
      <c r="I92" s="1"/>
      <c r="J92" s="1"/>
    </row>
    <row r="93" spans="1:12">
      <c r="A93" s="1"/>
      <c r="B93" s="1"/>
      <c r="C93" s="1"/>
      <c r="D93" s="1"/>
      <c r="E93" s="1"/>
      <c r="F93" s="1"/>
      <c r="G93" s="1"/>
      <c r="H93" s="32"/>
      <c r="I93" s="1"/>
      <c r="J93" s="1"/>
    </row>
  </sheetData>
  <mergeCells count="27">
    <mergeCell ref="A80:C80"/>
    <mergeCell ref="G7:G8"/>
    <mergeCell ref="H7:H8"/>
    <mergeCell ref="I7:I8"/>
    <mergeCell ref="A74:C74"/>
    <mergeCell ref="A75:C75"/>
    <mergeCell ref="A69:C70"/>
    <mergeCell ref="D69:D70"/>
    <mergeCell ref="E69:E70"/>
    <mergeCell ref="F69:F70"/>
    <mergeCell ref="A71:C71"/>
    <mergeCell ref="A81:C81"/>
    <mergeCell ref="A82:C82"/>
    <mergeCell ref="A83:C83"/>
    <mergeCell ref="F78:F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8:C79"/>
    <mergeCell ref="D78:D79"/>
    <mergeCell ref="E78:E79"/>
  </mergeCells>
  <conditionalFormatting sqref="A9:B21 G81:XFD93 K94:XFD1048576">
    <cfRule type="containsText" dxfId="344" priority="30" operator="containsText" text="LESS COLLECTED">
      <formula>NOT(ISERROR(SEARCH("LESS COLLECTED",A9)))</formula>
    </cfRule>
  </conditionalFormatting>
  <conditionalFormatting sqref="A22:B34">
    <cfRule type="containsText" dxfId="343" priority="43" operator="containsText" text="LESS COLLECTED">
      <formula>NOT(ISERROR(SEARCH("LESS COLLECTED",A22)))</formula>
    </cfRule>
  </conditionalFormatting>
  <conditionalFormatting sqref="A28:B32">
    <cfRule type="containsText" dxfId="342" priority="42" operator="containsText" text="EXCESS COLLECTED">
      <formula>NOT(ISERROR(SEARCH("EXCESS COLLECTED",A28)))</formula>
    </cfRule>
  </conditionalFormatting>
  <conditionalFormatting sqref="A35:B56">
    <cfRule type="containsText" dxfId="341" priority="8" operator="containsText" text="LESS COLLECTED">
      <formula>NOT(ISERROR(SEARCH("LESS COLLECTED",A35)))</formula>
    </cfRule>
  </conditionalFormatting>
  <conditionalFormatting sqref="A47:B56">
    <cfRule type="containsText" dxfId="340" priority="7" operator="containsText" text="EXCESS COLLECTED">
      <formula>NOT(ISERROR(SEARCH("EXCESS COLLECTED",A47)))</formula>
    </cfRule>
  </conditionalFormatting>
  <conditionalFormatting sqref="A57:B61 A62:F65">
    <cfRule type="containsText" dxfId="339" priority="47" operator="containsText" text="LESS COLLECTED">
      <formula>NOT(ISERROR(SEARCH("LESS COLLECTED",A57)))</formula>
    </cfRule>
  </conditionalFormatting>
  <conditionalFormatting sqref="A66:F73 A82:F93">
    <cfRule type="containsText" dxfId="338" priority="226" operator="containsText" text="LESS COLLECTED">
      <formula>NOT(ISERROR(SEARCH("LESS COLLECTED",A66)))</formula>
    </cfRule>
  </conditionalFormatting>
  <conditionalFormatting sqref="A74:F81">
    <cfRule type="containsText" dxfId="337" priority="2" operator="containsText" text="LESS COLLECTED">
      <formula>NOT(ISERROR(SEARCH("LESS COLLECTED",A74)))</formula>
    </cfRule>
  </conditionalFormatting>
  <conditionalFormatting sqref="A1:XFD6 A7:F8 J7:XFD62 H74:XFD74 G75:XFD79 H80:XFD80">
    <cfRule type="containsText" dxfId="336" priority="237" operator="containsText" text="LESS COLLECTED">
      <formula>NOT(ISERROR(SEARCH("LESS COLLECTED",A1)))</formula>
    </cfRule>
  </conditionalFormatting>
  <conditionalFormatting sqref="B61">
    <cfRule type="containsText" dxfId="335" priority="46" operator="containsText" text="EXCESS COLLECTED">
      <formula>NOT(ISERROR(SEARCH("EXCESS COLLECTED",B61)))</formula>
    </cfRule>
  </conditionalFormatting>
  <conditionalFormatting sqref="C9:I42">
    <cfRule type="containsText" dxfId="334" priority="1" operator="containsText" text="LESS COLLECTED">
      <formula>NOT(ISERROR(SEARCH("LESS COLLECTED",C9)))</formula>
    </cfRule>
  </conditionalFormatting>
  <conditionalFormatting sqref="C43:I57">
    <cfRule type="containsText" dxfId="333" priority="10" operator="containsText" text="LESS COLLECTED">
      <formula>NOT(ISERROR(SEARCH("LESS COLLECTED",C43)))</formula>
    </cfRule>
  </conditionalFormatting>
  <conditionalFormatting sqref="C58:I62">
    <cfRule type="containsText" dxfId="332" priority="3" operator="containsText" text="LESS COLLECTED">
      <formula>NOT(ISERROR(SEARCH("LESS COLLECTED",C58)))</formula>
    </cfRule>
  </conditionalFormatting>
  <conditionalFormatting sqref="D69:E70 A72:F73 A85 C90:E90 B86:D91">
    <cfRule type="containsText" dxfId="331" priority="225" operator="containsText" text="EXCESS COLLECTED">
      <formula>NOT(ISERROR(SEARCH("EXCESS COLLECTED",A69)))</formula>
    </cfRule>
  </conditionalFormatting>
  <conditionalFormatting sqref="D48:F56">
    <cfRule type="containsText" dxfId="330" priority="9" operator="containsText" text="EXCESS COLLECTED">
      <formula>NOT(ISERROR(SEARCH("EXCESS COLLECTED",D48)))</formula>
    </cfRule>
  </conditionalFormatting>
  <conditionalFormatting sqref="G7:I7">
    <cfRule type="containsText" dxfId="329" priority="57" operator="containsText" text="LESS COLLECTED">
      <formula>NOT(ISERROR(SEARCH("LESS COLLECTED",G7)))</formula>
    </cfRule>
  </conditionalFormatting>
  <pageMargins left="0.90551181102362199" right="0.86811023600000004" top="0" bottom="0" header="0.31496062992126" footer="0.31496062992126"/>
  <pageSetup paperSize="9" scale="59" orientation="portrait" r:id="rId1"/>
  <ignoredErrors>
    <ignoredError sqref="E82 D51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rgb="FF00B0F0"/>
  </sheetPr>
  <dimension ref="A1:O98"/>
  <sheetViews>
    <sheetView topLeftCell="A71" zoomScaleNormal="100" workbookViewId="0">
      <selection activeCell="D74" sqref="D74"/>
    </sheetView>
  </sheetViews>
  <sheetFormatPr defaultColWidth="9.140625" defaultRowHeight="15"/>
  <cols>
    <col min="1" max="1" width="15" customWidth="1"/>
    <col min="2" max="2" width="54.28515625" customWidth="1"/>
    <col min="3" max="3" width="20" bestFit="1" customWidth="1"/>
    <col min="4" max="4" width="15.5703125" bestFit="1" customWidth="1"/>
    <col min="5" max="5" width="15.42578125" bestFit="1" customWidth="1"/>
    <col min="6" max="6" width="14.5703125" bestFit="1" customWidth="1"/>
    <col min="7" max="7" width="12.7109375" customWidth="1"/>
    <col min="8" max="9" width="12.140625" customWidth="1"/>
    <col min="10" max="10" width="15.140625" customWidth="1"/>
    <col min="15" max="15" width="1.42578125" bestFit="1" customWidth="1"/>
  </cols>
  <sheetData>
    <row r="1" spans="1:10" s="256" customFormat="1" ht="15.75">
      <c r="A1" s="1229" t="s">
        <v>73</v>
      </c>
      <c r="B1" s="1229"/>
      <c r="C1" s="1229"/>
      <c r="D1" s="1229"/>
      <c r="E1" s="1229"/>
      <c r="F1" s="1229"/>
      <c r="H1" s="255"/>
    </row>
    <row r="2" spans="1:10" s="256" customFormat="1" ht="12">
      <c r="A2" s="257"/>
      <c r="B2" s="257"/>
      <c r="C2" s="257"/>
      <c r="D2" s="257"/>
      <c r="E2" s="257"/>
      <c r="F2" s="257"/>
      <c r="H2" s="255"/>
    </row>
    <row r="3" spans="1:10" s="256" customFormat="1" ht="15.75">
      <c r="A3" s="1229" t="s">
        <v>95</v>
      </c>
      <c r="B3" s="1229"/>
      <c r="C3" s="1229"/>
      <c r="D3" s="1229"/>
      <c r="E3" s="1229"/>
      <c r="F3" s="1229"/>
      <c r="G3" s="260"/>
      <c r="H3" s="261"/>
      <c r="I3" s="260"/>
      <c r="J3" s="260"/>
    </row>
    <row r="4" spans="1:10" s="256" customFormat="1" ht="15.75">
      <c r="A4" s="1229" t="s">
        <v>370</v>
      </c>
      <c r="B4" s="1229"/>
      <c r="C4" s="1229"/>
      <c r="D4" s="1229"/>
      <c r="E4" s="1229"/>
      <c r="F4" s="1229"/>
      <c r="G4" s="260"/>
      <c r="H4" s="261"/>
      <c r="I4" s="260"/>
      <c r="J4" s="260"/>
    </row>
    <row r="5" spans="1:10" s="256" customFormat="1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G5" s="260"/>
      <c r="H5" s="261"/>
      <c r="I5" s="260"/>
      <c r="J5" s="260" t="s">
        <v>74</v>
      </c>
    </row>
    <row r="6" spans="1:10" s="256" customFormat="1" ht="15.75">
      <c r="A6" s="24" t="s">
        <v>5</v>
      </c>
      <c r="B6" s="3"/>
      <c r="C6" s="23"/>
      <c r="D6" s="1230"/>
      <c r="E6" s="1230"/>
      <c r="F6" s="3"/>
      <c r="G6" s="260"/>
      <c r="H6" s="261"/>
      <c r="I6" s="260"/>
      <c r="J6" s="260"/>
    </row>
    <row r="7" spans="1:10" s="256" customFormat="1" ht="15.75">
      <c r="A7" s="46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97" t="s">
        <v>383</v>
      </c>
      <c r="H7" s="1298" t="s">
        <v>384</v>
      </c>
      <c r="I7" s="1297" t="s">
        <v>387</v>
      </c>
      <c r="J7" s="260"/>
    </row>
    <row r="8" spans="1:10" s="256" customFormat="1" ht="15.75">
      <c r="A8" s="48" t="s">
        <v>63</v>
      </c>
      <c r="B8" s="1232"/>
      <c r="C8" s="19" t="s">
        <v>62</v>
      </c>
      <c r="D8" s="1232"/>
      <c r="E8" s="1232"/>
      <c r="F8" s="1232"/>
      <c r="G8" s="1297"/>
      <c r="H8" s="1298"/>
      <c r="I8" s="1297"/>
      <c r="J8" s="260"/>
    </row>
    <row r="9" spans="1:10" s="256" customFormat="1" ht="15.75">
      <c r="A9" s="823">
        <v>3303</v>
      </c>
      <c r="B9" s="824" t="s">
        <v>609</v>
      </c>
      <c r="C9" s="926">
        <v>0</v>
      </c>
      <c r="D9" s="826">
        <f t="shared" ref="D9:D20" si="0">+C9*9%</f>
        <v>0</v>
      </c>
      <c r="E9" s="826">
        <f>+D9</f>
        <v>0</v>
      </c>
      <c r="F9" s="826">
        <f>IF(D9&gt;0," ",C9*18%)</f>
        <v>0</v>
      </c>
      <c r="G9" s="927">
        <v>0</v>
      </c>
      <c r="H9" s="927">
        <v>0</v>
      </c>
      <c r="I9" s="927">
        <v>0</v>
      </c>
      <c r="J9" s="260"/>
    </row>
    <row r="10" spans="1:10" s="256" customFormat="1" ht="15.75">
      <c r="A10" s="823" t="s">
        <v>87</v>
      </c>
      <c r="B10" s="824" t="s">
        <v>61</v>
      </c>
      <c r="C10" s="926">
        <v>0</v>
      </c>
      <c r="D10" s="826">
        <f t="shared" si="0"/>
        <v>0</v>
      </c>
      <c r="E10" s="826">
        <f>+D10</f>
        <v>0</v>
      </c>
      <c r="F10" s="826">
        <f>IF(D10&gt;0," ",C10*18%)</f>
        <v>0</v>
      </c>
      <c r="G10" s="927">
        <v>0</v>
      </c>
      <c r="H10" s="927">
        <v>0</v>
      </c>
      <c r="I10" s="927">
        <v>0</v>
      </c>
      <c r="J10" s="260"/>
    </row>
    <row r="11" spans="1:10" s="256" customFormat="1" ht="15.75">
      <c r="A11" s="1170" t="s">
        <v>60</v>
      </c>
      <c r="B11" s="1171" t="s">
        <v>59</v>
      </c>
      <c r="C11" s="926">
        <v>50</v>
      </c>
      <c r="D11" s="826">
        <f t="shared" si="0"/>
        <v>4.5</v>
      </c>
      <c r="E11" s="826">
        <f t="shared" ref="E11:E59" si="1">+D11</f>
        <v>4.5</v>
      </c>
      <c r="F11" s="826" t="str">
        <f t="shared" ref="F11:F59" si="2">IF(D11&gt;0," ",C11*18%)</f>
        <v xml:space="preserve"> </v>
      </c>
      <c r="G11" s="927">
        <v>0</v>
      </c>
      <c r="H11" s="927">
        <v>0</v>
      </c>
      <c r="I11" s="927">
        <v>0</v>
      </c>
      <c r="J11" s="260"/>
    </row>
    <row r="12" spans="1:10" s="256" customFormat="1" ht="15.75">
      <c r="A12" s="1172" t="s">
        <v>58</v>
      </c>
      <c r="B12" s="1171" t="s">
        <v>57</v>
      </c>
      <c r="C12" s="926"/>
      <c r="D12" s="826">
        <f t="shared" si="0"/>
        <v>0</v>
      </c>
      <c r="E12" s="826">
        <f t="shared" si="1"/>
        <v>0</v>
      </c>
      <c r="F12" s="826">
        <f t="shared" si="2"/>
        <v>0</v>
      </c>
      <c r="G12" s="927">
        <v>0</v>
      </c>
      <c r="H12" s="927">
        <v>0</v>
      </c>
      <c r="I12" s="927">
        <v>0</v>
      </c>
      <c r="J12" s="260"/>
    </row>
    <row r="13" spans="1:10" s="256" customFormat="1" ht="15.75">
      <c r="A13" s="1170" t="s">
        <v>56</v>
      </c>
      <c r="B13" s="1171" t="s">
        <v>55</v>
      </c>
      <c r="C13" s="926"/>
      <c r="D13" s="826">
        <f t="shared" si="0"/>
        <v>0</v>
      </c>
      <c r="E13" s="826">
        <f t="shared" si="1"/>
        <v>0</v>
      </c>
      <c r="F13" s="826">
        <f t="shared" si="2"/>
        <v>0</v>
      </c>
      <c r="G13" s="927">
        <v>0</v>
      </c>
      <c r="H13" s="927">
        <v>0</v>
      </c>
      <c r="I13" s="927">
        <v>0</v>
      </c>
      <c r="J13" s="260"/>
    </row>
    <row r="14" spans="1:10" s="256" customFormat="1" ht="15.75">
      <c r="A14" s="1170" t="s">
        <v>54</v>
      </c>
      <c r="B14" s="1171" t="s">
        <v>53</v>
      </c>
      <c r="C14" s="926">
        <f>126-126</f>
        <v>0</v>
      </c>
      <c r="D14" s="826">
        <f t="shared" si="0"/>
        <v>0</v>
      </c>
      <c r="E14" s="826">
        <f t="shared" si="1"/>
        <v>0</v>
      </c>
      <c r="F14" s="826">
        <f t="shared" si="2"/>
        <v>0</v>
      </c>
      <c r="G14" s="927">
        <v>0</v>
      </c>
      <c r="H14" s="927">
        <v>0</v>
      </c>
      <c r="I14" s="927">
        <v>0</v>
      </c>
      <c r="J14" s="260"/>
    </row>
    <row r="15" spans="1:10" s="256" customFormat="1" ht="15.75">
      <c r="A15" s="1170" t="s">
        <v>52</v>
      </c>
      <c r="B15" s="1171" t="s">
        <v>51</v>
      </c>
      <c r="C15" s="926"/>
      <c r="D15" s="826">
        <f t="shared" si="0"/>
        <v>0</v>
      </c>
      <c r="E15" s="826">
        <f t="shared" si="1"/>
        <v>0</v>
      </c>
      <c r="F15" s="826">
        <f t="shared" si="2"/>
        <v>0</v>
      </c>
      <c r="G15" s="927">
        <v>0</v>
      </c>
      <c r="H15" s="927">
        <v>0</v>
      </c>
      <c r="I15" s="927">
        <v>0</v>
      </c>
      <c r="J15" s="260"/>
    </row>
    <row r="16" spans="1:10" s="256" customFormat="1" ht="15.75">
      <c r="A16" s="1172" t="s">
        <v>50</v>
      </c>
      <c r="B16" s="1171" t="s">
        <v>49</v>
      </c>
      <c r="C16" s="926"/>
      <c r="D16" s="826">
        <f t="shared" si="0"/>
        <v>0</v>
      </c>
      <c r="E16" s="826">
        <f t="shared" si="1"/>
        <v>0</v>
      </c>
      <c r="F16" s="826">
        <f t="shared" si="2"/>
        <v>0</v>
      </c>
      <c r="G16" s="927">
        <v>0</v>
      </c>
      <c r="H16" s="927">
        <v>0</v>
      </c>
      <c r="I16" s="927">
        <v>0</v>
      </c>
      <c r="J16" s="260"/>
    </row>
    <row r="17" spans="1:15" s="256" customFormat="1" ht="15.75">
      <c r="A17" s="1172" t="s">
        <v>48</v>
      </c>
      <c r="B17" s="1171" t="s">
        <v>47</v>
      </c>
      <c r="C17" s="926"/>
      <c r="D17" s="826">
        <f t="shared" si="0"/>
        <v>0</v>
      </c>
      <c r="E17" s="826">
        <f t="shared" si="1"/>
        <v>0</v>
      </c>
      <c r="F17" s="826">
        <f t="shared" si="2"/>
        <v>0</v>
      </c>
      <c r="G17" s="927">
        <v>0</v>
      </c>
      <c r="H17" s="927">
        <v>0</v>
      </c>
      <c r="I17" s="927">
        <v>0</v>
      </c>
      <c r="J17" s="260"/>
    </row>
    <row r="18" spans="1:15" s="256" customFormat="1" ht="15.75">
      <c r="A18" s="1172" t="s">
        <v>46</v>
      </c>
      <c r="B18" s="1171" t="s">
        <v>45</v>
      </c>
      <c r="C18" s="926"/>
      <c r="D18" s="826">
        <f t="shared" si="0"/>
        <v>0</v>
      </c>
      <c r="E18" s="826">
        <f t="shared" si="1"/>
        <v>0</v>
      </c>
      <c r="F18" s="826">
        <f t="shared" si="2"/>
        <v>0</v>
      </c>
      <c r="G18" s="927">
        <v>0</v>
      </c>
      <c r="H18" s="927">
        <v>0</v>
      </c>
      <c r="I18" s="927">
        <v>0</v>
      </c>
      <c r="J18" s="260"/>
    </row>
    <row r="19" spans="1:15" s="256" customFormat="1" ht="15.75">
      <c r="A19" s="1170" t="s">
        <v>44</v>
      </c>
      <c r="B19" s="1171" t="s">
        <v>43</v>
      </c>
      <c r="C19" s="926">
        <v>17337.5</v>
      </c>
      <c r="D19" s="826">
        <f t="shared" si="0"/>
        <v>1560.375</v>
      </c>
      <c r="E19" s="826">
        <f t="shared" si="1"/>
        <v>1560.375</v>
      </c>
      <c r="F19" s="826" t="str">
        <f t="shared" si="2"/>
        <v xml:space="preserve"> </v>
      </c>
      <c r="G19" s="927">
        <v>0</v>
      </c>
      <c r="H19" s="927">
        <v>0</v>
      </c>
      <c r="I19" s="927">
        <v>0</v>
      </c>
      <c r="J19" s="260"/>
      <c r="K19" s="256" t="s">
        <v>5</v>
      </c>
    </row>
    <row r="20" spans="1:15" s="256" customFormat="1" ht="15.75">
      <c r="A20" s="1170">
        <v>3271</v>
      </c>
      <c r="B20" s="1171" t="s">
        <v>533</v>
      </c>
      <c r="C20" s="926">
        <v>3230</v>
      </c>
      <c r="D20" s="826">
        <f t="shared" si="0"/>
        <v>290.7</v>
      </c>
      <c r="E20" s="826">
        <f t="shared" si="1"/>
        <v>290.7</v>
      </c>
      <c r="F20" s="826" t="str">
        <f t="shared" si="2"/>
        <v xml:space="preserve"> </v>
      </c>
      <c r="G20" s="927">
        <v>0</v>
      </c>
      <c r="H20" s="927">
        <v>0</v>
      </c>
      <c r="I20" s="927">
        <v>0</v>
      </c>
      <c r="J20" s="260"/>
    </row>
    <row r="21" spans="1:15" s="256" customFormat="1" ht="15.75">
      <c r="A21" s="1170">
        <v>3274</v>
      </c>
      <c r="B21" s="1171" t="s">
        <v>554</v>
      </c>
      <c r="C21" s="926"/>
      <c r="D21" s="826"/>
      <c r="E21" s="826"/>
      <c r="F21" s="826">
        <f t="shared" si="2"/>
        <v>0</v>
      </c>
      <c r="G21" s="927">
        <v>0</v>
      </c>
      <c r="H21" s="927">
        <v>0</v>
      </c>
      <c r="I21" s="927">
        <v>0</v>
      </c>
      <c r="J21" s="260"/>
    </row>
    <row r="22" spans="1:15" s="256" customFormat="1" ht="15.75">
      <c r="A22" s="827" t="s">
        <v>42</v>
      </c>
      <c r="B22" s="1171" t="s">
        <v>41</v>
      </c>
      <c r="C22" s="926"/>
      <c r="D22" s="826">
        <f t="shared" ref="D22:D28" si="3">+C22*9%</f>
        <v>0</v>
      </c>
      <c r="E22" s="826">
        <f t="shared" si="1"/>
        <v>0</v>
      </c>
      <c r="F22" s="826">
        <f t="shared" si="2"/>
        <v>0</v>
      </c>
      <c r="G22" s="927">
        <v>0</v>
      </c>
      <c r="H22" s="927">
        <v>0</v>
      </c>
      <c r="I22" s="927">
        <v>0</v>
      </c>
      <c r="J22" s="260"/>
      <c r="O22" s="256" t="s">
        <v>5</v>
      </c>
    </row>
    <row r="23" spans="1:15" s="256" customFormat="1" ht="15.75">
      <c r="A23" s="1172" t="s">
        <v>40</v>
      </c>
      <c r="B23" s="1171" t="s">
        <v>39</v>
      </c>
      <c r="C23" s="926"/>
      <c r="D23" s="826">
        <f t="shared" si="3"/>
        <v>0</v>
      </c>
      <c r="E23" s="826">
        <f t="shared" si="1"/>
        <v>0</v>
      </c>
      <c r="F23" s="826">
        <f t="shared" si="2"/>
        <v>0</v>
      </c>
      <c r="G23" s="927">
        <v>0</v>
      </c>
      <c r="H23" s="927">
        <v>0</v>
      </c>
      <c r="I23" s="927">
        <v>0</v>
      </c>
      <c r="J23" s="260"/>
    </row>
    <row r="24" spans="1:15" s="256" customFormat="1" ht="15.75">
      <c r="A24" s="1172" t="s">
        <v>38</v>
      </c>
      <c r="B24" s="1171" t="s">
        <v>37</v>
      </c>
      <c r="C24" s="926"/>
      <c r="D24" s="826">
        <f t="shared" si="3"/>
        <v>0</v>
      </c>
      <c r="E24" s="826">
        <f t="shared" si="1"/>
        <v>0</v>
      </c>
      <c r="F24" s="826">
        <f t="shared" si="2"/>
        <v>0</v>
      </c>
      <c r="G24" s="927">
        <v>0</v>
      </c>
      <c r="H24" s="927">
        <v>0</v>
      </c>
      <c r="I24" s="927">
        <v>0</v>
      </c>
      <c r="J24" s="260"/>
    </row>
    <row r="25" spans="1:15" s="256" customFormat="1" ht="15.75">
      <c r="A25" s="825" t="s">
        <v>36</v>
      </c>
      <c r="B25" s="1171" t="s">
        <v>35</v>
      </c>
      <c r="C25" s="926"/>
      <c r="D25" s="826">
        <f t="shared" si="3"/>
        <v>0</v>
      </c>
      <c r="E25" s="826">
        <f t="shared" si="1"/>
        <v>0</v>
      </c>
      <c r="F25" s="826">
        <f t="shared" si="2"/>
        <v>0</v>
      </c>
      <c r="G25" s="927">
        <v>0</v>
      </c>
      <c r="H25" s="927">
        <v>0</v>
      </c>
      <c r="I25" s="927">
        <v>0</v>
      </c>
      <c r="J25" s="260"/>
    </row>
    <row r="26" spans="1:15" s="256" customFormat="1" ht="15.75">
      <c r="A26" s="825" t="s">
        <v>34</v>
      </c>
      <c r="B26" s="1171" t="s">
        <v>33</v>
      </c>
      <c r="C26" s="926"/>
      <c r="D26" s="826">
        <f t="shared" si="3"/>
        <v>0</v>
      </c>
      <c r="E26" s="826">
        <f t="shared" si="1"/>
        <v>0</v>
      </c>
      <c r="F26" s="826">
        <f t="shared" si="2"/>
        <v>0</v>
      </c>
      <c r="G26" s="927">
        <v>0</v>
      </c>
      <c r="H26" s="927">
        <v>0</v>
      </c>
      <c r="I26" s="927">
        <v>0</v>
      </c>
      <c r="J26" s="260"/>
    </row>
    <row r="27" spans="1:15" s="256" customFormat="1" ht="15.75">
      <c r="A27" s="825" t="s">
        <v>32</v>
      </c>
      <c r="B27" s="1171" t="s">
        <v>31</v>
      </c>
      <c r="C27" s="926"/>
      <c r="D27" s="826">
        <f t="shared" si="3"/>
        <v>0</v>
      </c>
      <c r="E27" s="826">
        <f t="shared" si="1"/>
        <v>0</v>
      </c>
      <c r="F27" s="826">
        <f t="shared" si="2"/>
        <v>0</v>
      </c>
      <c r="G27" s="927">
        <v>0</v>
      </c>
      <c r="H27" s="927">
        <v>0</v>
      </c>
      <c r="I27" s="927">
        <v>0</v>
      </c>
      <c r="J27" s="260"/>
    </row>
    <row r="28" spans="1:15" s="256" customFormat="1" ht="15.75">
      <c r="A28" s="828">
        <v>3291</v>
      </c>
      <c r="B28" s="1171" t="s">
        <v>325</v>
      </c>
      <c r="C28" s="926"/>
      <c r="D28" s="826">
        <f t="shared" si="3"/>
        <v>0</v>
      </c>
      <c r="E28" s="826">
        <f>+D28</f>
        <v>0</v>
      </c>
      <c r="F28" s="826">
        <f t="shared" si="2"/>
        <v>0</v>
      </c>
      <c r="G28" s="927">
        <v>0</v>
      </c>
      <c r="H28" s="927">
        <v>0</v>
      </c>
      <c r="I28" s="927">
        <v>0</v>
      </c>
      <c r="J28" s="260"/>
    </row>
    <row r="29" spans="1:15" s="256" customFormat="1" ht="15.75">
      <c r="A29" s="828" t="s">
        <v>526</v>
      </c>
      <c r="B29" s="1171" t="s">
        <v>523</v>
      </c>
      <c r="C29" s="926">
        <v>2375</v>
      </c>
      <c r="D29" s="826">
        <f>+C29*0.09</f>
        <v>213.75</v>
      </c>
      <c r="E29" s="826">
        <f>+D29</f>
        <v>213.75</v>
      </c>
      <c r="F29" s="826" t="str">
        <f t="shared" si="2"/>
        <v xml:space="preserve"> </v>
      </c>
      <c r="G29" s="927">
        <v>0</v>
      </c>
      <c r="H29" s="927">
        <v>0</v>
      </c>
      <c r="I29" s="927">
        <v>0</v>
      </c>
      <c r="J29" s="260"/>
    </row>
    <row r="30" spans="1:15" s="256" customFormat="1" ht="15.75">
      <c r="A30" s="828" t="s">
        <v>527</v>
      </c>
      <c r="B30" s="1171" t="s">
        <v>524</v>
      </c>
      <c r="C30" s="926">
        <f>9660-10</f>
        <v>9650</v>
      </c>
      <c r="D30" s="826">
        <f t="shared" ref="D30:D35" si="4">+C30*9%</f>
        <v>868.5</v>
      </c>
      <c r="E30" s="826">
        <f>+D30</f>
        <v>868.5</v>
      </c>
      <c r="F30" s="826" t="str">
        <f t="shared" si="2"/>
        <v xml:space="preserve"> </v>
      </c>
      <c r="G30" s="927">
        <v>10</v>
      </c>
      <c r="H30" s="927">
        <v>0</v>
      </c>
      <c r="I30" s="927">
        <v>0</v>
      </c>
      <c r="J30" s="260"/>
    </row>
    <row r="31" spans="1:15" s="256" customFormat="1" ht="15.75">
      <c r="A31" s="828" t="s">
        <v>528</v>
      </c>
      <c r="B31" s="1171" t="s">
        <v>529</v>
      </c>
      <c r="C31" s="926">
        <v>750</v>
      </c>
      <c r="D31" s="826">
        <f t="shared" si="4"/>
        <v>67.5</v>
      </c>
      <c r="E31" s="826">
        <f>+D31</f>
        <v>67.5</v>
      </c>
      <c r="F31" s="826" t="str">
        <f t="shared" si="2"/>
        <v xml:space="preserve"> </v>
      </c>
      <c r="G31" s="927">
        <v>0</v>
      </c>
      <c r="H31" s="927">
        <v>0</v>
      </c>
      <c r="I31" s="927">
        <v>0</v>
      </c>
      <c r="J31" s="260"/>
    </row>
    <row r="32" spans="1:15" s="256" customFormat="1" ht="15.75">
      <c r="A32" s="828" t="s">
        <v>531</v>
      </c>
      <c r="B32" s="1171" t="s">
        <v>532</v>
      </c>
      <c r="C32" s="926"/>
      <c r="D32" s="826">
        <f t="shared" si="4"/>
        <v>0</v>
      </c>
      <c r="E32" s="826">
        <f>+D32</f>
        <v>0</v>
      </c>
      <c r="F32" s="826">
        <f t="shared" si="2"/>
        <v>0</v>
      </c>
      <c r="G32" s="927">
        <v>0</v>
      </c>
      <c r="H32" s="927">
        <v>0</v>
      </c>
      <c r="I32" s="927">
        <v>0</v>
      </c>
      <c r="J32" s="1192"/>
    </row>
    <row r="33" spans="1:10" s="256" customFormat="1" ht="15.75">
      <c r="A33" s="1170" t="s">
        <v>30</v>
      </c>
      <c r="B33" s="1171" t="s">
        <v>29</v>
      </c>
      <c r="C33" s="926">
        <v>164581.20000000001</v>
      </c>
      <c r="D33" s="826">
        <f t="shared" si="4"/>
        <v>14812.308000000001</v>
      </c>
      <c r="E33" s="826">
        <f t="shared" si="1"/>
        <v>14812.308000000001</v>
      </c>
      <c r="F33" s="826" t="str">
        <f t="shared" si="2"/>
        <v xml:space="preserve"> </v>
      </c>
      <c r="G33" s="927">
        <v>0</v>
      </c>
      <c r="H33" s="927">
        <v>0</v>
      </c>
      <c r="I33" s="927">
        <v>0</v>
      </c>
      <c r="J33" s="260"/>
    </row>
    <row r="34" spans="1:10" s="256" customFormat="1" ht="15.75">
      <c r="A34" s="1170">
        <v>3301</v>
      </c>
      <c r="B34" s="1171" t="s">
        <v>154</v>
      </c>
      <c r="C34" s="926"/>
      <c r="D34" s="826">
        <f t="shared" si="4"/>
        <v>0</v>
      </c>
      <c r="E34" s="826">
        <f>+D34</f>
        <v>0</v>
      </c>
      <c r="F34" s="826">
        <f t="shared" si="2"/>
        <v>0</v>
      </c>
      <c r="G34" s="927">
        <v>0</v>
      </c>
      <c r="H34" s="927">
        <v>0</v>
      </c>
      <c r="I34" s="927">
        <v>0</v>
      </c>
      <c r="J34" s="260"/>
    </row>
    <row r="35" spans="1:10" s="256" customFormat="1" ht="15.75">
      <c r="A35" s="1170">
        <v>3302</v>
      </c>
      <c r="B35" s="1171" t="s">
        <v>525</v>
      </c>
      <c r="C35" s="926"/>
      <c r="D35" s="826">
        <f t="shared" si="4"/>
        <v>0</v>
      </c>
      <c r="E35" s="826">
        <f>+D35</f>
        <v>0</v>
      </c>
      <c r="F35" s="826">
        <f t="shared" si="2"/>
        <v>0</v>
      </c>
      <c r="G35" s="927">
        <v>0</v>
      </c>
      <c r="H35" s="927">
        <v>0</v>
      </c>
      <c r="I35" s="927">
        <v>0</v>
      </c>
      <c r="J35" s="260"/>
    </row>
    <row r="36" spans="1:10" s="256" customFormat="1" ht="15.75">
      <c r="A36" s="1172" t="s">
        <v>28</v>
      </c>
      <c r="B36" s="1171" t="s">
        <v>27</v>
      </c>
      <c r="C36" s="926"/>
      <c r="D36" s="826">
        <f t="shared" ref="D36:D48" si="5">+C36*9%</f>
        <v>0</v>
      </c>
      <c r="E36" s="826">
        <f t="shared" si="1"/>
        <v>0</v>
      </c>
      <c r="F36" s="826">
        <f t="shared" si="2"/>
        <v>0</v>
      </c>
      <c r="G36" s="927">
        <v>0</v>
      </c>
      <c r="H36" s="927">
        <v>0</v>
      </c>
      <c r="I36" s="927">
        <v>0</v>
      </c>
      <c r="J36" s="260"/>
    </row>
    <row r="37" spans="1:10" s="256" customFormat="1" ht="15.75">
      <c r="A37" s="825" t="s">
        <v>114</v>
      </c>
      <c r="B37" s="1171" t="s">
        <v>115</v>
      </c>
      <c r="C37" s="926"/>
      <c r="D37" s="826">
        <f t="shared" si="5"/>
        <v>0</v>
      </c>
      <c r="E37" s="826">
        <f t="shared" si="1"/>
        <v>0</v>
      </c>
      <c r="F37" s="826">
        <f t="shared" si="2"/>
        <v>0</v>
      </c>
      <c r="G37" s="927">
        <v>0</v>
      </c>
      <c r="H37" s="927">
        <v>0</v>
      </c>
      <c r="I37" s="927">
        <v>0</v>
      </c>
      <c r="J37" s="260"/>
    </row>
    <row r="38" spans="1:10" s="256" customFormat="1" ht="15.75">
      <c r="A38" s="1170" t="s">
        <v>26</v>
      </c>
      <c r="B38" s="1171" t="s">
        <v>25</v>
      </c>
      <c r="C38" s="926">
        <v>10901.58</v>
      </c>
      <c r="D38" s="826">
        <f t="shared" si="5"/>
        <v>981.1422</v>
      </c>
      <c r="E38" s="826">
        <f t="shared" si="1"/>
        <v>981.1422</v>
      </c>
      <c r="F38" s="826" t="str">
        <f t="shared" si="2"/>
        <v xml:space="preserve"> </v>
      </c>
      <c r="G38" s="927">
        <v>0</v>
      </c>
      <c r="H38" s="927">
        <v>0</v>
      </c>
      <c r="I38" s="927">
        <v>0</v>
      </c>
      <c r="J38" s="260"/>
    </row>
    <row r="39" spans="1:10" s="256" customFormat="1" ht="15.75">
      <c r="A39" s="1170" t="s">
        <v>24</v>
      </c>
      <c r="B39" s="1171" t="s">
        <v>23</v>
      </c>
      <c r="C39" s="926">
        <v>3800</v>
      </c>
      <c r="D39" s="826">
        <f t="shared" si="5"/>
        <v>342</v>
      </c>
      <c r="E39" s="826">
        <f t="shared" si="1"/>
        <v>342</v>
      </c>
      <c r="F39" s="826" t="str">
        <f t="shared" si="2"/>
        <v xml:space="preserve"> </v>
      </c>
      <c r="G39" s="927">
        <v>0</v>
      </c>
      <c r="H39" s="927">
        <v>0</v>
      </c>
      <c r="I39" s="927">
        <v>0</v>
      </c>
      <c r="J39" s="260"/>
    </row>
    <row r="40" spans="1:10" s="256" customFormat="1" ht="15.75">
      <c r="A40" s="1170" t="s">
        <v>22</v>
      </c>
      <c r="B40" s="1171" t="s">
        <v>21</v>
      </c>
      <c r="C40" s="926">
        <v>3650</v>
      </c>
      <c r="D40" s="826">
        <f t="shared" si="5"/>
        <v>328.5</v>
      </c>
      <c r="E40" s="826">
        <f t="shared" si="1"/>
        <v>328.5</v>
      </c>
      <c r="F40" s="826" t="str">
        <f t="shared" si="2"/>
        <v xml:space="preserve"> </v>
      </c>
      <c r="G40" s="927">
        <v>0</v>
      </c>
      <c r="H40" s="927">
        <v>0</v>
      </c>
      <c r="I40" s="927">
        <v>0</v>
      </c>
      <c r="J40" s="260"/>
    </row>
    <row r="41" spans="1:10" s="256" customFormat="1" ht="15.75">
      <c r="A41" s="1170" t="s">
        <v>20</v>
      </c>
      <c r="B41" s="1171" t="s">
        <v>19</v>
      </c>
      <c r="C41" s="926">
        <v>7950</v>
      </c>
      <c r="D41" s="826">
        <f t="shared" si="5"/>
        <v>715.5</v>
      </c>
      <c r="E41" s="826">
        <f t="shared" si="1"/>
        <v>715.5</v>
      </c>
      <c r="F41" s="826" t="str">
        <f t="shared" si="2"/>
        <v xml:space="preserve"> </v>
      </c>
      <c r="G41" s="927">
        <v>0</v>
      </c>
      <c r="H41" s="927">
        <v>0</v>
      </c>
      <c r="I41" s="927">
        <v>0</v>
      </c>
      <c r="J41" s="260"/>
    </row>
    <row r="42" spans="1:10" s="256" customFormat="1" ht="15.75">
      <c r="A42" s="1172" t="s">
        <v>18</v>
      </c>
      <c r="B42" s="1171" t="s">
        <v>17</v>
      </c>
      <c r="C42" s="926">
        <v>6330</v>
      </c>
      <c r="D42" s="826">
        <f t="shared" si="5"/>
        <v>569.69999999999993</v>
      </c>
      <c r="E42" s="826">
        <f t="shared" si="1"/>
        <v>569.69999999999993</v>
      </c>
      <c r="F42" s="826" t="str">
        <f t="shared" si="2"/>
        <v xml:space="preserve"> </v>
      </c>
      <c r="G42" s="927">
        <v>0</v>
      </c>
      <c r="H42" s="927">
        <v>0</v>
      </c>
      <c r="I42" s="927">
        <v>0</v>
      </c>
      <c r="J42" s="260"/>
    </row>
    <row r="43" spans="1:10" s="256" customFormat="1" ht="15.75">
      <c r="A43" s="1172" t="s">
        <v>16</v>
      </c>
      <c r="B43" s="1171" t="s">
        <v>15</v>
      </c>
      <c r="C43" s="926"/>
      <c r="D43" s="826">
        <f t="shared" si="5"/>
        <v>0</v>
      </c>
      <c r="E43" s="826">
        <f t="shared" si="1"/>
        <v>0</v>
      </c>
      <c r="F43" s="826">
        <f t="shared" si="2"/>
        <v>0</v>
      </c>
      <c r="G43" s="927">
        <v>0</v>
      </c>
      <c r="H43" s="927">
        <v>0</v>
      </c>
      <c r="I43" s="927">
        <v>0</v>
      </c>
      <c r="J43" s="260"/>
    </row>
    <row r="44" spans="1:10" s="256" customFormat="1" ht="15.75">
      <c r="A44" s="1172" t="s">
        <v>14</v>
      </c>
      <c r="B44" s="1171" t="s">
        <v>13</v>
      </c>
      <c r="C44" s="926">
        <v>3632</v>
      </c>
      <c r="D44" s="826">
        <f t="shared" si="5"/>
        <v>326.88</v>
      </c>
      <c r="E44" s="826">
        <f t="shared" si="1"/>
        <v>326.88</v>
      </c>
      <c r="F44" s="826" t="str">
        <f t="shared" si="2"/>
        <v xml:space="preserve"> </v>
      </c>
      <c r="G44" s="927">
        <v>0</v>
      </c>
      <c r="H44" s="927">
        <v>0</v>
      </c>
      <c r="I44" s="927">
        <v>0</v>
      </c>
      <c r="J44" s="260"/>
    </row>
    <row r="45" spans="1:10" s="256" customFormat="1" ht="15.75">
      <c r="A45" s="1172">
        <v>3317</v>
      </c>
      <c r="B45" s="1171" t="s">
        <v>286</v>
      </c>
      <c r="C45" s="926"/>
      <c r="D45" s="826">
        <f t="shared" si="5"/>
        <v>0</v>
      </c>
      <c r="E45" s="826">
        <f t="shared" si="1"/>
        <v>0</v>
      </c>
      <c r="F45" s="826">
        <f t="shared" si="2"/>
        <v>0</v>
      </c>
      <c r="G45" s="927">
        <v>0</v>
      </c>
      <c r="H45" s="927">
        <v>0</v>
      </c>
      <c r="I45" s="927">
        <v>0</v>
      </c>
      <c r="J45" s="260" t="s">
        <v>5</v>
      </c>
    </row>
    <row r="46" spans="1:10" s="256" customFormat="1" ht="15.75">
      <c r="A46" s="1172" t="s">
        <v>12</v>
      </c>
      <c r="B46" s="1171" t="s">
        <v>11</v>
      </c>
      <c r="C46" s="926"/>
      <c r="D46" s="826">
        <f t="shared" si="5"/>
        <v>0</v>
      </c>
      <c r="E46" s="826">
        <f t="shared" si="1"/>
        <v>0</v>
      </c>
      <c r="F46" s="826">
        <f t="shared" si="2"/>
        <v>0</v>
      </c>
      <c r="G46" s="927">
        <v>0</v>
      </c>
      <c r="H46" s="927">
        <v>0</v>
      </c>
      <c r="I46" s="927">
        <v>0</v>
      </c>
      <c r="J46" s="260"/>
    </row>
    <row r="47" spans="1:10" s="256" customFormat="1" ht="15.75">
      <c r="A47" s="1172">
        <v>3320</v>
      </c>
      <c r="B47" s="1171" t="s">
        <v>290</v>
      </c>
      <c r="C47" s="926">
        <f>983718-983718</f>
        <v>0</v>
      </c>
      <c r="D47" s="826">
        <f t="shared" si="5"/>
        <v>0</v>
      </c>
      <c r="E47" s="826">
        <f t="shared" si="1"/>
        <v>0</v>
      </c>
      <c r="F47" s="826">
        <f t="shared" si="2"/>
        <v>0</v>
      </c>
      <c r="G47" s="927"/>
      <c r="H47" s="927">
        <v>0</v>
      </c>
      <c r="I47" s="927">
        <v>0</v>
      </c>
      <c r="J47" s="260"/>
    </row>
    <row r="48" spans="1:10" s="256" customFormat="1" ht="15.75">
      <c r="A48" s="1172">
        <v>3321</v>
      </c>
      <c r="B48" s="1171" t="s">
        <v>156</v>
      </c>
      <c r="C48" s="926"/>
      <c r="D48" s="826">
        <f t="shared" si="5"/>
        <v>0</v>
      </c>
      <c r="E48" s="826">
        <f t="shared" si="1"/>
        <v>0</v>
      </c>
      <c r="F48" s="826">
        <f t="shared" si="2"/>
        <v>0</v>
      </c>
      <c r="G48" s="927">
        <v>0</v>
      </c>
      <c r="H48" s="927">
        <v>0</v>
      </c>
      <c r="I48" s="927">
        <v>0</v>
      </c>
      <c r="J48" s="260"/>
    </row>
    <row r="49" spans="1:11" s="256" customFormat="1" ht="15.75">
      <c r="A49" s="1172">
        <v>3322</v>
      </c>
      <c r="B49" s="1171" t="s">
        <v>335</v>
      </c>
      <c r="C49" s="926"/>
      <c r="D49" s="826">
        <f>+C49*5%</f>
        <v>0</v>
      </c>
      <c r="E49" s="826">
        <f>+D49</f>
        <v>0</v>
      </c>
      <c r="F49" s="826">
        <f t="shared" si="2"/>
        <v>0</v>
      </c>
      <c r="G49" s="927">
        <v>0</v>
      </c>
      <c r="H49" s="927">
        <v>0</v>
      </c>
      <c r="I49" s="927">
        <v>0</v>
      </c>
      <c r="J49" s="260"/>
    </row>
    <row r="50" spans="1:11" s="256" customFormat="1" ht="16.5" customHeight="1">
      <c r="A50" s="1172">
        <v>3324</v>
      </c>
      <c r="B50" s="1171" t="s">
        <v>438</v>
      </c>
      <c r="C50" s="926">
        <v>155</v>
      </c>
      <c r="D50" s="826">
        <f>+C50*9%</f>
        <v>13.95</v>
      </c>
      <c r="E50" s="826">
        <f>+D50</f>
        <v>13.95</v>
      </c>
      <c r="F50" s="826" t="str">
        <f t="shared" si="2"/>
        <v xml:space="preserve"> </v>
      </c>
      <c r="G50" s="927">
        <v>0</v>
      </c>
      <c r="H50" s="927">
        <v>0</v>
      </c>
      <c r="I50" s="927">
        <v>0</v>
      </c>
      <c r="J50" s="260"/>
    </row>
    <row r="51" spans="1:11" s="256" customFormat="1" ht="15.75">
      <c r="A51" s="1173">
        <v>3325</v>
      </c>
      <c r="B51" s="1171" t="s">
        <v>606</v>
      </c>
      <c r="C51" s="926"/>
      <c r="D51" s="826">
        <f>+C51*2.5%</f>
        <v>0</v>
      </c>
      <c r="E51" s="826">
        <f>+D51</f>
        <v>0</v>
      </c>
      <c r="F51" s="826">
        <f t="shared" si="2"/>
        <v>0</v>
      </c>
      <c r="G51" s="927">
        <v>0</v>
      </c>
      <c r="H51" s="927">
        <v>0</v>
      </c>
      <c r="I51" s="927">
        <v>0</v>
      </c>
      <c r="J51" s="260"/>
    </row>
    <row r="52" spans="1:11" s="256" customFormat="1" ht="15.75">
      <c r="A52" s="1172">
        <v>3391</v>
      </c>
      <c r="B52" s="1171" t="s">
        <v>300</v>
      </c>
      <c r="C52" s="926">
        <v>33790</v>
      </c>
      <c r="D52" s="826">
        <f>+C52*9%</f>
        <v>3041.1</v>
      </c>
      <c r="E52" s="826">
        <f t="shared" si="1"/>
        <v>3041.1</v>
      </c>
      <c r="F52" s="826" t="str">
        <f t="shared" si="2"/>
        <v xml:space="preserve"> </v>
      </c>
      <c r="G52" s="927">
        <v>0</v>
      </c>
      <c r="H52" s="927">
        <v>0</v>
      </c>
      <c r="I52" s="927">
        <v>0</v>
      </c>
      <c r="J52" s="260"/>
    </row>
    <row r="53" spans="1:11" s="256" customFormat="1" ht="15.75">
      <c r="A53" s="1172">
        <v>3359</v>
      </c>
      <c r="B53" s="1171" t="s">
        <v>683</v>
      </c>
      <c r="C53" s="926"/>
      <c r="D53" s="826">
        <f>+C53*9%</f>
        <v>0</v>
      </c>
      <c r="E53" s="826">
        <f t="shared" si="1"/>
        <v>0</v>
      </c>
      <c r="F53" s="826">
        <f t="shared" si="2"/>
        <v>0</v>
      </c>
      <c r="G53" s="927"/>
      <c r="H53" s="927">
        <v>0</v>
      </c>
      <c r="I53" s="927">
        <v>0</v>
      </c>
      <c r="J53" s="1028"/>
    </row>
    <row r="54" spans="1:11" s="256" customFormat="1" ht="15.75">
      <c r="A54" s="1172">
        <v>3825</v>
      </c>
      <c r="B54" s="1171" t="s">
        <v>646</v>
      </c>
      <c r="C54" s="926"/>
      <c r="D54" s="826">
        <f>+C54*9%</f>
        <v>0</v>
      </c>
      <c r="E54" s="826">
        <f t="shared" si="1"/>
        <v>0</v>
      </c>
      <c r="F54" s="826">
        <f t="shared" si="2"/>
        <v>0</v>
      </c>
      <c r="G54" s="927">
        <v>0</v>
      </c>
      <c r="H54" s="927">
        <v>0</v>
      </c>
      <c r="I54" s="927">
        <v>0</v>
      </c>
      <c r="J54" s="260"/>
    </row>
    <row r="55" spans="1:11" s="256" customFormat="1" ht="15.75">
      <c r="A55" s="1172">
        <v>3362</v>
      </c>
      <c r="B55" s="1171" t="s">
        <v>739</v>
      </c>
      <c r="C55" s="926"/>
      <c r="D55" s="826"/>
      <c r="E55" s="826"/>
      <c r="F55" s="826">
        <f t="shared" si="2"/>
        <v>0</v>
      </c>
      <c r="G55" s="927">
        <v>0</v>
      </c>
      <c r="H55" s="927">
        <v>0</v>
      </c>
      <c r="I55" s="927">
        <v>0</v>
      </c>
      <c r="J55" s="260"/>
    </row>
    <row r="56" spans="1:11" s="256" customFormat="1" ht="15.75">
      <c r="A56" s="1174">
        <v>3340</v>
      </c>
      <c r="B56" s="1069" t="s">
        <v>785</v>
      </c>
      <c r="C56" s="926"/>
      <c r="D56" s="4">
        <f>+C56*9%</f>
        <v>0</v>
      </c>
      <c r="E56" s="4">
        <f>+D56</f>
        <v>0</v>
      </c>
      <c r="F56" s="826">
        <f t="shared" si="2"/>
        <v>0</v>
      </c>
      <c r="G56" s="927">
        <v>0</v>
      </c>
      <c r="H56" s="927">
        <v>0</v>
      </c>
      <c r="I56" s="927">
        <v>0</v>
      </c>
      <c r="J56" s="260"/>
    </row>
    <row r="57" spans="1:11" s="256" customFormat="1" ht="15.75">
      <c r="A57" s="1175" t="s">
        <v>10</v>
      </c>
      <c r="B57" s="1171"/>
      <c r="C57" s="926"/>
      <c r="D57" s="826"/>
      <c r="E57" s="826"/>
      <c r="F57" s="826"/>
      <c r="G57" s="927">
        <v>0</v>
      </c>
      <c r="H57" s="927">
        <v>0</v>
      </c>
      <c r="I57" s="927">
        <v>0</v>
      </c>
      <c r="J57" s="260"/>
    </row>
    <row r="58" spans="1:11" s="256" customFormat="1" ht="15.75">
      <c r="A58" s="1172" t="s">
        <v>9</v>
      </c>
      <c r="B58" s="1171" t="s">
        <v>8</v>
      </c>
      <c r="C58" s="926"/>
      <c r="D58" s="826">
        <f>+C58*9%</f>
        <v>0</v>
      </c>
      <c r="E58" s="826">
        <f t="shared" si="1"/>
        <v>0</v>
      </c>
      <c r="F58" s="826">
        <v>0</v>
      </c>
      <c r="G58" s="927"/>
      <c r="H58" s="927">
        <v>0</v>
      </c>
      <c r="I58" s="927">
        <v>0</v>
      </c>
      <c r="J58" s="260"/>
      <c r="K58" s="256" t="s">
        <v>5</v>
      </c>
    </row>
    <row r="59" spans="1:11" s="256" customFormat="1" ht="15.75">
      <c r="A59" s="1170" t="s">
        <v>7</v>
      </c>
      <c r="B59" s="1171" t="s">
        <v>6</v>
      </c>
      <c r="C59" s="926">
        <f>128700-8491</f>
        <v>120209</v>
      </c>
      <c r="D59" s="826">
        <f>+C59*9%</f>
        <v>10818.81</v>
      </c>
      <c r="E59" s="826">
        <f t="shared" si="1"/>
        <v>10818.81</v>
      </c>
      <c r="F59" s="826" t="str">
        <f t="shared" si="2"/>
        <v xml:space="preserve"> </v>
      </c>
      <c r="G59" s="927">
        <v>8491</v>
      </c>
      <c r="H59" s="927">
        <v>0</v>
      </c>
      <c r="I59" s="927">
        <v>0</v>
      </c>
      <c r="J59" s="260"/>
    </row>
    <row r="60" spans="1:11" s="256" customFormat="1" ht="15.75">
      <c r="A60" s="824" t="s">
        <v>5</v>
      </c>
      <c r="B60" s="824" t="s">
        <v>4</v>
      </c>
      <c r="C60" s="926">
        <v>0</v>
      </c>
      <c r="D60" s="826"/>
      <c r="E60" s="826"/>
      <c r="F60" s="4"/>
      <c r="G60" s="927">
        <v>0</v>
      </c>
      <c r="H60" s="927">
        <v>0</v>
      </c>
      <c r="I60" s="927">
        <v>0</v>
      </c>
      <c r="J60" s="260"/>
    </row>
    <row r="61" spans="1:11" s="256" customFormat="1" ht="15.75">
      <c r="A61" s="829"/>
      <c r="B61" s="830" t="s">
        <v>465</v>
      </c>
      <c r="C61" s="926"/>
      <c r="D61" s="1065">
        <f>+C61*0.09</f>
        <v>0</v>
      </c>
      <c r="E61" s="1065">
        <f>+D61</f>
        <v>0</v>
      </c>
      <c r="F61" s="831">
        <v>0</v>
      </c>
      <c r="G61" s="927">
        <v>0</v>
      </c>
      <c r="H61" s="927">
        <v>0</v>
      </c>
      <c r="I61" s="927">
        <v>0</v>
      </c>
      <c r="J61" s="1028"/>
    </row>
    <row r="62" spans="1:11" s="256" customFormat="1" ht="16.5" thickBot="1">
      <c r="A62" s="832"/>
      <c r="B62" s="833" t="s">
        <v>3</v>
      </c>
      <c r="C62" s="1034">
        <f>SUM(C9:C61)</f>
        <v>388391.28</v>
      </c>
      <c r="D62" s="1034">
        <f>SUM(D9:D61)</f>
        <v>34955.215199999999</v>
      </c>
      <c r="E62" s="1034">
        <f>SUM(E9:E61)</f>
        <v>34955.215199999999</v>
      </c>
      <c r="F62" s="834">
        <f>SUM(F9:F61)</f>
        <v>0</v>
      </c>
      <c r="G62" s="10">
        <f>SUM(G9:G59)</f>
        <v>8501</v>
      </c>
      <c r="H62" s="10">
        <f>SUM(H9:H59)</f>
        <v>0</v>
      </c>
      <c r="I62" s="10">
        <f>SUM(I9:I59)</f>
        <v>0</v>
      </c>
      <c r="J62" s="260"/>
    </row>
    <row r="63" spans="1:11" s="256" customFormat="1" ht="16.5" thickTop="1">
      <c r="A63" s="835" t="s">
        <v>2</v>
      </c>
      <c r="B63" s="836"/>
      <c r="C63" s="837"/>
      <c r="D63" s="837"/>
      <c r="E63" s="837"/>
      <c r="F63" s="838"/>
      <c r="G63" s="263" t="s">
        <v>5</v>
      </c>
      <c r="H63" s="261"/>
      <c r="I63" s="260"/>
      <c r="J63" s="260"/>
    </row>
    <row r="64" spans="1:11" s="256" customFormat="1" ht="15.75">
      <c r="A64" s="824" t="s">
        <v>1</v>
      </c>
      <c r="B64" s="810" t="s">
        <v>0</v>
      </c>
      <c r="C64" s="826">
        <v>0</v>
      </c>
      <c r="D64" s="839">
        <f>+C64*9%</f>
        <v>0</v>
      </c>
      <c r="E64" s="839">
        <f>+D64</f>
        <v>0</v>
      </c>
      <c r="F64" s="839">
        <f>IF(D64&gt;0," ",C64*18%)</f>
        <v>0</v>
      </c>
      <c r="G64" s="260"/>
      <c r="H64" s="261"/>
      <c r="I64" s="260"/>
      <c r="J64" s="260"/>
    </row>
    <row r="65" spans="1:10" s="256" customFormat="1" ht="15.75">
      <c r="A65" s="824" t="s">
        <v>359</v>
      </c>
      <c r="B65" s="810" t="s">
        <v>360</v>
      </c>
      <c r="C65" s="826">
        <v>0</v>
      </c>
      <c r="D65" s="839">
        <f>+C65*9%</f>
        <v>0</v>
      </c>
      <c r="E65" s="839">
        <f>+D65</f>
        <v>0</v>
      </c>
      <c r="F65" s="839">
        <f>IF(D65&gt;0," ",C65*18%)</f>
        <v>0</v>
      </c>
      <c r="G65" s="1">
        <f>+C62*0.09</f>
        <v>34955.215199999999</v>
      </c>
      <c r="H65" s="261"/>
      <c r="I65" s="260"/>
      <c r="J65" s="260"/>
    </row>
    <row r="66" spans="1:10" s="256" customFormat="1" ht="15.75">
      <c r="A66" s="1228" t="s">
        <v>75</v>
      </c>
      <c r="B66" s="1228"/>
      <c r="C66" s="1228"/>
      <c r="D66" s="1228"/>
      <c r="E66" s="1228"/>
      <c r="F66" s="1228"/>
      <c r="G66" s="260"/>
      <c r="H66" s="261" t="s">
        <v>5</v>
      </c>
      <c r="I66" s="260"/>
      <c r="J66" s="260"/>
    </row>
    <row r="67" spans="1:10" s="256" customFormat="1" ht="12">
      <c r="A67" s="258"/>
      <c r="B67" s="258"/>
      <c r="C67" s="258"/>
      <c r="D67" s="258"/>
      <c r="E67" s="258"/>
      <c r="F67" s="258"/>
      <c r="H67" s="255"/>
    </row>
    <row r="68" spans="1:10" s="256" customFormat="1">
      <c r="A68" s="807" t="s">
        <v>76</v>
      </c>
      <c r="B68" s="807"/>
      <c r="C68" s="808"/>
      <c r="D68" s="808"/>
      <c r="E68" s="808"/>
      <c r="F68" s="808"/>
      <c r="H68" s="255"/>
    </row>
    <row r="69" spans="1:10" s="256" customFormat="1" ht="12">
      <c r="A69" s="1299" t="s">
        <v>65</v>
      </c>
      <c r="B69" s="1300"/>
      <c r="C69" s="1301"/>
      <c r="D69" s="1305" t="s">
        <v>89</v>
      </c>
      <c r="E69" s="1305" t="s">
        <v>67</v>
      </c>
      <c r="F69" s="1306" t="s">
        <v>68</v>
      </c>
      <c r="H69" s="255"/>
    </row>
    <row r="70" spans="1:10" s="256" customFormat="1" ht="12">
      <c r="A70" s="1302"/>
      <c r="B70" s="1303"/>
      <c r="C70" s="1304"/>
      <c r="D70" s="1305"/>
      <c r="E70" s="1305"/>
      <c r="F70" s="1307"/>
      <c r="H70" s="255"/>
    </row>
    <row r="71" spans="1:10" s="256" customFormat="1" ht="14.25">
      <c r="A71" s="1308" t="s">
        <v>80</v>
      </c>
      <c r="B71" s="1309"/>
      <c r="C71" s="1310"/>
      <c r="D71" s="809">
        <f>+D62</f>
        <v>34955.215199999999</v>
      </c>
      <c r="E71" s="809">
        <f>+E62</f>
        <v>34955.215199999999</v>
      </c>
      <c r="F71" s="809">
        <v>0</v>
      </c>
      <c r="H71" s="255"/>
    </row>
    <row r="72" spans="1:10" s="256" customFormat="1" ht="14.25">
      <c r="A72" s="810" t="s">
        <v>103</v>
      </c>
      <c r="B72" s="810"/>
      <c r="C72" s="810">
        <f>G62</f>
        <v>8501</v>
      </c>
      <c r="D72" s="811">
        <f>+C72*0.09</f>
        <v>765.08999999999992</v>
      </c>
      <c r="E72" s="811">
        <f>+C72*0.09</f>
        <v>765.08999999999992</v>
      </c>
      <c r="F72" s="811">
        <v>0</v>
      </c>
      <c r="H72" s="255"/>
    </row>
    <row r="73" spans="1:10" s="256" customFormat="1" ht="14.25">
      <c r="A73" s="810"/>
      <c r="B73" s="810"/>
      <c r="C73" s="810"/>
      <c r="D73" s="809">
        <f>+D71+D72</f>
        <v>35720.305199999995</v>
      </c>
      <c r="E73" s="809">
        <f>+E71+E72</f>
        <v>35720.305199999995</v>
      </c>
      <c r="F73" s="809">
        <f>+F71+F72</f>
        <v>0</v>
      </c>
      <c r="H73" s="255" t="s">
        <v>5</v>
      </c>
      <c r="I73" s="256" t="s">
        <v>5</v>
      </c>
      <c r="J73" s="256" t="s">
        <v>5</v>
      </c>
    </row>
    <row r="74" spans="1:10" s="256" customFormat="1">
      <c r="A74" s="1308" t="s">
        <v>104</v>
      </c>
      <c r="B74" s="1309"/>
      <c r="C74" s="1310"/>
      <c r="D74" s="812">
        <v>35698.379999999997</v>
      </c>
      <c r="E74" s="812">
        <f>+D74</f>
        <v>35698.379999999997</v>
      </c>
      <c r="F74" s="809">
        <v>0</v>
      </c>
      <c r="H74" s="255" t="s">
        <v>5</v>
      </c>
      <c r="I74" s="256" t="s">
        <v>5</v>
      </c>
      <c r="J74" s="624"/>
    </row>
    <row r="75" spans="1:10" s="256" customFormat="1">
      <c r="A75" s="1311" t="s">
        <v>79</v>
      </c>
      <c r="B75" s="1312"/>
      <c r="C75" s="1313"/>
      <c r="D75" s="813">
        <f>+D73-D74</f>
        <v>21.925199999997858</v>
      </c>
      <c r="E75" s="813">
        <f>+E73-E74</f>
        <v>21.925199999997858</v>
      </c>
      <c r="F75" s="812">
        <f>IF(F71&gt;F74,F71,F74)</f>
        <v>0</v>
      </c>
      <c r="G75" s="256">
        <f>+D75/9%</f>
        <v>243.61333333330955</v>
      </c>
      <c r="H75" s="255"/>
    </row>
    <row r="76" spans="1:10" s="256" customFormat="1">
      <c r="A76" s="814"/>
      <c r="B76" s="814"/>
      <c r="C76" s="814"/>
      <c r="D76" s="815"/>
      <c r="E76" s="815"/>
      <c r="F76" s="816"/>
      <c r="G76" s="485"/>
      <c r="H76" s="255"/>
    </row>
    <row r="77" spans="1:10" s="256" customFormat="1" ht="14.25">
      <c r="A77" s="808"/>
      <c r="B77" s="808"/>
      <c r="C77" s="808"/>
      <c r="D77" s="808"/>
      <c r="E77" s="808"/>
      <c r="F77" s="808"/>
      <c r="H77" s="255"/>
    </row>
    <row r="78" spans="1:10" s="256" customFormat="1">
      <c r="A78" s="816" t="s">
        <v>77</v>
      </c>
      <c r="B78" s="808"/>
      <c r="C78" s="808"/>
      <c r="D78" s="808"/>
      <c r="E78" s="808"/>
      <c r="F78" s="808"/>
      <c r="H78" s="255"/>
    </row>
    <row r="79" spans="1:10" s="256" customFormat="1" ht="12">
      <c r="A79" s="1314" t="s">
        <v>65</v>
      </c>
      <c r="B79" s="1315"/>
      <c r="C79" s="1316"/>
      <c r="D79" s="1289" t="s">
        <v>70</v>
      </c>
      <c r="E79" s="1289" t="s">
        <v>71</v>
      </c>
      <c r="F79" s="1289" t="s">
        <v>72</v>
      </c>
      <c r="H79" s="255"/>
    </row>
    <row r="80" spans="1:10" s="256" customFormat="1" ht="17.25" customHeight="1">
      <c r="A80" s="1317"/>
      <c r="B80" s="1318"/>
      <c r="C80" s="1319"/>
      <c r="D80" s="1290" t="s">
        <v>67</v>
      </c>
      <c r="E80" s="1290"/>
      <c r="F80" s="1290"/>
      <c r="H80" s="255"/>
    </row>
    <row r="81" spans="1:9" s="256" customFormat="1">
      <c r="A81" s="1225"/>
      <c r="B81" s="1226"/>
      <c r="C81" s="1227"/>
      <c r="D81" s="42"/>
      <c r="E81" s="42"/>
      <c r="F81" s="42"/>
      <c r="H81" s="255"/>
    </row>
    <row r="82" spans="1:9" s="256" customFormat="1">
      <c r="A82" s="1288" t="s">
        <v>69</v>
      </c>
      <c r="B82" s="1288"/>
      <c r="C82" s="1288"/>
      <c r="D82" s="812">
        <v>4003.3</v>
      </c>
      <c r="E82" s="812">
        <f>+D82</f>
        <v>4003.3</v>
      </c>
      <c r="F82" s="817">
        <v>0</v>
      </c>
      <c r="G82" s="255">
        <f t="shared" ref="G82:I84" si="6">+D82/2</f>
        <v>2001.65</v>
      </c>
      <c r="H82" s="255">
        <f t="shared" si="6"/>
        <v>2001.65</v>
      </c>
      <c r="I82" s="259">
        <f t="shared" si="6"/>
        <v>0</v>
      </c>
    </row>
    <row r="83" spans="1:9" s="256" customFormat="1">
      <c r="A83" s="1224" t="s">
        <v>83</v>
      </c>
      <c r="B83" s="1224"/>
      <c r="C83" s="1224"/>
      <c r="D83" s="809">
        <f>C93</f>
        <v>53.82</v>
      </c>
      <c r="E83" s="809">
        <f>+D93</f>
        <v>53.82</v>
      </c>
      <c r="F83" s="818">
        <v>0</v>
      </c>
      <c r="G83" s="255">
        <f t="shared" si="6"/>
        <v>26.91</v>
      </c>
      <c r="H83" s="255">
        <f t="shared" si="6"/>
        <v>26.91</v>
      </c>
      <c r="I83" s="259">
        <f t="shared" si="6"/>
        <v>0</v>
      </c>
    </row>
    <row r="84" spans="1:9" s="256" customFormat="1">
      <c r="A84" s="1215" t="s">
        <v>82</v>
      </c>
      <c r="B84" s="1215"/>
      <c r="C84" s="1215"/>
      <c r="D84" s="809">
        <f>+D82-D83</f>
        <v>3949.48</v>
      </c>
      <c r="E84" s="809">
        <f>+E82-E83</f>
        <v>3949.48</v>
      </c>
      <c r="F84" s="818">
        <f>+F82-F83</f>
        <v>0</v>
      </c>
      <c r="G84" s="255">
        <f t="shared" si="6"/>
        <v>1974.74</v>
      </c>
      <c r="H84" s="255">
        <f t="shared" si="6"/>
        <v>1974.74</v>
      </c>
      <c r="I84" s="259">
        <f t="shared" si="6"/>
        <v>0</v>
      </c>
    </row>
    <row r="85" spans="1:9" s="256" customFormat="1">
      <c r="A85" s="1"/>
      <c r="B85" s="1"/>
      <c r="C85" s="1"/>
      <c r="D85" s="1"/>
      <c r="E85" s="1"/>
      <c r="F85" s="1"/>
      <c r="H85" s="255"/>
    </row>
    <row r="86" spans="1:9" s="256" customFormat="1" ht="14.25">
      <c r="A86" s="819"/>
      <c r="B86" s="819"/>
      <c r="C86" s="819"/>
      <c r="D86" s="819"/>
      <c r="E86" s="819"/>
      <c r="F86" s="819"/>
      <c r="H86" s="255" t="s">
        <v>5</v>
      </c>
    </row>
    <row r="87" spans="1:9" s="256" customFormat="1">
      <c r="A87" s="1"/>
      <c r="B87" s="141" t="s">
        <v>322</v>
      </c>
      <c r="C87" s="820" t="s">
        <v>67</v>
      </c>
      <c r="D87" s="820" t="s">
        <v>155</v>
      </c>
      <c r="E87" s="141" t="s">
        <v>68</v>
      </c>
      <c r="F87" s="1"/>
      <c r="H87" s="255" t="s">
        <v>5</v>
      </c>
    </row>
    <row r="88" spans="1:9" s="256" customFormat="1">
      <c r="A88" s="1"/>
      <c r="B88" s="1" t="s">
        <v>102</v>
      </c>
      <c r="C88">
        <v>26.91</v>
      </c>
      <c r="D88">
        <f>+C88</f>
        <v>26.91</v>
      </c>
      <c r="E88" s="1">
        <v>0</v>
      </c>
      <c r="F88" s="1"/>
      <c r="H88" s="255"/>
    </row>
    <row r="89" spans="1:9" s="256" customFormat="1">
      <c r="A89" s="1"/>
      <c r="B89" s="821" t="s">
        <v>440</v>
      </c>
      <c r="C89">
        <v>26.91</v>
      </c>
      <c r="D89">
        <f>+C89</f>
        <v>26.91</v>
      </c>
      <c r="E89" s="1"/>
      <c r="F89" s="1" t="s">
        <v>534</v>
      </c>
      <c r="H89" s="255"/>
    </row>
    <row r="90" spans="1:9" s="256" customFormat="1">
      <c r="A90" s="1"/>
      <c r="B90" s="821" t="s">
        <v>102</v>
      </c>
      <c r="C90"/>
      <c r="D90">
        <f>+C90</f>
        <v>0</v>
      </c>
      <c r="E90" s="1"/>
      <c r="F90" s="1"/>
      <c r="H90" s="255"/>
    </row>
    <row r="91" spans="1:9" s="256" customFormat="1">
      <c r="A91" s="1"/>
      <c r="B91" s="821" t="s">
        <v>102</v>
      </c>
      <c r="C91">
        <v>0</v>
      </c>
      <c r="D91">
        <f>+C91</f>
        <v>0</v>
      </c>
      <c r="E91" s="1"/>
      <c r="F91" s="1"/>
      <c r="H91" s="255"/>
    </row>
    <row r="92" spans="1:9" s="256" customFormat="1">
      <c r="A92" s="1"/>
      <c r="B92" s="112" t="s">
        <v>102</v>
      </c>
      <c r="C92">
        <v>0</v>
      </c>
      <c r="D92">
        <f>+C92</f>
        <v>0</v>
      </c>
      <c r="E92" s="112">
        <v>0</v>
      </c>
      <c r="F92" s="1"/>
      <c r="H92" s="255"/>
    </row>
    <row r="93" spans="1:9" s="256" customFormat="1">
      <c r="A93" s="1"/>
      <c r="B93" s="112"/>
      <c r="C93" s="822">
        <f>+SUM(C88:C92)</f>
        <v>53.82</v>
      </c>
      <c r="D93" s="822">
        <f>+SUM(D88:D92)</f>
        <v>53.82</v>
      </c>
      <c r="E93" s="822">
        <f>+SUM(E88:E92)</f>
        <v>0</v>
      </c>
      <c r="F93" s="1"/>
      <c r="G93" s="256">
        <f>+C93/2</f>
        <v>26.91</v>
      </c>
      <c r="H93" s="255"/>
    </row>
    <row r="94" spans="1:9" s="256" customFormat="1" ht="12.75" thickTop="1">
      <c r="A94" s="256" t="s">
        <v>5</v>
      </c>
      <c r="C94" s="580"/>
      <c r="D94" s="580"/>
      <c r="E94" s="580"/>
      <c r="H94" s="255"/>
    </row>
    <row r="95" spans="1:9" s="256" customFormat="1" ht="12" customHeight="1">
      <c r="A95" s="720"/>
      <c r="B95" s="720"/>
      <c r="C95" s="720"/>
      <c r="D95" s="720"/>
      <c r="E95" s="720"/>
      <c r="F95" s="720"/>
      <c r="H95" s="255"/>
    </row>
    <row r="96" spans="1:9" s="256" customFormat="1" ht="12.75" thickBot="1">
      <c r="A96" s="965"/>
    </row>
    <row r="97" spans="1:6">
      <c r="A97" s="1291" t="s">
        <v>941</v>
      </c>
      <c r="B97" s="1292"/>
      <c r="C97" s="1292"/>
      <c r="D97" s="1292"/>
      <c r="E97" s="1292"/>
      <c r="F97" s="1293"/>
    </row>
    <row r="98" spans="1:6" ht="15.75" thickBot="1">
      <c r="A98" s="1294"/>
      <c r="B98" s="1295"/>
      <c r="C98" s="1295"/>
      <c r="D98" s="1295"/>
      <c r="E98" s="1295"/>
      <c r="F98" s="1296"/>
    </row>
  </sheetData>
  <mergeCells count="29">
    <mergeCell ref="A97:F98"/>
    <mergeCell ref="G7:G8"/>
    <mergeCell ref="H7:H8"/>
    <mergeCell ref="I7:I8"/>
    <mergeCell ref="E79:E80"/>
    <mergeCell ref="F79:F80"/>
    <mergeCell ref="A66:F66"/>
    <mergeCell ref="A69:C70"/>
    <mergeCell ref="D69:D70"/>
    <mergeCell ref="E69:E70"/>
    <mergeCell ref="F69:F70"/>
    <mergeCell ref="A74:C74"/>
    <mergeCell ref="A75:C75"/>
    <mergeCell ref="A79:C80"/>
    <mergeCell ref="A71:C71"/>
    <mergeCell ref="A81:C81"/>
    <mergeCell ref="A82:C82"/>
    <mergeCell ref="A83:C83"/>
    <mergeCell ref="D79:D80"/>
    <mergeCell ref="A84:C84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9:B21 A77:XFD80 G86:XFD86 G95:XFD95 A96:XFD96">
    <cfRule type="containsText" dxfId="328" priority="38" operator="containsText" text="LESS COLLECTED">
      <formula>NOT(ISERROR(SEARCH("LESS COLLECTED",A9)))</formula>
    </cfRule>
  </conditionalFormatting>
  <conditionalFormatting sqref="A22:B34">
    <cfRule type="containsText" dxfId="327" priority="45" operator="containsText" text="LESS COLLECTED">
      <formula>NOT(ISERROR(SEARCH("LESS COLLECTED",A22)))</formula>
    </cfRule>
  </conditionalFormatting>
  <conditionalFormatting sqref="A28:B32">
    <cfRule type="containsText" dxfId="326" priority="44" operator="containsText" text="EXCESS COLLECTED">
      <formula>NOT(ISERROR(SEARCH("EXCESS COLLECTED",A28)))</formula>
    </cfRule>
  </conditionalFormatting>
  <conditionalFormatting sqref="A35:B52">
    <cfRule type="containsText" dxfId="325" priority="17" operator="containsText" text="LESS COLLECTED">
      <formula>NOT(ISERROR(SEARCH("LESS COLLECTED",A35)))</formula>
    </cfRule>
  </conditionalFormatting>
  <conditionalFormatting sqref="A47:B53">
    <cfRule type="containsText" dxfId="324" priority="10" operator="containsText" text="EXCESS COLLECTED">
      <formula>NOT(ISERROR(SEARCH("EXCESS COLLECTED",A47)))</formula>
    </cfRule>
  </conditionalFormatting>
  <conditionalFormatting sqref="A54:B55 A53">
    <cfRule type="containsText" dxfId="323" priority="31" operator="containsText" text="LESS COLLECTED">
      <formula>NOT(ISERROR(SEARCH("LESS COLLECTED",A53)))</formula>
    </cfRule>
  </conditionalFormatting>
  <conditionalFormatting sqref="A54:B55">
    <cfRule type="containsText" dxfId="322" priority="30" operator="containsText" text="EXCESS COLLECTED">
      <formula>NOT(ISERROR(SEARCH("EXCESS COLLECTED",A54)))</formula>
    </cfRule>
  </conditionalFormatting>
  <conditionalFormatting sqref="A56:B56">
    <cfRule type="containsText" dxfId="321" priority="3" operator="containsText" text="EXCESS COLLECTED">
      <formula>NOT(ISERROR(SEARCH("EXCESS COLLECTED",A56)))</formula>
    </cfRule>
    <cfRule type="containsText" dxfId="320" priority="4" operator="containsText" text="LESS COLLECTED">
      <formula>NOT(ISERROR(SEARCH("LESS COLLECTED",A56)))</formula>
    </cfRule>
  </conditionalFormatting>
  <conditionalFormatting sqref="A57:B61">
    <cfRule type="containsText" dxfId="319" priority="49" operator="containsText" text="LESS COLLECTED">
      <formula>NOT(ISERROR(SEARCH("LESS COLLECTED",A57)))</formula>
    </cfRule>
  </conditionalFormatting>
  <conditionalFormatting sqref="A66:XFD73 A1:XFD3 A4 G4:XFD4 A5:XFD6 A7:F8 J7:XFD62 H74:XFD74 A81:F81 H81:XFD81 A82:XFD85 A95">
    <cfRule type="containsText" dxfId="318" priority="205" operator="containsText" text="LESS COLLECTED">
      <formula>NOT(ISERROR(SEARCH("LESS COLLECTED",A1)))</formula>
    </cfRule>
  </conditionalFormatting>
  <conditionalFormatting sqref="A93:XFD94">
    <cfRule type="containsText" dxfId="317" priority="79" operator="containsText" text="LESS COLLECTED">
      <formula>NOT(ISERROR(SEARCH("LESS COLLECTED",A93)))</formula>
    </cfRule>
  </conditionalFormatting>
  <conditionalFormatting sqref="B53:B55">
    <cfRule type="containsText" dxfId="316" priority="11" operator="containsText" text="LESS COLLECTED">
      <formula>NOT(ISERROR(SEARCH("LESS COLLECTED",B53)))</formula>
    </cfRule>
  </conditionalFormatting>
  <conditionalFormatting sqref="B61">
    <cfRule type="containsText" dxfId="315" priority="48" operator="containsText" text="EXCESS COLLECTED">
      <formula>NOT(ISERROR(SEARCH("EXCESS COLLECTED",B61)))</formula>
    </cfRule>
  </conditionalFormatting>
  <conditionalFormatting sqref="C87:D92">
    <cfRule type="containsText" dxfId="314" priority="26" operator="containsText" text="EXCESS COLLECTED">
      <formula>NOT(ISERROR(SEARCH("EXCESS COLLECTED",C87)))</formula>
    </cfRule>
  </conditionalFormatting>
  <conditionalFormatting sqref="C93:E94">
    <cfRule type="containsText" dxfId="313" priority="78" operator="containsText" text="EXCESS COLLECTED">
      <formula>NOT(ISERROR(SEARCH("EXCESS COLLECTED",C93)))</formula>
    </cfRule>
  </conditionalFormatting>
  <conditionalFormatting sqref="D57 D69:E70 A72:F73 B92">
    <cfRule type="containsText" dxfId="312" priority="193" operator="containsText" text="EXCESS COLLECTED">
      <formula>NOT(ISERROR(SEARCH("EXCESS COLLECTED",A57)))</formula>
    </cfRule>
  </conditionalFormatting>
  <conditionalFormatting sqref="D93:E94">
    <cfRule type="containsText" dxfId="311" priority="62" operator="containsText" text="EXCESS COLLECTED">
      <formula>NOT(ISERROR(SEARCH("EXCESS COLLECTED",D93)))</formula>
    </cfRule>
    <cfRule type="containsText" dxfId="310" priority="63" operator="containsText" text="LESS COLLECTED">
      <formula>NOT(ISERROR(SEARCH("LESS COLLECTED",D93)))</formula>
    </cfRule>
  </conditionalFormatting>
  <conditionalFormatting sqref="D10:F56 C9:F9 C10:C61 F12:F59">
    <cfRule type="containsText" dxfId="309" priority="6" operator="containsText" text="LESS COLLECTED">
      <formula>NOT(ISERROR(SEARCH("LESS COLLECTED",C9)))</formula>
    </cfRule>
  </conditionalFormatting>
  <conditionalFormatting sqref="D48:F56">
    <cfRule type="containsText" dxfId="308" priority="5" operator="containsText" text="EXCESS COLLECTED">
      <formula>NOT(ISERROR(SEARCH("EXCESS COLLECTED",D48)))</formula>
    </cfRule>
  </conditionalFormatting>
  <conditionalFormatting sqref="D69:E70 A72:F74 A92:B92 D90:D92 A87:A91 D61:F61 D57:E60">
    <cfRule type="containsText" dxfId="307" priority="194" operator="containsText" text="LESS COLLECTED">
      <formula>NOT(ISERROR(SEARCH("LESS COLLECTED",A57)))</formula>
    </cfRule>
  </conditionalFormatting>
  <conditionalFormatting sqref="G76">
    <cfRule type="containsText" dxfId="306" priority="195" operator="containsText" text="EXC">
      <formula>NOT(ISERROR(SEARCH("EXC",G76)))</formula>
    </cfRule>
    <cfRule type="containsText" dxfId="305" priority="196" operator="containsText" text="LESS">
      <formula>NOT(ISERROR(SEARCH("LESS",G76)))</formula>
    </cfRule>
    <cfRule type="containsText" dxfId="304" priority="197" operator="containsText" text="EXC">
      <formula>NOT(ISERROR(SEARCH("EXC",G76)))</formula>
    </cfRule>
  </conditionalFormatting>
  <conditionalFormatting sqref="F57:F60">
    <cfRule type="containsText" dxfId="303" priority="2" operator="containsText" text="LESS COLLECTED">
      <formula>NOT(ISERROR(SEARCH("LESS COLLECTED",F57)))</formula>
    </cfRule>
  </conditionalFormatting>
  <conditionalFormatting sqref="F57:F60">
    <cfRule type="containsText" dxfId="302" priority="1" operator="containsText" text="EXCESS COLLECTED">
      <formula>NOT(ISERROR(SEARCH("EXCESS COLLECTED",F57)))</formula>
    </cfRule>
  </conditionalFormatting>
  <pageMargins left="0.90551181102362199" right="0.86811023600000004" top="0" bottom="0" header="0.31496062992126" footer="0.31496062992126"/>
  <pageSetup paperSize="9" scale="56" orientation="portrait" r:id="rId1"/>
  <ignoredErrors>
    <ignoredError sqref="D29 D49 D51" formula="1"/>
    <ignoredError sqref="G62:I62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92D050"/>
  </sheetPr>
  <dimension ref="A1:O97"/>
  <sheetViews>
    <sheetView topLeftCell="A65" workbookViewId="0">
      <selection activeCell="E74" sqref="E74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42578125" style="1" bestFit="1" customWidth="1"/>
    <col min="4" max="4" width="22.28515625" style="1" bestFit="1" customWidth="1"/>
    <col min="5" max="5" width="22" style="1" bestFit="1" customWidth="1"/>
    <col min="6" max="6" width="11.42578125" style="1" customWidth="1"/>
    <col min="7" max="7" width="19.85546875" style="1" customWidth="1"/>
    <col min="8" max="8" width="15.140625" style="32" customWidth="1"/>
    <col min="9" max="9" width="15.85546875" style="1" customWidth="1"/>
    <col min="10" max="10" width="16.2851562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288</v>
      </c>
      <c r="B3" s="1229"/>
      <c r="C3" s="1229"/>
      <c r="D3" s="1229"/>
      <c r="E3" s="1229"/>
      <c r="F3" s="1229"/>
    </row>
    <row r="4" spans="1:10" ht="15.75">
      <c r="A4" s="1229" t="s">
        <v>381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320" t="s">
        <v>383</v>
      </c>
      <c r="H7" s="1322" t="s">
        <v>384</v>
      </c>
      <c r="I7" s="1320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321"/>
      <c r="H8" s="1323"/>
      <c r="I8" s="1321"/>
    </row>
    <row r="9" spans="1:10" ht="15.75">
      <c r="A9" s="31">
        <v>3110</v>
      </c>
      <c r="B9" s="70" t="s">
        <v>592</v>
      </c>
      <c r="C9" s="1200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  <c r="I9" s="266">
        <v>0</v>
      </c>
    </row>
    <row r="10" spans="1:10" ht="15.75">
      <c r="A10" s="31" t="s">
        <v>87</v>
      </c>
      <c r="B10" s="70" t="s">
        <v>61</v>
      </c>
      <c r="C10" s="1200">
        <v>0</v>
      </c>
      <c r="D10" s="4">
        <f t="shared" ref="D10:D60" si="0">+C10*9%</f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I10" s="266">
        <v>0</v>
      </c>
    </row>
    <row r="11" spans="1:10" ht="15.75">
      <c r="A11" s="13" t="s">
        <v>60</v>
      </c>
      <c r="B11" s="70" t="s">
        <v>59</v>
      </c>
      <c r="C11" s="1200">
        <v>250</v>
      </c>
      <c r="D11" s="4">
        <f t="shared" si="0"/>
        <v>22.5</v>
      </c>
      <c r="E11" s="4">
        <f t="shared" ref="E11:E60" si="1">+D11</f>
        <v>22.5</v>
      </c>
      <c r="F11" s="4" t="str">
        <f t="shared" ref="F11:F56" si="2">IF(D11&gt;0," ",C11*18%)</f>
        <v xml:space="preserve"> </v>
      </c>
      <c r="G11" s="266">
        <v>0</v>
      </c>
      <c r="H11" s="266">
        <v>0</v>
      </c>
      <c r="I11" s="266">
        <v>0</v>
      </c>
    </row>
    <row r="12" spans="1:10" ht="15.75">
      <c r="A12" s="14" t="s">
        <v>58</v>
      </c>
      <c r="B12" s="70" t="s">
        <v>57</v>
      </c>
      <c r="C12" s="1200">
        <v>0</v>
      </c>
      <c r="D12" s="4">
        <f t="shared" si="0"/>
        <v>0</v>
      </c>
      <c r="E12" s="4">
        <f t="shared" si="1"/>
        <v>0</v>
      </c>
      <c r="F12" s="4">
        <f t="shared" si="2"/>
        <v>0</v>
      </c>
      <c r="G12" s="266">
        <v>0</v>
      </c>
      <c r="H12" s="266">
        <v>0</v>
      </c>
      <c r="I12" s="266">
        <v>0</v>
      </c>
    </row>
    <row r="13" spans="1:10" ht="15.75">
      <c r="A13" s="13" t="s">
        <v>56</v>
      </c>
      <c r="B13" s="70" t="s">
        <v>55</v>
      </c>
      <c r="C13" s="1200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266">
        <v>0</v>
      </c>
      <c r="H13" s="266">
        <v>0</v>
      </c>
      <c r="I13" s="266">
        <v>0</v>
      </c>
    </row>
    <row r="14" spans="1:10" ht="15.75">
      <c r="A14" s="13" t="s">
        <v>54</v>
      </c>
      <c r="B14" s="70" t="s">
        <v>53</v>
      </c>
      <c r="C14" s="1200">
        <v>0</v>
      </c>
      <c r="D14" s="4">
        <f t="shared" si="0"/>
        <v>0</v>
      </c>
      <c r="E14" s="4">
        <f t="shared" si="1"/>
        <v>0</v>
      </c>
      <c r="F14" s="4">
        <f t="shared" si="2"/>
        <v>0</v>
      </c>
      <c r="G14" s="266">
        <v>0</v>
      </c>
      <c r="H14" s="266">
        <v>0</v>
      </c>
      <c r="I14" s="266">
        <v>0</v>
      </c>
    </row>
    <row r="15" spans="1:10" ht="15.75">
      <c r="A15" s="13" t="s">
        <v>52</v>
      </c>
      <c r="B15" s="70" t="s">
        <v>51</v>
      </c>
      <c r="C15" s="1200">
        <v>130</v>
      </c>
      <c r="D15" s="4">
        <f t="shared" si="0"/>
        <v>11.7</v>
      </c>
      <c r="E15" s="4">
        <f t="shared" si="1"/>
        <v>11.7</v>
      </c>
      <c r="F15" s="4" t="str">
        <f t="shared" si="2"/>
        <v xml:space="preserve"> </v>
      </c>
      <c r="G15" s="266">
        <v>0</v>
      </c>
      <c r="H15" s="266">
        <v>0</v>
      </c>
      <c r="I15" s="266">
        <v>0</v>
      </c>
    </row>
    <row r="16" spans="1:10" ht="15.75">
      <c r="A16" s="14" t="s">
        <v>50</v>
      </c>
      <c r="B16" s="70" t="s">
        <v>49</v>
      </c>
      <c r="C16" s="1200">
        <v>0</v>
      </c>
      <c r="D16" s="4">
        <f t="shared" si="0"/>
        <v>0</v>
      </c>
      <c r="E16" s="4">
        <f t="shared" si="1"/>
        <v>0</v>
      </c>
      <c r="F16" s="4">
        <f t="shared" si="2"/>
        <v>0</v>
      </c>
      <c r="G16" s="266">
        <v>0</v>
      </c>
      <c r="H16" s="266">
        <v>0</v>
      </c>
      <c r="I16" s="266">
        <v>0</v>
      </c>
    </row>
    <row r="17" spans="1:15" ht="15.75">
      <c r="A17" s="14" t="s">
        <v>48</v>
      </c>
      <c r="B17" s="70" t="s">
        <v>47</v>
      </c>
      <c r="C17" s="1200">
        <v>0</v>
      </c>
      <c r="D17" s="4">
        <f t="shared" si="0"/>
        <v>0</v>
      </c>
      <c r="E17" s="4">
        <f t="shared" si="1"/>
        <v>0</v>
      </c>
      <c r="F17" s="4">
        <f t="shared" si="2"/>
        <v>0</v>
      </c>
      <c r="G17" s="266">
        <v>0</v>
      </c>
      <c r="H17" s="266">
        <v>0</v>
      </c>
      <c r="I17" s="266">
        <v>0</v>
      </c>
    </row>
    <row r="18" spans="1:15" ht="15.75">
      <c r="A18" s="14" t="s">
        <v>46</v>
      </c>
      <c r="B18" s="70" t="s">
        <v>45</v>
      </c>
      <c r="C18" s="1200">
        <v>0</v>
      </c>
      <c r="D18" s="4">
        <f t="shared" si="0"/>
        <v>0</v>
      </c>
      <c r="E18" s="4">
        <f t="shared" si="1"/>
        <v>0</v>
      </c>
      <c r="F18" s="4">
        <f t="shared" si="2"/>
        <v>0</v>
      </c>
      <c r="G18" s="266">
        <v>0</v>
      </c>
      <c r="H18" s="266">
        <v>0</v>
      </c>
      <c r="I18" s="266">
        <v>0</v>
      </c>
    </row>
    <row r="19" spans="1:15" ht="15.75">
      <c r="A19" s="13" t="s">
        <v>44</v>
      </c>
      <c r="B19" s="70" t="s">
        <v>43</v>
      </c>
      <c r="C19" s="1200">
        <v>2500</v>
      </c>
      <c r="D19" s="4">
        <f t="shared" si="0"/>
        <v>225</v>
      </c>
      <c r="E19" s="4">
        <f t="shared" si="1"/>
        <v>225</v>
      </c>
      <c r="F19" s="4" t="str">
        <f t="shared" si="2"/>
        <v xml:space="preserve"> </v>
      </c>
      <c r="G19" s="266">
        <v>0</v>
      </c>
      <c r="H19" s="266">
        <v>0</v>
      </c>
      <c r="I19" s="266">
        <v>0</v>
      </c>
    </row>
    <row r="20" spans="1:15" ht="15.75">
      <c r="A20" s="13">
        <v>3271</v>
      </c>
      <c r="B20" s="70" t="s">
        <v>533</v>
      </c>
      <c r="C20" s="1200">
        <v>1500</v>
      </c>
      <c r="D20" s="4">
        <f t="shared" si="0"/>
        <v>135</v>
      </c>
      <c r="E20" s="4">
        <f t="shared" si="1"/>
        <v>135</v>
      </c>
      <c r="F20" s="4" t="str">
        <f t="shared" si="2"/>
        <v xml:space="preserve"> </v>
      </c>
      <c r="G20" s="266">
        <v>0</v>
      </c>
      <c r="H20" s="266">
        <v>0</v>
      </c>
      <c r="I20" s="266">
        <v>0</v>
      </c>
      <c r="J20" s="40"/>
    </row>
    <row r="21" spans="1:15" ht="15.75">
      <c r="A21" s="13">
        <v>3274</v>
      </c>
      <c r="B21" s="70" t="s">
        <v>554</v>
      </c>
      <c r="C21" s="1200">
        <v>0</v>
      </c>
      <c r="D21" s="4">
        <f t="shared" si="0"/>
        <v>0</v>
      </c>
      <c r="E21" s="4">
        <f t="shared" si="1"/>
        <v>0</v>
      </c>
      <c r="F21" s="4">
        <f t="shared" si="2"/>
        <v>0</v>
      </c>
      <c r="G21" s="266">
        <v>0</v>
      </c>
      <c r="H21" s="266">
        <v>0</v>
      </c>
      <c r="I21" s="266">
        <v>0</v>
      </c>
    </row>
    <row r="22" spans="1:15" ht="15.75">
      <c r="A22" s="17" t="s">
        <v>42</v>
      </c>
      <c r="B22" s="70" t="s">
        <v>41</v>
      </c>
      <c r="C22" s="1198">
        <v>0</v>
      </c>
      <c r="D22" s="4">
        <f t="shared" si="0"/>
        <v>0</v>
      </c>
      <c r="E22" s="4">
        <f t="shared" si="1"/>
        <v>0</v>
      </c>
      <c r="F22" s="4">
        <f t="shared" si="2"/>
        <v>0</v>
      </c>
      <c r="G22" s="266">
        <v>0</v>
      </c>
      <c r="H22" s="266">
        <v>0</v>
      </c>
      <c r="I22" s="266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1198">
        <v>0</v>
      </c>
      <c r="D23" s="4">
        <f t="shared" si="0"/>
        <v>0</v>
      </c>
      <c r="E23" s="4">
        <f t="shared" si="1"/>
        <v>0</v>
      </c>
      <c r="F23" s="4">
        <f t="shared" si="2"/>
        <v>0</v>
      </c>
      <c r="G23" s="266">
        <v>0</v>
      </c>
      <c r="H23" s="266">
        <v>0</v>
      </c>
      <c r="I23" s="266">
        <v>0</v>
      </c>
    </row>
    <row r="24" spans="1:15" ht="15.75">
      <c r="A24" s="14" t="s">
        <v>38</v>
      </c>
      <c r="B24" s="70" t="s">
        <v>37</v>
      </c>
      <c r="C24" s="1198">
        <v>0</v>
      </c>
      <c r="D24" s="4">
        <f t="shared" si="0"/>
        <v>0</v>
      </c>
      <c r="E24" s="4">
        <f t="shared" si="1"/>
        <v>0</v>
      </c>
      <c r="F24" s="4">
        <f t="shared" si="2"/>
        <v>0</v>
      </c>
      <c r="G24" s="266">
        <v>0</v>
      </c>
      <c r="H24" s="266">
        <v>0</v>
      </c>
      <c r="I24" s="266">
        <v>0</v>
      </c>
    </row>
    <row r="25" spans="1:15" ht="15.75">
      <c r="A25" s="16" t="s">
        <v>36</v>
      </c>
      <c r="B25" s="70" t="s">
        <v>35</v>
      </c>
      <c r="C25" s="1198">
        <v>0</v>
      </c>
      <c r="D25" s="4">
        <f t="shared" si="0"/>
        <v>0</v>
      </c>
      <c r="E25" s="4">
        <f t="shared" si="1"/>
        <v>0</v>
      </c>
      <c r="F25" s="4">
        <f t="shared" si="2"/>
        <v>0</v>
      </c>
      <c r="G25" s="266">
        <v>0</v>
      </c>
      <c r="H25" s="266">
        <v>0</v>
      </c>
      <c r="I25" s="266">
        <v>0</v>
      </c>
    </row>
    <row r="26" spans="1:15" ht="15.75">
      <c r="A26" s="16" t="s">
        <v>34</v>
      </c>
      <c r="B26" s="70" t="s">
        <v>33</v>
      </c>
      <c r="C26" s="1198">
        <v>0</v>
      </c>
      <c r="D26" s="4">
        <f t="shared" si="0"/>
        <v>0</v>
      </c>
      <c r="E26" s="4">
        <f t="shared" si="1"/>
        <v>0</v>
      </c>
      <c r="F26" s="4">
        <f t="shared" si="2"/>
        <v>0</v>
      </c>
      <c r="G26" s="266">
        <v>0</v>
      </c>
      <c r="H26" s="266">
        <v>0</v>
      </c>
      <c r="I26" s="266">
        <v>0</v>
      </c>
    </row>
    <row r="27" spans="1:15" ht="15.75">
      <c r="A27" s="137">
        <v>3287</v>
      </c>
      <c r="B27" s="70" t="s">
        <v>31</v>
      </c>
      <c r="C27" s="1200">
        <v>0</v>
      </c>
      <c r="D27" s="4">
        <f t="shared" si="0"/>
        <v>0</v>
      </c>
      <c r="E27" s="4">
        <f t="shared" si="1"/>
        <v>0</v>
      </c>
      <c r="F27" s="4">
        <f t="shared" si="2"/>
        <v>0</v>
      </c>
      <c r="G27" s="266">
        <v>0</v>
      </c>
      <c r="H27" s="266">
        <v>0</v>
      </c>
      <c r="I27" s="266">
        <v>0</v>
      </c>
    </row>
    <row r="28" spans="1:15" ht="15.75">
      <c r="A28" s="137">
        <v>3291</v>
      </c>
      <c r="B28" s="33" t="s">
        <v>325</v>
      </c>
      <c r="C28" s="1200">
        <v>0</v>
      </c>
      <c r="D28" s="4">
        <f t="shared" si="0"/>
        <v>0</v>
      </c>
      <c r="E28" s="4">
        <f>+D28</f>
        <v>0</v>
      </c>
      <c r="F28" s="4">
        <f t="shared" si="2"/>
        <v>0</v>
      </c>
      <c r="G28" s="266">
        <v>0</v>
      </c>
      <c r="H28" s="266">
        <v>0</v>
      </c>
      <c r="I28" s="266">
        <v>0</v>
      </c>
    </row>
    <row r="29" spans="1:15" ht="15.75">
      <c r="A29" s="137" t="s">
        <v>526</v>
      </c>
      <c r="B29" s="33" t="s">
        <v>523</v>
      </c>
      <c r="C29" s="1200">
        <v>510</v>
      </c>
      <c r="D29" s="4">
        <f t="shared" si="0"/>
        <v>45.9</v>
      </c>
      <c r="E29" s="4">
        <f>+D29</f>
        <v>45.9</v>
      </c>
      <c r="F29" s="4" t="str">
        <f t="shared" si="2"/>
        <v xml:space="preserve"> </v>
      </c>
      <c r="G29" s="266">
        <v>0</v>
      </c>
      <c r="H29" s="266">
        <v>0</v>
      </c>
      <c r="I29" s="266">
        <v>0</v>
      </c>
    </row>
    <row r="30" spans="1:15" ht="15.75">
      <c r="A30" s="137" t="s">
        <v>527</v>
      </c>
      <c r="B30" s="33" t="s">
        <v>524</v>
      </c>
      <c r="C30" s="1200">
        <v>5620</v>
      </c>
      <c r="D30" s="4">
        <f t="shared" si="0"/>
        <v>505.79999999999995</v>
      </c>
      <c r="E30" s="4">
        <f>+D30</f>
        <v>505.79999999999995</v>
      </c>
      <c r="F30" s="4" t="str">
        <f t="shared" si="2"/>
        <v xml:space="preserve"> </v>
      </c>
      <c r="G30" s="266">
        <v>0</v>
      </c>
      <c r="H30" s="266"/>
      <c r="I30" s="266">
        <v>0</v>
      </c>
    </row>
    <row r="31" spans="1:15" ht="15.75">
      <c r="A31" s="137" t="s">
        <v>528</v>
      </c>
      <c r="B31" s="33" t="s">
        <v>529</v>
      </c>
      <c r="C31" s="1200">
        <v>350</v>
      </c>
      <c r="D31" s="4">
        <f t="shared" si="0"/>
        <v>31.5</v>
      </c>
      <c r="E31" s="4">
        <f>+D31</f>
        <v>31.5</v>
      </c>
      <c r="F31" s="4" t="str">
        <f t="shared" si="2"/>
        <v xml:space="preserve"> </v>
      </c>
      <c r="G31" s="266">
        <v>0</v>
      </c>
      <c r="H31" s="266">
        <v>0</v>
      </c>
      <c r="I31" s="266">
        <v>0</v>
      </c>
    </row>
    <row r="32" spans="1:15" ht="15.75">
      <c r="A32" s="137" t="s">
        <v>531</v>
      </c>
      <c r="B32" s="33" t="s">
        <v>532</v>
      </c>
      <c r="C32" s="1200">
        <v>0</v>
      </c>
      <c r="D32" s="4">
        <f t="shared" si="0"/>
        <v>0</v>
      </c>
      <c r="E32" s="4">
        <f>+D32</f>
        <v>0</v>
      </c>
      <c r="F32" s="4">
        <f t="shared" si="2"/>
        <v>0</v>
      </c>
      <c r="G32" s="266">
        <v>0</v>
      </c>
      <c r="H32" s="266">
        <v>0</v>
      </c>
      <c r="I32" s="266">
        <v>0</v>
      </c>
    </row>
    <row r="33" spans="1:9" ht="15.75">
      <c r="A33" s="13" t="s">
        <v>30</v>
      </c>
      <c r="B33" s="70" t="s">
        <v>29</v>
      </c>
      <c r="C33" s="1200">
        <v>119575.7</v>
      </c>
      <c r="D33" s="4">
        <f t="shared" si="0"/>
        <v>10761.813</v>
      </c>
      <c r="E33" s="4">
        <f t="shared" si="1"/>
        <v>10761.813</v>
      </c>
      <c r="F33" s="4" t="str">
        <f t="shared" si="2"/>
        <v xml:space="preserve"> </v>
      </c>
      <c r="G33" s="266">
        <v>0</v>
      </c>
      <c r="H33" s="266">
        <v>0</v>
      </c>
      <c r="I33" s="266">
        <v>0</v>
      </c>
    </row>
    <row r="34" spans="1:9" ht="15.75">
      <c r="A34" s="14" t="s">
        <v>401</v>
      </c>
      <c r="B34" s="70" t="s">
        <v>154</v>
      </c>
      <c r="C34" s="1200">
        <v>0</v>
      </c>
      <c r="D34" s="4">
        <f t="shared" si="0"/>
        <v>0</v>
      </c>
      <c r="E34" s="4">
        <f>+D34</f>
        <v>0</v>
      </c>
      <c r="F34" s="4">
        <f t="shared" si="2"/>
        <v>0</v>
      </c>
      <c r="G34" s="266">
        <v>0</v>
      </c>
      <c r="H34" s="266">
        <v>0</v>
      </c>
      <c r="I34" s="266">
        <v>0</v>
      </c>
    </row>
    <row r="35" spans="1:9" ht="15.75">
      <c r="A35" s="13">
        <v>3302</v>
      </c>
      <c r="B35" s="70" t="s">
        <v>525</v>
      </c>
      <c r="C35" s="1198">
        <v>0</v>
      </c>
      <c r="D35" s="4">
        <f>+C35*9%</f>
        <v>0</v>
      </c>
      <c r="E35" s="4">
        <f>+D35</f>
        <v>0</v>
      </c>
      <c r="F35" s="4">
        <f>IF(D35&gt;0," ",C35*18%)</f>
        <v>0</v>
      </c>
      <c r="G35" s="266">
        <v>0</v>
      </c>
      <c r="H35" s="266">
        <v>0</v>
      </c>
      <c r="I35" s="266">
        <v>0</v>
      </c>
    </row>
    <row r="36" spans="1:9" ht="15.75">
      <c r="A36" s="14" t="s">
        <v>28</v>
      </c>
      <c r="B36" s="70" t="s">
        <v>27</v>
      </c>
      <c r="C36" s="1198">
        <v>0</v>
      </c>
      <c r="D36" s="4">
        <f t="shared" si="0"/>
        <v>0</v>
      </c>
      <c r="E36" s="4">
        <f t="shared" si="1"/>
        <v>0</v>
      </c>
      <c r="F36" s="4">
        <f t="shared" si="2"/>
        <v>0</v>
      </c>
      <c r="G36" s="266">
        <v>0</v>
      </c>
      <c r="H36" s="266">
        <v>0</v>
      </c>
      <c r="I36" s="266">
        <v>0</v>
      </c>
    </row>
    <row r="37" spans="1:9" ht="15.75">
      <c r="A37" s="16" t="s">
        <v>114</v>
      </c>
      <c r="B37" s="70" t="s">
        <v>115</v>
      </c>
      <c r="C37" s="1200">
        <v>0</v>
      </c>
      <c r="D37" s="4">
        <f t="shared" si="0"/>
        <v>0</v>
      </c>
      <c r="E37" s="4">
        <f t="shared" si="1"/>
        <v>0</v>
      </c>
      <c r="F37" s="4">
        <f t="shared" si="2"/>
        <v>0</v>
      </c>
      <c r="G37" s="266">
        <v>0</v>
      </c>
      <c r="H37" s="266">
        <v>0</v>
      </c>
      <c r="I37" s="266">
        <v>0</v>
      </c>
    </row>
    <row r="38" spans="1:9" ht="15.75">
      <c r="A38" s="13" t="s">
        <v>26</v>
      </c>
      <c r="B38" s="70" t="s">
        <v>25</v>
      </c>
      <c r="C38" s="1200">
        <v>581.69000000000005</v>
      </c>
      <c r="D38" s="4">
        <f t="shared" si="0"/>
        <v>52.3521</v>
      </c>
      <c r="E38" s="4">
        <f t="shared" si="1"/>
        <v>52.3521</v>
      </c>
      <c r="F38" s="4">
        <v>0</v>
      </c>
      <c r="G38" s="266">
        <v>0</v>
      </c>
      <c r="H38" s="266">
        <v>0</v>
      </c>
      <c r="I38" s="266">
        <v>0</v>
      </c>
    </row>
    <row r="39" spans="1:9" ht="15.75">
      <c r="A39" s="13" t="s">
        <v>24</v>
      </c>
      <c r="B39" s="70" t="s">
        <v>23</v>
      </c>
      <c r="C39" s="1200">
        <v>2250</v>
      </c>
      <c r="D39" s="4">
        <f t="shared" si="0"/>
        <v>202.5</v>
      </c>
      <c r="E39" s="4">
        <f t="shared" si="1"/>
        <v>202.5</v>
      </c>
      <c r="F39" s="4">
        <v>0</v>
      </c>
      <c r="G39" s="266">
        <v>0</v>
      </c>
      <c r="H39" s="266">
        <v>0</v>
      </c>
      <c r="I39" s="266">
        <v>0</v>
      </c>
    </row>
    <row r="40" spans="1:9" ht="15.75">
      <c r="A40" s="13" t="s">
        <v>22</v>
      </c>
      <c r="B40" s="70" t="s">
        <v>21</v>
      </c>
      <c r="C40" s="1200">
        <v>9050</v>
      </c>
      <c r="D40" s="4">
        <f t="shared" si="0"/>
        <v>814.5</v>
      </c>
      <c r="E40" s="4">
        <f t="shared" si="1"/>
        <v>814.5</v>
      </c>
      <c r="F40" s="4" t="str">
        <f t="shared" si="2"/>
        <v xml:space="preserve"> </v>
      </c>
      <c r="G40" s="266"/>
      <c r="H40" s="266">
        <v>0</v>
      </c>
      <c r="I40" s="266">
        <v>0</v>
      </c>
    </row>
    <row r="41" spans="1:9" ht="15.75">
      <c r="A41" s="13" t="s">
        <v>20</v>
      </c>
      <c r="B41" s="70" t="s">
        <v>19</v>
      </c>
      <c r="C41" s="1200">
        <v>3600</v>
      </c>
      <c r="D41" s="4">
        <f t="shared" si="0"/>
        <v>324</v>
      </c>
      <c r="E41" s="4">
        <f t="shared" si="1"/>
        <v>324</v>
      </c>
      <c r="F41" s="4" t="str">
        <f t="shared" si="2"/>
        <v xml:space="preserve"> </v>
      </c>
      <c r="G41" s="266">
        <v>0</v>
      </c>
      <c r="H41" s="266">
        <v>0</v>
      </c>
      <c r="I41" s="266">
        <v>0</v>
      </c>
    </row>
    <row r="42" spans="1:9" ht="15.75">
      <c r="A42" s="14" t="s">
        <v>18</v>
      </c>
      <c r="B42" s="70" t="s">
        <v>17</v>
      </c>
      <c r="C42" s="1200">
        <v>2850</v>
      </c>
      <c r="D42" s="4">
        <f t="shared" si="0"/>
        <v>256.5</v>
      </c>
      <c r="E42" s="4">
        <f t="shared" si="1"/>
        <v>256.5</v>
      </c>
      <c r="F42" s="4" t="str">
        <f t="shared" si="2"/>
        <v xml:space="preserve"> </v>
      </c>
      <c r="G42" s="266">
        <v>0</v>
      </c>
      <c r="H42" s="266">
        <v>0</v>
      </c>
      <c r="I42" s="266">
        <v>0</v>
      </c>
    </row>
    <row r="43" spans="1:9" ht="15.75">
      <c r="A43" s="14" t="s">
        <v>16</v>
      </c>
      <c r="B43" s="70" t="s">
        <v>15</v>
      </c>
      <c r="C43" s="1200">
        <v>0</v>
      </c>
      <c r="D43" s="4">
        <f t="shared" si="0"/>
        <v>0</v>
      </c>
      <c r="E43" s="4">
        <f t="shared" si="1"/>
        <v>0</v>
      </c>
      <c r="F43" s="4">
        <f t="shared" si="2"/>
        <v>0</v>
      </c>
      <c r="G43" s="266">
        <v>0</v>
      </c>
      <c r="H43" s="266">
        <v>0</v>
      </c>
      <c r="I43" s="266">
        <v>0</v>
      </c>
    </row>
    <row r="44" spans="1:9" ht="15.75">
      <c r="A44" s="14" t="s">
        <v>14</v>
      </c>
      <c r="B44" s="70" t="s">
        <v>13</v>
      </c>
      <c r="C44" s="1200">
        <v>1665</v>
      </c>
      <c r="D44" s="4">
        <f t="shared" si="0"/>
        <v>149.85</v>
      </c>
      <c r="E44" s="4">
        <f t="shared" si="1"/>
        <v>149.85</v>
      </c>
      <c r="F44" s="4" t="str">
        <f t="shared" si="2"/>
        <v xml:space="preserve"> </v>
      </c>
      <c r="G44" s="266">
        <v>0</v>
      </c>
      <c r="H44" s="266">
        <v>0</v>
      </c>
      <c r="I44" s="266">
        <v>0</v>
      </c>
    </row>
    <row r="45" spans="1:9" ht="15.75">
      <c r="A45" s="14" t="s">
        <v>396</v>
      </c>
      <c r="B45" s="70" t="s">
        <v>286</v>
      </c>
      <c r="C45" s="1200">
        <v>0</v>
      </c>
      <c r="D45" s="4">
        <f t="shared" si="0"/>
        <v>0</v>
      </c>
      <c r="E45" s="4">
        <f t="shared" si="1"/>
        <v>0</v>
      </c>
      <c r="F45" s="4">
        <f t="shared" si="2"/>
        <v>0</v>
      </c>
      <c r="G45" s="266">
        <v>0</v>
      </c>
      <c r="H45" s="266">
        <v>0</v>
      </c>
      <c r="I45" s="266">
        <v>0</v>
      </c>
    </row>
    <row r="46" spans="1:9" ht="15.75">
      <c r="A46" s="14" t="s">
        <v>12</v>
      </c>
      <c r="B46" s="70" t="s">
        <v>11</v>
      </c>
      <c r="C46" s="1200">
        <v>0</v>
      </c>
      <c r="D46" s="4">
        <f t="shared" si="0"/>
        <v>0</v>
      </c>
      <c r="E46" s="4">
        <f t="shared" si="1"/>
        <v>0</v>
      </c>
      <c r="F46" s="4">
        <f t="shared" si="2"/>
        <v>0</v>
      </c>
      <c r="G46" s="266">
        <v>0</v>
      </c>
      <c r="H46" s="266">
        <v>0</v>
      </c>
      <c r="I46" s="266">
        <v>0</v>
      </c>
    </row>
    <row r="47" spans="1:9" ht="15.75">
      <c r="A47" s="14" t="s">
        <v>397</v>
      </c>
      <c r="B47" s="70" t="s">
        <v>290</v>
      </c>
      <c r="C47" s="1200">
        <f>1419045-1419045</f>
        <v>0</v>
      </c>
      <c r="D47" s="4">
        <f t="shared" si="0"/>
        <v>0</v>
      </c>
      <c r="E47" s="4">
        <f t="shared" si="1"/>
        <v>0</v>
      </c>
      <c r="F47" s="4">
        <v>0</v>
      </c>
      <c r="G47" s="266">
        <v>0</v>
      </c>
      <c r="H47" s="266">
        <v>0</v>
      </c>
      <c r="I47" s="266">
        <v>0</v>
      </c>
    </row>
    <row r="48" spans="1:9" ht="15.75">
      <c r="A48" s="14" t="s">
        <v>398</v>
      </c>
      <c r="B48" s="70" t="s">
        <v>156</v>
      </c>
      <c r="C48" s="1200">
        <v>0</v>
      </c>
      <c r="D48" s="4">
        <f t="shared" si="0"/>
        <v>0</v>
      </c>
      <c r="E48" s="4">
        <f t="shared" si="1"/>
        <v>0</v>
      </c>
      <c r="F48" s="4">
        <f t="shared" si="2"/>
        <v>0</v>
      </c>
      <c r="G48" s="266">
        <v>0</v>
      </c>
      <c r="H48" s="266">
        <v>0</v>
      </c>
      <c r="I48" s="266">
        <v>0</v>
      </c>
    </row>
    <row r="49" spans="1:13" ht="15.75">
      <c r="A49" s="14" t="s">
        <v>399</v>
      </c>
      <c r="B49" s="70" t="s">
        <v>335</v>
      </c>
      <c r="C49" s="1200">
        <v>0</v>
      </c>
      <c r="D49" s="4">
        <f t="shared" si="0"/>
        <v>0</v>
      </c>
      <c r="E49" s="4">
        <f>+D49</f>
        <v>0</v>
      </c>
      <c r="F49" s="4">
        <f t="shared" si="2"/>
        <v>0</v>
      </c>
      <c r="G49" s="266">
        <v>0</v>
      </c>
      <c r="H49" s="266">
        <v>0</v>
      </c>
      <c r="I49" s="266">
        <v>0</v>
      </c>
    </row>
    <row r="50" spans="1:13" ht="15.75">
      <c r="A50" s="14">
        <v>3324</v>
      </c>
      <c r="B50" s="70" t="s">
        <v>438</v>
      </c>
      <c r="C50" s="1200">
        <v>250.67</v>
      </c>
      <c r="D50" s="4">
        <f t="shared" si="0"/>
        <v>22.560299999999998</v>
      </c>
      <c r="E50" s="4">
        <f>+D50</f>
        <v>22.560299999999998</v>
      </c>
      <c r="F50" s="4" t="str">
        <f t="shared" si="2"/>
        <v xml:space="preserve"> </v>
      </c>
      <c r="G50" s="266">
        <v>0</v>
      </c>
      <c r="H50" s="266">
        <v>0</v>
      </c>
      <c r="I50" s="266">
        <v>0</v>
      </c>
    </row>
    <row r="51" spans="1:13" ht="15.75">
      <c r="A51" s="161">
        <v>3325</v>
      </c>
      <c r="B51" s="70" t="s">
        <v>606</v>
      </c>
      <c r="C51" s="1198">
        <v>0</v>
      </c>
      <c r="D51" s="4">
        <f>+C51*2.5%</f>
        <v>0</v>
      </c>
      <c r="E51" s="4">
        <f>+D51</f>
        <v>0</v>
      </c>
      <c r="F51" s="4">
        <f t="shared" si="2"/>
        <v>0</v>
      </c>
      <c r="G51" s="266">
        <v>0</v>
      </c>
      <c r="H51" s="266">
        <v>0</v>
      </c>
      <c r="I51" s="266">
        <v>0</v>
      </c>
    </row>
    <row r="52" spans="1:13" ht="18" customHeight="1">
      <c r="A52" s="14" t="s">
        <v>400</v>
      </c>
      <c r="B52" s="70" t="s">
        <v>300</v>
      </c>
      <c r="C52" s="1200">
        <v>22476.75</v>
      </c>
      <c r="D52" s="4">
        <f t="shared" si="0"/>
        <v>2022.9075</v>
      </c>
      <c r="E52" s="4">
        <f t="shared" si="1"/>
        <v>2022.9075</v>
      </c>
      <c r="F52" s="4" t="str">
        <f t="shared" si="2"/>
        <v xml:space="preserve"> </v>
      </c>
      <c r="G52" s="266">
        <v>0</v>
      </c>
      <c r="H52" s="266">
        <v>0</v>
      </c>
      <c r="I52" s="266">
        <v>0</v>
      </c>
    </row>
    <row r="53" spans="1:13" ht="15.75" customHeight="1">
      <c r="A53" s="14">
        <v>3359</v>
      </c>
      <c r="B53" s="70" t="s">
        <v>683</v>
      </c>
      <c r="C53" s="1198">
        <v>0</v>
      </c>
      <c r="D53" s="4">
        <f t="shared" si="0"/>
        <v>0</v>
      </c>
      <c r="E53" s="4">
        <f t="shared" si="1"/>
        <v>0</v>
      </c>
      <c r="F53" s="4">
        <f t="shared" si="2"/>
        <v>0</v>
      </c>
      <c r="G53" s="266">
        <v>0</v>
      </c>
      <c r="H53" s="266">
        <v>0</v>
      </c>
      <c r="I53" s="266">
        <v>0</v>
      </c>
    </row>
    <row r="54" spans="1:13" ht="18.75" customHeight="1">
      <c r="A54" s="14">
        <v>3825</v>
      </c>
      <c r="B54" s="70" t="s">
        <v>646</v>
      </c>
      <c r="C54" s="1198">
        <v>0</v>
      </c>
      <c r="D54" s="4"/>
      <c r="E54" s="4"/>
      <c r="F54" s="4">
        <f t="shared" si="2"/>
        <v>0</v>
      </c>
      <c r="G54" s="266">
        <v>0</v>
      </c>
      <c r="H54" s="266">
        <v>0</v>
      </c>
      <c r="I54" s="266">
        <v>0</v>
      </c>
    </row>
    <row r="55" spans="1:13" ht="15.75">
      <c r="A55" s="14">
        <v>3362</v>
      </c>
      <c r="B55" s="70" t="s">
        <v>739</v>
      </c>
      <c r="C55" s="1198">
        <v>0</v>
      </c>
      <c r="D55" s="4"/>
      <c r="E55" s="4"/>
      <c r="F55" s="4">
        <f t="shared" si="2"/>
        <v>0</v>
      </c>
      <c r="G55" s="266">
        <v>0</v>
      </c>
      <c r="H55" s="266">
        <v>0</v>
      </c>
      <c r="I55" s="266">
        <v>0</v>
      </c>
    </row>
    <row r="56" spans="1:13" ht="19.5" customHeight="1">
      <c r="A56" s="14">
        <v>3340</v>
      </c>
      <c r="B56" s="70" t="s">
        <v>785</v>
      </c>
      <c r="C56" s="1198">
        <v>0</v>
      </c>
      <c r="D56" s="4">
        <f>+C56*9%</f>
        <v>0</v>
      </c>
      <c r="E56" s="4">
        <f>+D56</f>
        <v>0</v>
      </c>
      <c r="F56" s="4">
        <f t="shared" si="2"/>
        <v>0</v>
      </c>
      <c r="G56" s="266">
        <v>0</v>
      </c>
      <c r="H56" s="266">
        <v>0</v>
      </c>
      <c r="I56" s="266">
        <v>0</v>
      </c>
    </row>
    <row r="57" spans="1:13" ht="15.75">
      <c r="A57" s="15" t="s">
        <v>10</v>
      </c>
      <c r="B57" s="70"/>
      <c r="C57" s="925"/>
      <c r="D57" s="4">
        <f t="shared" si="0"/>
        <v>0</v>
      </c>
      <c r="E57" s="4">
        <f t="shared" si="1"/>
        <v>0</v>
      </c>
      <c r="F57" s="4"/>
      <c r="G57" s="266">
        <v>0</v>
      </c>
      <c r="H57" s="266">
        <v>0</v>
      </c>
      <c r="I57" s="266">
        <v>0</v>
      </c>
    </row>
    <row r="58" spans="1:13" ht="15.75">
      <c r="A58" s="14" t="s">
        <v>9</v>
      </c>
      <c r="B58" s="70" t="s">
        <v>8</v>
      </c>
      <c r="C58" s="925"/>
      <c r="D58" s="4">
        <f t="shared" si="0"/>
        <v>0</v>
      </c>
      <c r="E58" s="4">
        <f t="shared" si="1"/>
        <v>0</v>
      </c>
      <c r="F58" s="4">
        <v>0</v>
      </c>
      <c r="G58" s="266">
        <v>0</v>
      </c>
      <c r="H58" s="266">
        <v>0</v>
      </c>
      <c r="I58" s="266">
        <v>0</v>
      </c>
    </row>
    <row r="59" spans="1:13" ht="15.75">
      <c r="A59" s="13" t="s">
        <v>7</v>
      </c>
      <c r="B59" s="70" t="s">
        <v>6</v>
      </c>
      <c r="C59" s="1198">
        <f>186850-3697</f>
        <v>183153</v>
      </c>
      <c r="D59" s="4">
        <f t="shared" si="0"/>
        <v>16483.77</v>
      </c>
      <c r="E59" s="4">
        <f t="shared" si="1"/>
        <v>16483.77</v>
      </c>
      <c r="F59" s="4">
        <v>0</v>
      </c>
      <c r="G59" s="925">
        <v>3697</v>
      </c>
      <c r="H59" s="266">
        <v>0</v>
      </c>
      <c r="I59" s="266">
        <v>0</v>
      </c>
      <c r="K59" s="1" t="s">
        <v>5</v>
      </c>
      <c r="L59" s="1" t="s">
        <v>5</v>
      </c>
    </row>
    <row r="60" spans="1:13" ht="15.75">
      <c r="A60" s="5" t="s">
        <v>5</v>
      </c>
      <c r="B60" s="70" t="s">
        <v>4</v>
      </c>
      <c r="C60" s="925">
        <v>0</v>
      </c>
      <c r="D60" s="4">
        <f t="shared" si="0"/>
        <v>0</v>
      </c>
      <c r="E60" s="4">
        <f t="shared" si="1"/>
        <v>0</v>
      </c>
      <c r="F60" s="4"/>
      <c r="G60" s="266">
        <v>0</v>
      </c>
      <c r="H60" s="266">
        <v>0</v>
      </c>
      <c r="I60" s="266">
        <v>0</v>
      </c>
      <c r="K60" s="1" t="s">
        <v>5</v>
      </c>
      <c r="L60" s="1" t="s">
        <v>5</v>
      </c>
      <c r="M60" s="1" t="s">
        <v>5</v>
      </c>
    </row>
    <row r="61" spans="1:13" ht="15.75">
      <c r="A61" s="434"/>
      <c r="B61" s="432" t="s">
        <v>465</v>
      </c>
      <c r="C61" s="925">
        <v>0</v>
      </c>
      <c r="D61" s="433"/>
      <c r="E61" s="433"/>
      <c r="F61" s="433"/>
      <c r="G61" s="266">
        <v>0</v>
      </c>
      <c r="H61" s="266">
        <v>0</v>
      </c>
      <c r="I61" s="266">
        <v>0</v>
      </c>
    </row>
    <row r="62" spans="1:13" ht="16.5" thickBot="1">
      <c r="A62" s="12"/>
      <c r="B62" s="11" t="s">
        <v>3</v>
      </c>
      <c r="C62" s="10">
        <f>SUM(C9:C61)</f>
        <v>356312.81000000006</v>
      </c>
      <c r="D62" s="10">
        <f>SUM(D9:D61)</f>
        <v>32068.152900000001</v>
      </c>
      <c r="E62" s="10">
        <f>SUM(E9:E61)</f>
        <v>32068.152900000001</v>
      </c>
      <c r="F62" s="10">
        <f>SUM(F9:F61)</f>
        <v>0</v>
      </c>
      <c r="G62" s="10">
        <f>SUM(G9:G61)</f>
        <v>3697</v>
      </c>
      <c r="H62" s="10">
        <f>SUM(H9:H59)</f>
        <v>0</v>
      </c>
      <c r="I62" s="10">
        <f>SUM(I9:I59)</f>
        <v>0</v>
      </c>
    </row>
    <row r="63" spans="1:13" ht="16.5" thickTop="1">
      <c r="A63" s="9" t="s">
        <v>2</v>
      </c>
      <c r="B63" s="8"/>
      <c r="C63" s="7"/>
      <c r="D63" s="7"/>
      <c r="E63" s="7"/>
      <c r="F63" s="6"/>
    </row>
    <row r="64" spans="1:13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H64" s="32" t="s">
        <v>5</v>
      </c>
    </row>
    <row r="65" spans="1:11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1" ht="15.75">
      <c r="A66" s="1228" t="s">
        <v>75</v>
      </c>
      <c r="B66" s="1228"/>
      <c r="C66" s="1228"/>
      <c r="D66" s="1228"/>
      <c r="E66" s="1228"/>
      <c r="F66" s="1228"/>
      <c r="G66" s="1" t="s">
        <v>5</v>
      </c>
      <c r="K66" s="1" t="s">
        <v>5</v>
      </c>
    </row>
    <row r="67" spans="1:11" ht="15.75">
      <c r="A67" s="28"/>
      <c r="B67" s="28"/>
      <c r="C67" s="28"/>
      <c r="D67" s="28"/>
      <c r="E67" s="28"/>
      <c r="F67" s="28"/>
      <c r="G67" s="1">
        <f>+C62*9%</f>
        <v>32068.152900000005</v>
      </c>
      <c r="H67" s="32">
        <f>13%/2</f>
        <v>6.5000000000000002E-2</v>
      </c>
      <c r="I67" s="1">
        <f>+G67-H67</f>
        <v>32068.087900000006</v>
      </c>
      <c r="K67" s="1" t="s">
        <v>5</v>
      </c>
    </row>
    <row r="68" spans="1:11" ht="15.75">
      <c r="A68" s="29" t="s">
        <v>76</v>
      </c>
      <c r="B68" s="29"/>
      <c r="C68" s="3"/>
      <c r="D68" s="3"/>
      <c r="E68" s="3"/>
      <c r="F68" s="3"/>
      <c r="K68" s="1" t="s">
        <v>5</v>
      </c>
    </row>
    <row r="69" spans="1:1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1">
      <c r="A70" s="1247"/>
      <c r="B70" s="1248"/>
      <c r="C70" s="1249"/>
      <c r="D70" s="1236"/>
      <c r="E70" s="1236"/>
      <c r="F70" s="1232"/>
      <c r="H70" s="32">
        <f>8.1+8.1+32.4+8.1+8.1+2.7+16.2+8.1+64.8+8.1+32.4+16.2+16.2+48.6+16.2+8.1+16.2+4.5+16.2+8.1+8.1+32.4+16.2+8.1+8.1+48.6</f>
        <v>468.90000000000003</v>
      </c>
      <c r="I70" s="1">
        <f>+H70/9%</f>
        <v>5210.0000000000009</v>
      </c>
    </row>
    <row r="71" spans="1:11" ht="15.75">
      <c r="A71" s="1241" t="s">
        <v>80</v>
      </c>
      <c r="B71" s="1242"/>
      <c r="C71" s="1243"/>
      <c r="D71" s="105">
        <f>+D62</f>
        <v>32068.152900000001</v>
      </c>
      <c r="E71" s="105">
        <f>+E62</f>
        <v>32068.152900000001</v>
      </c>
      <c r="F71" s="105">
        <f>+F62</f>
        <v>0</v>
      </c>
    </row>
    <row r="72" spans="1:11" ht="15.75">
      <c r="A72" s="43" t="s">
        <v>103</v>
      </c>
      <c r="B72" s="43"/>
      <c r="C72" s="43">
        <f>G62</f>
        <v>3697</v>
      </c>
      <c r="D72" s="106">
        <f>+C72*0.09</f>
        <v>332.72999999999996</v>
      </c>
      <c r="E72" s="106">
        <f>+C72*0.09</f>
        <v>332.72999999999996</v>
      </c>
      <c r="F72" s="105">
        <v>0</v>
      </c>
    </row>
    <row r="73" spans="1:11" ht="15.75">
      <c r="A73" s="43"/>
      <c r="B73" s="43"/>
      <c r="C73" s="43" t="s">
        <v>153</v>
      </c>
      <c r="D73" s="105">
        <f>+D71+D72</f>
        <v>32400.882900000001</v>
      </c>
      <c r="E73" s="105">
        <f>+E71+E72</f>
        <v>32400.882900000001</v>
      </c>
      <c r="F73" s="105">
        <v>0</v>
      </c>
      <c r="H73" s="32">
        <f>+C62+C72</f>
        <v>360009.81000000006</v>
      </c>
    </row>
    <row r="74" spans="1:11" ht="15.75">
      <c r="A74" s="1241" t="s">
        <v>104</v>
      </c>
      <c r="B74" s="1242"/>
      <c r="C74" s="1243"/>
      <c r="D74" s="108">
        <v>32402.95</v>
      </c>
      <c r="E74" s="108">
        <f>+D74</f>
        <v>32402.95</v>
      </c>
      <c r="F74" s="108">
        <v>0</v>
      </c>
      <c r="G74" s="1" t="s">
        <v>5</v>
      </c>
      <c r="H74" s="32">
        <f>+H73*0.18</f>
        <v>64801.765800000008</v>
      </c>
      <c r="J74" s="72"/>
    </row>
    <row r="75" spans="1:11" ht="15.75">
      <c r="A75" s="1250" t="s">
        <v>79</v>
      </c>
      <c r="B75" s="1251"/>
      <c r="C75" s="1252"/>
      <c r="D75" s="638">
        <f>+D73-D74</f>
        <v>-2.0671000000002095</v>
      </c>
      <c r="E75" s="638">
        <f>+E73-E74</f>
        <v>-2.0671000000002095</v>
      </c>
      <c r="F75" s="1027">
        <f>IF(F71&gt;F74,F71,F74)</f>
        <v>0</v>
      </c>
      <c r="G75" s="73">
        <f>+E75/9*100</f>
        <v>-22.967777777780107</v>
      </c>
      <c r="H75" s="625" t="s">
        <v>5</v>
      </c>
    </row>
    <row r="76" spans="1:11" ht="15.75" customHeight="1">
      <c r="A76" s="930"/>
      <c r="B76" s="930"/>
      <c r="C76" s="930"/>
      <c r="D76" s="930"/>
      <c r="E76" s="930"/>
      <c r="F76" s="930"/>
    </row>
    <row r="77" spans="1:11" ht="15.75" customHeight="1">
      <c r="A77" s="931"/>
      <c r="B77" s="931"/>
      <c r="C77" s="931"/>
      <c r="D77" s="931"/>
      <c r="E77" s="931"/>
      <c r="F77" s="931"/>
    </row>
    <row r="78" spans="1:11" ht="15.75">
      <c r="A78" s="27" t="s">
        <v>77</v>
      </c>
      <c r="B78" s="2"/>
      <c r="C78" s="3"/>
      <c r="D78" s="3"/>
      <c r="E78" s="3"/>
      <c r="F78" s="3"/>
      <c r="J78" s="1" t="s">
        <v>5</v>
      </c>
      <c r="K78" s="1" t="s">
        <v>5</v>
      </c>
    </row>
    <row r="79" spans="1:11">
      <c r="A79" s="1218" t="s">
        <v>65</v>
      </c>
      <c r="B79" s="1219"/>
      <c r="C79" s="1220"/>
      <c r="D79" s="1253" t="s">
        <v>70</v>
      </c>
      <c r="E79" s="1234" t="s">
        <v>71</v>
      </c>
      <c r="F79" s="1234" t="s">
        <v>72</v>
      </c>
    </row>
    <row r="80" spans="1:11">
      <c r="A80" s="1221"/>
      <c r="B80" s="1222"/>
      <c r="C80" s="1223"/>
      <c r="D80" s="1254" t="s">
        <v>67</v>
      </c>
      <c r="E80" s="1235"/>
      <c r="F80" s="1235"/>
    </row>
    <row r="81" spans="1:9">
      <c r="A81" s="1225"/>
      <c r="B81" s="1226"/>
      <c r="C81" s="1227"/>
      <c r="D81" s="42"/>
      <c r="E81" s="42"/>
      <c r="F81" s="42"/>
      <c r="G81" s="32"/>
    </row>
    <row r="82" spans="1:9" ht="15.75">
      <c r="A82" s="1216" t="s">
        <v>69</v>
      </c>
      <c r="B82" s="1216"/>
      <c r="C82" s="1216"/>
      <c r="D82" s="108">
        <v>1605.96</v>
      </c>
      <c r="E82" s="108">
        <f>+D82</f>
        <v>1605.96</v>
      </c>
      <c r="F82" s="58">
        <v>0</v>
      </c>
      <c r="G82" s="32">
        <f t="shared" ref="G82:I84" si="3">+D82/2</f>
        <v>802.98</v>
      </c>
      <c r="H82" s="32">
        <f t="shared" si="3"/>
        <v>802.98</v>
      </c>
      <c r="I82" s="32">
        <f t="shared" si="3"/>
        <v>0</v>
      </c>
    </row>
    <row r="83" spans="1:9" ht="15.75">
      <c r="A83" s="1224" t="s">
        <v>83</v>
      </c>
      <c r="B83" s="1224"/>
      <c r="C83" s="1224"/>
      <c r="D83" s="578">
        <f>+C92</f>
        <v>30.96</v>
      </c>
      <c r="E83" s="578">
        <f>+D83</f>
        <v>30.96</v>
      </c>
      <c r="F83" s="56">
        <v>0</v>
      </c>
      <c r="G83" s="32">
        <f t="shared" si="3"/>
        <v>15.48</v>
      </c>
      <c r="H83" s="32">
        <f t="shared" si="3"/>
        <v>15.48</v>
      </c>
      <c r="I83" s="32">
        <f t="shared" si="3"/>
        <v>0</v>
      </c>
    </row>
    <row r="84" spans="1:9" ht="15.75">
      <c r="A84" s="1215" t="s">
        <v>82</v>
      </c>
      <c r="B84" s="1215"/>
      <c r="C84" s="1215"/>
      <c r="D84" s="105">
        <f>+D82-D83</f>
        <v>1575</v>
      </c>
      <c r="E84" s="105">
        <f>+E82-E83</f>
        <v>1575</v>
      </c>
      <c r="F84" s="56">
        <f>+F82-F83</f>
        <v>0</v>
      </c>
      <c r="G84" s="32">
        <f t="shared" si="3"/>
        <v>787.5</v>
      </c>
      <c r="H84" s="32">
        <f t="shared" si="3"/>
        <v>787.5</v>
      </c>
      <c r="I84" s="32">
        <f t="shared" si="3"/>
        <v>0</v>
      </c>
    </row>
    <row r="87" spans="1:9">
      <c r="B87" s="145" t="s">
        <v>101</v>
      </c>
      <c r="C87" s="112"/>
      <c r="D87" s="112"/>
      <c r="E87" s="112"/>
    </row>
    <row r="88" spans="1:9">
      <c r="B88" s="141" t="s">
        <v>322</v>
      </c>
      <c r="C88" s="165" t="s">
        <v>89</v>
      </c>
      <c r="D88" s="165" t="s">
        <v>67</v>
      </c>
      <c r="E88" s="165" t="s">
        <v>68</v>
      </c>
    </row>
    <row r="89" spans="1:9">
      <c r="B89" s="1" t="s">
        <v>102</v>
      </c>
      <c r="C89" s="1">
        <v>30.96</v>
      </c>
      <c r="D89" s="1">
        <f>+C89</f>
        <v>30.96</v>
      </c>
      <c r="E89" s="1">
        <v>0</v>
      </c>
    </row>
    <row r="90" spans="1:9">
      <c r="B90" s="1" t="s">
        <v>440</v>
      </c>
      <c r="C90" s="1">
        <v>0</v>
      </c>
      <c r="D90" s="1">
        <f>+C90</f>
        <v>0</v>
      </c>
    </row>
    <row r="91" spans="1:9">
      <c r="B91" s="112" t="s">
        <v>102</v>
      </c>
      <c r="C91" s="112">
        <v>0</v>
      </c>
      <c r="D91" s="112">
        <f>+C91</f>
        <v>0</v>
      </c>
      <c r="E91" s="112">
        <v>0</v>
      </c>
    </row>
    <row r="92" spans="1:9" ht="15.75" thickBot="1">
      <c r="B92" s="145" t="s">
        <v>135</v>
      </c>
      <c r="C92" s="198">
        <f>SUM(C89:C91)</f>
        <v>30.96</v>
      </c>
      <c r="D92" s="198">
        <f>SUM(D89:D91)</f>
        <v>30.96</v>
      </c>
      <c r="E92" s="198">
        <f>SUM(E89:E91)</f>
        <v>0</v>
      </c>
      <c r="G92" s="1">
        <f>+C92/2</f>
        <v>15.48</v>
      </c>
    </row>
    <row r="93" spans="1:9" ht="15.75" thickTop="1">
      <c r="C93" s="69"/>
      <c r="D93" s="69"/>
    </row>
    <row r="95" spans="1:9">
      <c r="B95" s="40"/>
    </row>
    <row r="97" spans="8:8">
      <c r="H97" s="40"/>
    </row>
  </sheetData>
  <mergeCells count="28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I7:I8"/>
    <mergeCell ref="A66:F66"/>
    <mergeCell ref="A69:C70"/>
    <mergeCell ref="D69:D70"/>
    <mergeCell ref="E69:E70"/>
    <mergeCell ref="A84:C84"/>
    <mergeCell ref="A74:C74"/>
    <mergeCell ref="A75:C75"/>
    <mergeCell ref="A79:C80"/>
    <mergeCell ref="F69:F70"/>
    <mergeCell ref="A71:C71"/>
    <mergeCell ref="A81:C81"/>
    <mergeCell ref="A82:C82"/>
    <mergeCell ref="A83:C83"/>
    <mergeCell ref="D79:D80"/>
    <mergeCell ref="E79:E80"/>
    <mergeCell ref="F79:F80"/>
  </mergeCells>
  <conditionalFormatting sqref="A9:B21 A92:F94 A95 C95:F95 A96:F1048576 H97">
    <cfRule type="containsText" dxfId="301" priority="31" operator="containsText" text="LESS COLLECTED">
      <formula>NOT(ISERROR(SEARCH("LESS COLLECTED",A9)))</formula>
    </cfRule>
  </conditionalFormatting>
  <conditionalFormatting sqref="A22:B34">
    <cfRule type="containsText" dxfId="300" priority="38" operator="containsText" text="LESS COLLECTED">
      <formula>NOT(ISERROR(SEARCH("LESS COLLECTED",A22)))</formula>
    </cfRule>
  </conditionalFormatting>
  <conditionalFormatting sqref="A28:B32">
    <cfRule type="containsText" dxfId="299" priority="37" operator="containsText" text="EXCESS COLLECTED">
      <formula>NOT(ISERROR(SEARCH("EXCESS COLLECTED",A28)))</formula>
    </cfRule>
  </conditionalFormatting>
  <conditionalFormatting sqref="A35:B56">
    <cfRule type="containsText" dxfId="298" priority="9" operator="containsText" text="LESS COLLECTED">
      <formula>NOT(ISERROR(SEARCH("LESS COLLECTED",A35)))</formula>
    </cfRule>
  </conditionalFormatting>
  <conditionalFormatting sqref="A47:B56">
    <cfRule type="containsText" dxfId="297" priority="8" operator="containsText" text="EXCESS COLLECTED">
      <formula>NOT(ISERROR(SEARCH("EXCESS COLLECTED",A47)))</formula>
    </cfRule>
  </conditionalFormatting>
  <conditionalFormatting sqref="A57:B61 A62:F65">
    <cfRule type="containsText" dxfId="296" priority="42" operator="containsText" text="LESS COLLECTED">
      <formula>NOT(ISERROR(SEARCH("LESS COLLECTED",A57)))</formula>
    </cfRule>
  </conditionalFormatting>
  <conditionalFormatting sqref="A66:F73 B87:D88 C89:F91 B92:D93">
    <cfRule type="containsText" dxfId="295" priority="113" operator="containsText" text="LESS COLLECTED">
      <formula>NOT(ISERROR(SEARCH("LESS COLLECTED",A66)))</formula>
    </cfRule>
  </conditionalFormatting>
  <conditionalFormatting sqref="A74:F75">
    <cfRule type="containsText" dxfId="294" priority="6" operator="containsText" text="LESS COLLECTED">
      <formula>NOT(ISERROR(SEARCH("LESS COLLECTED",A74)))</formula>
    </cfRule>
  </conditionalFormatting>
  <conditionalFormatting sqref="A78:F81 A1:F3 G1:I7 J1:XFD1048576 A4 I63:I82 H74 G75:H80 A76 H81 A89:A91 A83:F88 A82:C82 E82:H82">
    <cfRule type="containsText" dxfId="293" priority="124" operator="containsText" text="LESS COLLECTED">
      <formula>NOT(ISERROR(SEARCH("LESS COLLECTED",A1)))</formula>
    </cfRule>
  </conditionalFormatting>
  <conditionalFormatting sqref="B61">
    <cfRule type="containsText" dxfId="292" priority="41" operator="containsText" text="EXCESS COLLECTED">
      <formula>NOT(ISERROR(SEARCH("EXCESS COLLECTED",B61)))</formula>
    </cfRule>
  </conditionalFormatting>
  <conditionalFormatting sqref="B92:D93 D69:E70 A72:F73 B87:D88 C89:D91">
    <cfRule type="containsText" dxfId="291" priority="112" operator="containsText" text="EXCESS COLLECTED">
      <formula>NOT(ISERROR(SEARCH("EXCESS COLLECTED",A69)))</formula>
    </cfRule>
  </conditionalFormatting>
  <conditionalFormatting sqref="C57:F58 D9:F56 C60:F61 D59:F59">
    <cfRule type="containsText" dxfId="290" priority="11" operator="containsText" text="LESS COLLECTED">
      <formula>NOT(ISERROR(SEARCH("LESS COLLECTED",C9)))</formula>
    </cfRule>
  </conditionalFormatting>
  <conditionalFormatting sqref="D48:F56">
    <cfRule type="containsText" dxfId="289" priority="10" operator="containsText" text="EXCESS COLLECTED">
      <formula>NOT(ISERROR(SEARCH("EXCESS COLLECTED",D48)))</formula>
    </cfRule>
  </conditionalFormatting>
  <conditionalFormatting sqref="E92">
    <cfRule type="containsText" dxfId="288" priority="43" operator="containsText" text="EXCESS COLLECTED">
      <formula>NOT(ISERROR(SEARCH("EXCESS COLLECTED",E92)))</formula>
    </cfRule>
    <cfRule type="containsText" dxfId="287" priority="44" operator="containsText" text="LESS COLLECTED">
      <formula>NOT(ISERROR(SEARCH("LESS COLLECTED",E92)))</formula>
    </cfRule>
    <cfRule type="containsText" dxfId="286" priority="55" operator="containsText" text="EXCESS COLLECTED">
      <formula>NOT(ISERROR(SEARCH("EXCESS COLLECTED",E92)))</formula>
    </cfRule>
    <cfRule type="containsText" dxfId="285" priority="56" operator="containsText" text="LESS COLLECTED">
      <formula>NOT(ISERROR(SEARCH("LESS COLLECTED",E92)))</formula>
    </cfRule>
  </conditionalFormatting>
  <conditionalFormatting sqref="G59">
    <cfRule type="containsText" dxfId="284" priority="7" operator="containsText" text="LESS COLLECTED">
      <formula>NOT(ISERROR(SEARCH("LESS COLLECTED",G59)))</formula>
    </cfRule>
  </conditionalFormatting>
  <conditionalFormatting sqref="C9:C46 C48:C56">
    <cfRule type="containsText" dxfId="283" priority="5" operator="containsText" text="LESS COLLECTED">
      <formula>NOT(ISERROR(SEARCH("LESS COLLECTED",C9)))</formula>
    </cfRule>
  </conditionalFormatting>
  <conditionalFormatting sqref="D82">
    <cfRule type="containsText" dxfId="282" priority="4" operator="containsText" text="LESS COLLECTED">
      <formula>NOT(ISERROR(SEARCH("LESS COLLECTED",D82)))</formula>
    </cfRule>
  </conditionalFormatting>
  <conditionalFormatting sqref="C47">
    <cfRule type="containsText" dxfId="281" priority="2" operator="containsText" text="LESS COLLECTED">
      <formula>NOT(ISERROR(SEARCH("LESS COLLECTED",C47)))</formula>
    </cfRule>
  </conditionalFormatting>
  <conditionalFormatting sqref="C59">
    <cfRule type="containsText" dxfId="280" priority="1" operator="containsText" text="LESS COLLECTED">
      <formula>NOT(ISERROR(SEARCH("LESS COLLECTED",C59)))</formula>
    </cfRule>
  </conditionalFormatting>
  <pageMargins left="1.155511811" right="0.86811023600000004" top="0" bottom="0" header="0.31496062992126" footer="0.31496062992126"/>
  <pageSetup paperSize="9" scale="57" orientation="portrait" r:id="rId1"/>
  <ignoredErrors>
    <ignoredError sqref="D51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92D050"/>
  </sheetPr>
  <dimension ref="A1:O100"/>
  <sheetViews>
    <sheetView topLeftCell="A62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85546875" style="1" bestFit="1" customWidth="1"/>
    <col min="4" max="4" width="14.140625" style="1" bestFit="1" customWidth="1"/>
    <col min="5" max="5" width="13.28515625" style="1" bestFit="1" customWidth="1"/>
    <col min="6" max="6" width="11.28515625" style="1" bestFit="1" customWidth="1"/>
    <col min="7" max="7" width="17.85546875" style="1" customWidth="1"/>
    <col min="8" max="8" width="10.7109375" style="32" bestFit="1" customWidth="1"/>
    <col min="9" max="9" width="16.5703125" style="1" customWidth="1"/>
    <col min="10" max="10" width="9.8554687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283</v>
      </c>
      <c r="B3" s="1229"/>
      <c r="C3" s="1229"/>
      <c r="D3" s="1229"/>
      <c r="E3" s="1229"/>
      <c r="F3" s="1229"/>
    </row>
    <row r="4" spans="1:10" ht="15.75">
      <c r="A4" s="1229" t="s">
        <v>344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326" t="s">
        <v>383</v>
      </c>
      <c r="H7" s="1324" t="s">
        <v>384</v>
      </c>
      <c r="I7" s="1326" t="s">
        <v>392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327"/>
      <c r="H8" s="1325"/>
      <c r="I8" s="1327"/>
    </row>
    <row r="9" spans="1:10" ht="15.75">
      <c r="A9" s="31">
        <v>3380</v>
      </c>
      <c r="B9" s="70" t="s">
        <v>530</v>
      </c>
      <c r="C9" s="925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595">
        <v>0</v>
      </c>
      <c r="H9" s="595">
        <v>0</v>
      </c>
      <c r="I9" s="595">
        <v>0</v>
      </c>
    </row>
    <row r="10" spans="1:10" ht="15.75">
      <c r="A10" s="31" t="s">
        <v>87</v>
      </c>
      <c r="B10" s="70" t="s">
        <v>61</v>
      </c>
      <c r="C10" s="925"/>
      <c r="D10" s="4">
        <f t="shared" ref="D10:D62" si="0">+C10*9%</f>
        <v>0</v>
      </c>
      <c r="E10" s="4">
        <f t="shared" ref="E10:E62" si="1">+D10</f>
        <v>0</v>
      </c>
      <c r="F10" s="4">
        <f t="shared" ref="F10:F62" si="2">IF(D10&gt;0," ",C10*18%)</f>
        <v>0</v>
      </c>
      <c r="G10" s="595">
        <v>0</v>
      </c>
      <c r="H10" s="595">
        <v>0</v>
      </c>
      <c r="I10" s="595">
        <v>0</v>
      </c>
    </row>
    <row r="11" spans="1:10" ht="15.75">
      <c r="A11" s="13" t="s">
        <v>60</v>
      </c>
      <c r="B11" s="70" t="s">
        <v>59</v>
      </c>
      <c r="C11" s="925">
        <v>800</v>
      </c>
      <c r="D11" s="4">
        <f>+C11*9%</f>
        <v>72</v>
      </c>
      <c r="E11" s="4">
        <f t="shared" si="1"/>
        <v>72</v>
      </c>
      <c r="F11" s="4" t="str">
        <f t="shared" si="2"/>
        <v xml:space="preserve"> </v>
      </c>
      <c r="G11" s="595">
        <v>0</v>
      </c>
      <c r="H11" s="595">
        <v>0</v>
      </c>
      <c r="I11" s="595">
        <v>0</v>
      </c>
    </row>
    <row r="12" spans="1:10" ht="15.75">
      <c r="A12" s="14" t="s">
        <v>58</v>
      </c>
      <c r="B12" s="70" t="s">
        <v>57</v>
      </c>
      <c r="C12" s="925"/>
      <c r="D12" s="4">
        <f t="shared" si="0"/>
        <v>0</v>
      </c>
      <c r="E12" s="4">
        <f t="shared" si="1"/>
        <v>0</v>
      </c>
      <c r="F12" s="4">
        <f t="shared" si="2"/>
        <v>0</v>
      </c>
      <c r="G12" s="595">
        <v>0</v>
      </c>
      <c r="H12" s="595">
        <v>0</v>
      </c>
      <c r="I12" s="595">
        <v>0</v>
      </c>
    </row>
    <row r="13" spans="1:10" ht="15.75">
      <c r="A13" s="13" t="s">
        <v>56</v>
      </c>
      <c r="B13" s="70" t="s">
        <v>55</v>
      </c>
      <c r="C13" s="925"/>
      <c r="D13" s="4">
        <f t="shared" si="0"/>
        <v>0</v>
      </c>
      <c r="E13" s="4">
        <f t="shared" si="1"/>
        <v>0</v>
      </c>
      <c r="F13" s="4">
        <f t="shared" si="2"/>
        <v>0</v>
      </c>
      <c r="G13" s="595">
        <v>0</v>
      </c>
      <c r="H13" s="595">
        <v>0</v>
      </c>
      <c r="I13" s="595">
        <v>0</v>
      </c>
    </row>
    <row r="14" spans="1:10" ht="15.75">
      <c r="A14" s="13" t="s">
        <v>54</v>
      </c>
      <c r="B14" s="70" t="s">
        <v>53</v>
      </c>
      <c r="C14" s="925"/>
      <c r="D14" s="4">
        <f t="shared" si="0"/>
        <v>0</v>
      </c>
      <c r="E14" s="4">
        <f t="shared" si="1"/>
        <v>0</v>
      </c>
      <c r="F14" s="4">
        <f t="shared" si="2"/>
        <v>0</v>
      </c>
      <c r="G14" s="595">
        <v>0</v>
      </c>
      <c r="H14" s="595">
        <v>0</v>
      </c>
      <c r="I14" s="595">
        <v>0</v>
      </c>
    </row>
    <row r="15" spans="1:10" ht="15.75">
      <c r="A15" s="13" t="s">
        <v>52</v>
      </c>
      <c r="B15" s="70" t="s">
        <v>51</v>
      </c>
      <c r="C15" s="925"/>
      <c r="D15" s="4">
        <f t="shared" si="0"/>
        <v>0</v>
      </c>
      <c r="E15" s="4">
        <f t="shared" si="1"/>
        <v>0</v>
      </c>
      <c r="F15" s="4">
        <f t="shared" si="2"/>
        <v>0</v>
      </c>
      <c r="G15" s="595">
        <v>0</v>
      </c>
      <c r="H15" s="595">
        <v>0</v>
      </c>
      <c r="I15" s="595">
        <v>0</v>
      </c>
    </row>
    <row r="16" spans="1:10" ht="15.75">
      <c r="A16" s="14" t="s">
        <v>50</v>
      </c>
      <c r="B16" s="70" t="s">
        <v>49</v>
      </c>
      <c r="C16" s="925"/>
      <c r="D16" s="4">
        <f t="shared" si="0"/>
        <v>0</v>
      </c>
      <c r="E16" s="4">
        <f t="shared" si="1"/>
        <v>0</v>
      </c>
      <c r="F16" s="4">
        <f t="shared" si="2"/>
        <v>0</v>
      </c>
      <c r="G16" s="595">
        <v>0</v>
      </c>
      <c r="H16" s="595">
        <v>0</v>
      </c>
      <c r="I16" s="595">
        <v>0</v>
      </c>
    </row>
    <row r="17" spans="1:15" ht="15.75">
      <c r="A17" s="14" t="s">
        <v>48</v>
      </c>
      <c r="B17" s="70" t="s">
        <v>47</v>
      </c>
      <c r="C17" s="925"/>
      <c r="D17" s="4">
        <f t="shared" si="0"/>
        <v>0</v>
      </c>
      <c r="E17" s="4">
        <f t="shared" si="1"/>
        <v>0</v>
      </c>
      <c r="F17" s="4">
        <f t="shared" si="2"/>
        <v>0</v>
      </c>
      <c r="G17" s="595">
        <v>0</v>
      </c>
      <c r="H17" s="595">
        <v>0</v>
      </c>
      <c r="I17" s="595">
        <v>0</v>
      </c>
    </row>
    <row r="18" spans="1:15" ht="15.75">
      <c r="A18" s="14" t="s">
        <v>46</v>
      </c>
      <c r="B18" s="70" t="s">
        <v>45</v>
      </c>
      <c r="C18" s="925"/>
      <c r="D18" s="4">
        <f t="shared" si="0"/>
        <v>0</v>
      </c>
      <c r="E18" s="4">
        <f>+D18</f>
        <v>0</v>
      </c>
      <c r="F18" s="4">
        <f t="shared" si="2"/>
        <v>0</v>
      </c>
      <c r="G18" s="595">
        <v>0</v>
      </c>
      <c r="H18" s="595">
        <v>0</v>
      </c>
      <c r="I18" s="595">
        <v>0</v>
      </c>
    </row>
    <row r="19" spans="1:15" ht="15.75">
      <c r="A19" s="13" t="s">
        <v>44</v>
      </c>
      <c r="B19" s="70" t="s">
        <v>542</v>
      </c>
      <c r="C19" s="925">
        <v>19500</v>
      </c>
      <c r="D19" s="4">
        <f t="shared" si="0"/>
        <v>1755</v>
      </c>
      <c r="E19" s="4">
        <f t="shared" si="1"/>
        <v>1755</v>
      </c>
      <c r="F19" s="4" t="str">
        <f t="shared" si="2"/>
        <v xml:space="preserve"> </v>
      </c>
      <c r="G19" s="595"/>
      <c r="H19" s="595">
        <v>0</v>
      </c>
      <c r="I19" s="595">
        <v>0</v>
      </c>
    </row>
    <row r="20" spans="1:15" ht="15.75">
      <c r="A20" s="13">
        <v>3271</v>
      </c>
      <c r="B20" s="70" t="s">
        <v>533</v>
      </c>
      <c r="C20" s="925">
        <v>500</v>
      </c>
      <c r="D20" s="4">
        <f t="shared" si="0"/>
        <v>45</v>
      </c>
      <c r="E20" s="4">
        <f t="shared" si="1"/>
        <v>45</v>
      </c>
      <c r="F20" s="4" t="str">
        <f t="shared" si="2"/>
        <v xml:space="preserve"> </v>
      </c>
      <c r="G20" s="595">
        <v>0</v>
      </c>
      <c r="H20" s="595">
        <v>0</v>
      </c>
      <c r="I20" s="595">
        <v>0</v>
      </c>
      <c r="J20" s="1" t="s">
        <v>5</v>
      </c>
    </row>
    <row r="21" spans="1:15" ht="15.75">
      <c r="A21" s="13">
        <v>3274</v>
      </c>
      <c r="B21" s="70" t="s">
        <v>554</v>
      </c>
      <c r="C21" s="925"/>
      <c r="D21" s="4">
        <f t="shared" si="0"/>
        <v>0</v>
      </c>
      <c r="E21" s="4">
        <f t="shared" si="1"/>
        <v>0</v>
      </c>
      <c r="F21" s="4">
        <f t="shared" si="2"/>
        <v>0</v>
      </c>
      <c r="G21" s="595">
        <v>0</v>
      </c>
      <c r="H21" s="595">
        <v>0</v>
      </c>
      <c r="I21" s="595">
        <v>0</v>
      </c>
    </row>
    <row r="22" spans="1:15" ht="15.75">
      <c r="A22" s="17" t="s">
        <v>42</v>
      </c>
      <c r="B22" s="70" t="s">
        <v>41</v>
      </c>
      <c r="C22" s="925"/>
      <c r="D22" s="4">
        <f t="shared" si="0"/>
        <v>0</v>
      </c>
      <c r="E22" s="4">
        <f t="shared" si="1"/>
        <v>0</v>
      </c>
      <c r="F22" s="4">
        <f t="shared" si="2"/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25"/>
      <c r="D23" s="4">
        <f t="shared" si="0"/>
        <v>0</v>
      </c>
      <c r="E23" s="4">
        <f t="shared" si="1"/>
        <v>0</v>
      </c>
      <c r="F23" s="4">
        <f t="shared" si="2"/>
        <v>0</v>
      </c>
      <c r="G23" s="595">
        <v>0</v>
      </c>
      <c r="H23" s="595">
        <v>0</v>
      </c>
      <c r="I23" s="595">
        <v>0</v>
      </c>
    </row>
    <row r="24" spans="1:15" ht="15.75">
      <c r="A24" s="14" t="s">
        <v>38</v>
      </c>
      <c r="B24" s="70" t="s">
        <v>37</v>
      </c>
      <c r="C24" s="925"/>
      <c r="D24" s="4">
        <f t="shared" si="0"/>
        <v>0</v>
      </c>
      <c r="E24" s="4">
        <f t="shared" si="1"/>
        <v>0</v>
      </c>
      <c r="F24" s="4">
        <f t="shared" si="2"/>
        <v>0</v>
      </c>
      <c r="G24" s="595">
        <v>0</v>
      </c>
      <c r="H24" s="595">
        <v>0</v>
      </c>
      <c r="I24" s="595">
        <v>0</v>
      </c>
    </row>
    <row r="25" spans="1:15" ht="15.75">
      <c r="A25" s="16" t="s">
        <v>36</v>
      </c>
      <c r="B25" s="70" t="s">
        <v>35</v>
      </c>
      <c r="C25" s="925"/>
      <c r="D25" s="4">
        <f t="shared" si="0"/>
        <v>0</v>
      </c>
      <c r="E25" s="4">
        <f t="shared" si="1"/>
        <v>0</v>
      </c>
      <c r="F25" s="4">
        <f t="shared" si="2"/>
        <v>0</v>
      </c>
      <c r="G25" s="595">
        <v>0</v>
      </c>
      <c r="H25" s="595">
        <v>0</v>
      </c>
      <c r="I25" s="595">
        <v>0</v>
      </c>
    </row>
    <row r="26" spans="1:15" ht="15.75">
      <c r="A26" s="16" t="s">
        <v>34</v>
      </c>
      <c r="B26" s="70" t="s">
        <v>33</v>
      </c>
      <c r="C26" s="925"/>
      <c r="D26" s="4">
        <f t="shared" si="0"/>
        <v>0</v>
      </c>
      <c r="E26" s="4">
        <f t="shared" si="1"/>
        <v>0</v>
      </c>
      <c r="F26" s="4">
        <f t="shared" si="2"/>
        <v>0</v>
      </c>
      <c r="G26" s="595">
        <v>0</v>
      </c>
      <c r="H26" s="595">
        <v>0</v>
      </c>
      <c r="I26" s="595">
        <v>0</v>
      </c>
    </row>
    <row r="27" spans="1:15" ht="15.75">
      <c r="A27" s="16" t="s">
        <v>32</v>
      </c>
      <c r="B27" s="70" t="s">
        <v>31</v>
      </c>
      <c r="C27" s="925"/>
      <c r="D27" s="4">
        <f t="shared" si="0"/>
        <v>0</v>
      </c>
      <c r="E27" s="4">
        <f t="shared" si="1"/>
        <v>0</v>
      </c>
      <c r="F27" s="4">
        <f t="shared" si="2"/>
        <v>0</v>
      </c>
      <c r="G27" s="595">
        <v>0</v>
      </c>
      <c r="H27" s="595">
        <v>0</v>
      </c>
      <c r="I27" s="595">
        <v>0</v>
      </c>
    </row>
    <row r="28" spans="1:15" ht="15.75">
      <c r="A28" s="137">
        <v>3291</v>
      </c>
      <c r="B28" s="33" t="s">
        <v>325</v>
      </c>
      <c r="C28" s="925"/>
      <c r="D28" s="4">
        <f t="shared" si="0"/>
        <v>0</v>
      </c>
      <c r="E28" s="4">
        <f t="shared" si="1"/>
        <v>0</v>
      </c>
      <c r="F28" s="4">
        <f t="shared" si="2"/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925">
        <v>1080</v>
      </c>
      <c r="D29" s="4">
        <f t="shared" si="0"/>
        <v>97.2</v>
      </c>
      <c r="E29" s="4">
        <f t="shared" si="1"/>
        <v>97.2</v>
      </c>
      <c r="F29" s="4" t="str">
        <f t="shared" si="2"/>
        <v xml:space="preserve"> </v>
      </c>
      <c r="G29" s="595">
        <v>0</v>
      </c>
      <c r="H29" s="595">
        <v>0</v>
      </c>
      <c r="I29" s="595">
        <v>0</v>
      </c>
    </row>
    <row r="30" spans="1:15" ht="15.75">
      <c r="A30" s="137" t="s">
        <v>527</v>
      </c>
      <c r="B30" s="33" t="s">
        <v>524</v>
      </c>
      <c r="C30" s="925">
        <v>4090</v>
      </c>
      <c r="D30" s="4">
        <f t="shared" si="0"/>
        <v>368.09999999999997</v>
      </c>
      <c r="E30" s="4">
        <f t="shared" si="1"/>
        <v>368.09999999999997</v>
      </c>
      <c r="F30" s="4" t="str">
        <f t="shared" si="2"/>
        <v xml:space="preserve"> </v>
      </c>
      <c r="G30" s="595">
        <v>0</v>
      </c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925">
        <v>150</v>
      </c>
      <c r="D31" s="4">
        <f t="shared" si="0"/>
        <v>13.5</v>
      </c>
      <c r="E31" s="4">
        <f t="shared" si="1"/>
        <v>13.5</v>
      </c>
      <c r="F31" s="4" t="str">
        <f t="shared" si="2"/>
        <v xml:space="preserve"> 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925"/>
      <c r="D32" s="4">
        <f t="shared" si="0"/>
        <v>0</v>
      </c>
      <c r="E32" s="4">
        <f t="shared" si="1"/>
        <v>0</v>
      </c>
      <c r="F32" s="4">
        <f t="shared" si="2"/>
        <v>0</v>
      </c>
      <c r="G32" s="595">
        <v>0</v>
      </c>
      <c r="H32" s="595">
        <v>0</v>
      </c>
      <c r="I32" s="595">
        <v>0</v>
      </c>
    </row>
    <row r="33" spans="1:13" ht="15.75">
      <c r="A33" s="13" t="s">
        <v>30</v>
      </c>
      <c r="B33" s="70" t="s">
        <v>29</v>
      </c>
      <c r="C33" s="925">
        <v>112885.4</v>
      </c>
      <c r="D33" s="4">
        <f t="shared" si="0"/>
        <v>10159.686</v>
      </c>
      <c r="E33" s="4">
        <f t="shared" si="1"/>
        <v>10159.686</v>
      </c>
      <c r="F33" s="4">
        <v>0</v>
      </c>
      <c r="G33" s="595">
        <v>0</v>
      </c>
      <c r="H33" s="595">
        <v>0</v>
      </c>
      <c r="I33" s="595">
        <v>0</v>
      </c>
    </row>
    <row r="34" spans="1:13" ht="15.75">
      <c r="A34" s="14" t="s">
        <v>401</v>
      </c>
      <c r="B34" s="70" t="s">
        <v>154</v>
      </c>
      <c r="C34" s="925"/>
      <c r="D34" s="4">
        <f t="shared" si="0"/>
        <v>0</v>
      </c>
      <c r="E34" s="4">
        <f>+D34</f>
        <v>0</v>
      </c>
      <c r="F34" s="4">
        <f>IF(D34&gt;0," ",C34*18%)</f>
        <v>0</v>
      </c>
      <c r="G34" s="595">
        <v>0</v>
      </c>
      <c r="H34" s="595">
        <v>0</v>
      </c>
      <c r="I34" s="595">
        <v>0</v>
      </c>
    </row>
    <row r="35" spans="1:13" ht="15.75">
      <c r="A35" s="13">
        <v>3302</v>
      </c>
      <c r="B35" s="70" t="s">
        <v>525</v>
      </c>
      <c r="C35" s="925"/>
      <c r="D35" s="4">
        <f t="shared" si="0"/>
        <v>0</v>
      </c>
      <c r="E35" s="4">
        <f t="shared" si="1"/>
        <v>0</v>
      </c>
      <c r="F35" s="4">
        <f t="shared" si="2"/>
        <v>0</v>
      </c>
      <c r="G35" s="595">
        <v>0</v>
      </c>
      <c r="H35" s="595">
        <v>0</v>
      </c>
      <c r="I35" s="595">
        <v>0</v>
      </c>
    </row>
    <row r="36" spans="1:13" ht="15.75">
      <c r="A36" s="14" t="s">
        <v>28</v>
      </c>
      <c r="B36" s="70" t="s">
        <v>27</v>
      </c>
      <c r="C36" s="925"/>
      <c r="D36" s="4">
        <f t="shared" si="0"/>
        <v>0</v>
      </c>
      <c r="E36" s="4">
        <f t="shared" si="1"/>
        <v>0</v>
      </c>
      <c r="F36" s="4">
        <f t="shared" si="2"/>
        <v>0</v>
      </c>
      <c r="G36" s="595">
        <v>0</v>
      </c>
      <c r="H36" s="595">
        <v>0</v>
      </c>
      <c r="I36" s="595">
        <v>0</v>
      </c>
    </row>
    <row r="37" spans="1:13" ht="15.75">
      <c r="A37" s="16" t="s">
        <v>114</v>
      </c>
      <c r="B37" s="70" t="s">
        <v>115</v>
      </c>
      <c r="C37" s="925"/>
      <c r="D37" s="4">
        <f t="shared" si="0"/>
        <v>0</v>
      </c>
      <c r="E37" s="4">
        <f t="shared" si="1"/>
        <v>0</v>
      </c>
      <c r="F37" s="4">
        <f t="shared" si="2"/>
        <v>0</v>
      </c>
      <c r="G37" s="595">
        <v>0</v>
      </c>
      <c r="H37" s="595">
        <v>0</v>
      </c>
      <c r="I37" s="595">
        <v>0</v>
      </c>
    </row>
    <row r="38" spans="1:13" ht="15.75">
      <c r="A38" s="13" t="s">
        <v>26</v>
      </c>
      <c r="B38" s="70" t="s">
        <v>25</v>
      </c>
      <c r="C38" s="925">
        <v>1009.45</v>
      </c>
      <c r="D38" s="4">
        <f t="shared" si="0"/>
        <v>90.850499999999997</v>
      </c>
      <c r="E38" s="4">
        <f t="shared" si="1"/>
        <v>90.850499999999997</v>
      </c>
      <c r="F38" s="4" t="str">
        <f t="shared" si="2"/>
        <v xml:space="preserve"> </v>
      </c>
      <c r="G38" s="595">
        <v>0</v>
      </c>
      <c r="H38" s="595">
        <v>0</v>
      </c>
      <c r="I38" s="595">
        <v>0</v>
      </c>
    </row>
    <row r="39" spans="1:13" ht="15.75">
      <c r="A39" s="13" t="s">
        <v>24</v>
      </c>
      <c r="B39" s="70" t="s">
        <v>23</v>
      </c>
      <c r="C39" s="925">
        <v>800</v>
      </c>
      <c r="D39" s="4">
        <f t="shared" si="0"/>
        <v>72</v>
      </c>
      <c r="E39" s="4">
        <f t="shared" si="1"/>
        <v>72</v>
      </c>
      <c r="F39" s="4" t="str">
        <f t="shared" si="2"/>
        <v xml:space="preserve"> </v>
      </c>
      <c r="G39" s="595">
        <v>0</v>
      </c>
      <c r="H39" s="595">
        <v>0</v>
      </c>
      <c r="I39" s="595">
        <v>0</v>
      </c>
    </row>
    <row r="40" spans="1:13" ht="15.75">
      <c r="A40" s="13" t="s">
        <v>22</v>
      </c>
      <c r="B40" s="70" t="s">
        <v>21</v>
      </c>
      <c r="C40" s="925">
        <v>3400</v>
      </c>
      <c r="D40" s="4">
        <f t="shared" si="0"/>
        <v>306</v>
      </c>
      <c r="E40" s="4">
        <f t="shared" si="1"/>
        <v>306</v>
      </c>
      <c r="F40" s="4" t="str">
        <f t="shared" si="2"/>
        <v xml:space="preserve"> </v>
      </c>
      <c r="G40" s="595">
        <v>0</v>
      </c>
      <c r="H40" s="595">
        <v>0</v>
      </c>
      <c r="I40" s="595">
        <v>0</v>
      </c>
    </row>
    <row r="41" spans="1:13" ht="15.75">
      <c r="A41" s="13" t="s">
        <v>20</v>
      </c>
      <c r="B41" s="70" t="s">
        <v>19</v>
      </c>
      <c r="C41" s="925">
        <v>4100</v>
      </c>
      <c r="D41" s="4">
        <f t="shared" si="0"/>
        <v>369</v>
      </c>
      <c r="E41" s="4">
        <f t="shared" si="1"/>
        <v>369</v>
      </c>
      <c r="F41" s="4" t="str">
        <f t="shared" si="2"/>
        <v xml:space="preserve"> </v>
      </c>
      <c r="G41" s="595">
        <v>0</v>
      </c>
      <c r="H41" s="595">
        <v>0</v>
      </c>
      <c r="I41" s="595">
        <v>0</v>
      </c>
    </row>
    <row r="42" spans="1:13" ht="15.75">
      <c r="A42" s="14" t="s">
        <v>18</v>
      </c>
      <c r="B42" s="70" t="s">
        <v>17</v>
      </c>
      <c r="C42" s="925">
        <v>5160</v>
      </c>
      <c r="D42" s="4">
        <f t="shared" si="0"/>
        <v>464.4</v>
      </c>
      <c r="E42" s="4">
        <f t="shared" si="1"/>
        <v>464.4</v>
      </c>
      <c r="F42" s="4" t="str">
        <f t="shared" si="2"/>
        <v xml:space="preserve"> </v>
      </c>
      <c r="G42" s="595">
        <v>0</v>
      </c>
      <c r="H42" s="595">
        <v>0</v>
      </c>
      <c r="I42" s="595">
        <v>0</v>
      </c>
    </row>
    <row r="43" spans="1:13" ht="15.75">
      <c r="A43" s="14" t="s">
        <v>16</v>
      </c>
      <c r="B43" s="70" t="s">
        <v>15</v>
      </c>
      <c r="C43" s="925"/>
      <c r="D43" s="4">
        <f t="shared" si="0"/>
        <v>0</v>
      </c>
      <c r="E43" s="4">
        <f t="shared" si="1"/>
        <v>0</v>
      </c>
      <c r="F43" s="4">
        <f t="shared" si="2"/>
        <v>0</v>
      </c>
      <c r="G43" s="595">
        <v>0</v>
      </c>
      <c r="H43" s="595">
        <v>0</v>
      </c>
      <c r="I43" s="595">
        <v>0</v>
      </c>
    </row>
    <row r="44" spans="1:13" ht="15.75">
      <c r="A44" s="14" t="s">
        <v>14</v>
      </c>
      <c r="B44" s="70" t="s">
        <v>13</v>
      </c>
      <c r="C44" s="925">
        <v>428</v>
      </c>
      <c r="D44" s="4">
        <f t="shared" si="0"/>
        <v>38.519999999999996</v>
      </c>
      <c r="E44" s="4">
        <f t="shared" si="1"/>
        <v>38.519999999999996</v>
      </c>
      <c r="F44" s="4" t="str">
        <f t="shared" si="2"/>
        <v xml:space="preserve"> </v>
      </c>
      <c r="G44" s="595">
        <v>0</v>
      </c>
      <c r="H44" s="595">
        <v>0</v>
      </c>
      <c r="I44" s="595">
        <v>0</v>
      </c>
    </row>
    <row r="45" spans="1:13" ht="15.75">
      <c r="A45" s="14">
        <v>3317</v>
      </c>
      <c r="B45" s="70" t="s">
        <v>286</v>
      </c>
      <c r="C45" s="925"/>
      <c r="D45" s="4">
        <f t="shared" si="0"/>
        <v>0</v>
      </c>
      <c r="E45" s="4">
        <f t="shared" si="1"/>
        <v>0</v>
      </c>
      <c r="F45" s="4">
        <f t="shared" si="2"/>
        <v>0</v>
      </c>
      <c r="G45" s="595">
        <v>0</v>
      </c>
      <c r="H45" s="595">
        <v>0</v>
      </c>
      <c r="I45" s="595">
        <v>0</v>
      </c>
    </row>
    <row r="46" spans="1:13" ht="15.75">
      <c r="A46" s="14" t="s">
        <v>12</v>
      </c>
      <c r="B46" s="70" t="s">
        <v>11</v>
      </c>
      <c r="C46" s="925"/>
      <c r="D46" s="4">
        <f t="shared" si="0"/>
        <v>0</v>
      </c>
      <c r="E46" s="4">
        <f t="shared" si="1"/>
        <v>0</v>
      </c>
      <c r="F46" s="4">
        <f t="shared" si="2"/>
        <v>0</v>
      </c>
      <c r="G46" s="595">
        <v>0</v>
      </c>
      <c r="H46" s="595">
        <v>0</v>
      </c>
      <c r="I46" s="595">
        <v>0</v>
      </c>
    </row>
    <row r="47" spans="1:13" ht="15.75">
      <c r="A47" s="14">
        <v>3320</v>
      </c>
      <c r="B47" s="70" t="s">
        <v>290</v>
      </c>
      <c r="C47" s="925">
        <f>1640555-1640555</f>
        <v>0</v>
      </c>
      <c r="D47" s="4">
        <f t="shared" si="0"/>
        <v>0</v>
      </c>
      <c r="E47" s="4">
        <f t="shared" si="1"/>
        <v>0</v>
      </c>
      <c r="F47" s="4">
        <f t="shared" si="2"/>
        <v>0</v>
      </c>
      <c r="G47" s="595"/>
      <c r="H47" s="595">
        <v>0</v>
      </c>
      <c r="I47" s="595">
        <v>0</v>
      </c>
    </row>
    <row r="48" spans="1:13" ht="15.75">
      <c r="A48" s="14">
        <v>3321</v>
      </c>
      <c r="B48" s="70" t="s">
        <v>156</v>
      </c>
      <c r="C48" s="925"/>
      <c r="D48" s="4">
        <f t="shared" si="0"/>
        <v>0</v>
      </c>
      <c r="E48" s="4">
        <f t="shared" si="1"/>
        <v>0</v>
      </c>
      <c r="F48" s="4">
        <f t="shared" si="2"/>
        <v>0</v>
      </c>
      <c r="G48" s="595">
        <v>0</v>
      </c>
      <c r="H48" s="595">
        <v>0</v>
      </c>
      <c r="I48" s="595">
        <v>0</v>
      </c>
      <c r="J48" s="73"/>
      <c r="K48" s="73"/>
      <c r="L48" s="73"/>
      <c r="M48" s="73"/>
    </row>
    <row r="49" spans="1:10" ht="15.75">
      <c r="A49" s="14">
        <v>3322</v>
      </c>
      <c r="B49" s="70" t="s">
        <v>335</v>
      </c>
      <c r="C49" s="925"/>
      <c r="D49" s="4">
        <f t="shared" si="0"/>
        <v>0</v>
      </c>
      <c r="E49" s="4">
        <f t="shared" si="1"/>
        <v>0</v>
      </c>
      <c r="F49" s="4">
        <f t="shared" si="2"/>
        <v>0</v>
      </c>
      <c r="G49" s="595">
        <v>0</v>
      </c>
      <c r="H49" s="595">
        <v>0</v>
      </c>
      <c r="I49" s="595">
        <v>0</v>
      </c>
    </row>
    <row r="50" spans="1:10" ht="15.75">
      <c r="A50" s="14">
        <v>3324</v>
      </c>
      <c r="B50" s="70" t="s">
        <v>438</v>
      </c>
      <c r="C50" s="925"/>
      <c r="D50" s="4">
        <f t="shared" si="0"/>
        <v>0</v>
      </c>
      <c r="E50" s="4">
        <f t="shared" si="1"/>
        <v>0</v>
      </c>
      <c r="F50" s="4">
        <f t="shared" si="2"/>
        <v>0</v>
      </c>
      <c r="G50" s="595">
        <v>0</v>
      </c>
      <c r="H50" s="595">
        <v>0</v>
      </c>
      <c r="I50" s="595">
        <v>0</v>
      </c>
    </row>
    <row r="51" spans="1:10" ht="15.75">
      <c r="A51" s="161">
        <v>3325</v>
      </c>
      <c r="B51" s="70" t="s">
        <v>606</v>
      </c>
      <c r="C51" s="925"/>
      <c r="D51" s="4">
        <f>+C51*2.5%</f>
        <v>0</v>
      </c>
      <c r="E51" s="4">
        <f>+D51</f>
        <v>0</v>
      </c>
      <c r="F51" s="4">
        <f t="shared" si="2"/>
        <v>0</v>
      </c>
      <c r="G51" s="595">
        <v>0</v>
      </c>
      <c r="H51" s="595">
        <v>0</v>
      </c>
      <c r="I51" s="595">
        <v>0</v>
      </c>
    </row>
    <row r="52" spans="1:10" ht="15.75">
      <c r="A52" s="31">
        <v>3380</v>
      </c>
      <c r="B52" s="70" t="s">
        <v>530</v>
      </c>
      <c r="C52" s="925"/>
      <c r="D52" s="4">
        <f>+C52*9%</f>
        <v>0</v>
      </c>
      <c r="E52" s="4">
        <f>+D52</f>
        <v>0</v>
      </c>
      <c r="F52" s="4"/>
      <c r="G52" s="595">
        <v>0</v>
      </c>
      <c r="H52" s="595">
        <v>0</v>
      </c>
      <c r="I52" s="595">
        <v>0</v>
      </c>
    </row>
    <row r="53" spans="1:10" ht="15.75">
      <c r="A53" s="14">
        <v>3391</v>
      </c>
      <c r="B53" s="70" t="s">
        <v>300</v>
      </c>
      <c r="C53" s="925">
        <v>16605.5</v>
      </c>
      <c r="D53" s="4">
        <f t="shared" si="0"/>
        <v>1494.4949999999999</v>
      </c>
      <c r="E53" s="4">
        <f t="shared" si="1"/>
        <v>1494.4949999999999</v>
      </c>
      <c r="F53" s="4" t="str">
        <f t="shared" si="2"/>
        <v xml:space="preserve"> </v>
      </c>
      <c r="G53" s="595">
        <v>0</v>
      </c>
      <c r="H53" s="595">
        <v>0</v>
      </c>
      <c r="I53" s="595">
        <v>0</v>
      </c>
    </row>
    <row r="54" spans="1:10" ht="15.75">
      <c r="A54" s="14">
        <v>3359</v>
      </c>
      <c r="B54" s="70" t="s">
        <v>683</v>
      </c>
      <c r="C54" s="925"/>
      <c r="D54" s="4">
        <f t="shared" si="0"/>
        <v>0</v>
      </c>
      <c r="E54" s="4">
        <f t="shared" si="1"/>
        <v>0</v>
      </c>
      <c r="F54" s="4">
        <f t="shared" si="2"/>
        <v>0</v>
      </c>
      <c r="G54" s="595">
        <v>0</v>
      </c>
      <c r="H54" s="595">
        <v>0</v>
      </c>
      <c r="I54" s="595">
        <v>0</v>
      </c>
    </row>
    <row r="55" spans="1:10" ht="15.75">
      <c r="A55" s="14">
        <v>3825</v>
      </c>
      <c r="B55" s="70" t="s">
        <v>646</v>
      </c>
      <c r="C55" s="925"/>
      <c r="D55" s="4">
        <f t="shared" si="0"/>
        <v>0</v>
      </c>
      <c r="E55" s="4">
        <f t="shared" si="1"/>
        <v>0</v>
      </c>
      <c r="F55" s="4"/>
      <c r="G55" s="595">
        <v>0</v>
      </c>
      <c r="H55" s="595">
        <v>0</v>
      </c>
      <c r="I55" s="595">
        <v>0</v>
      </c>
    </row>
    <row r="56" spans="1:10" ht="15.75">
      <c r="A56" s="14">
        <v>3362</v>
      </c>
      <c r="B56" s="70" t="s">
        <v>739</v>
      </c>
      <c r="C56" s="925"/>
      <c r="D56" s="4">
        <f t="shared" si="0"/>
        <v>0</v>
      </c>
      <c r="E56" s="4">
        <f t="shared" si="1"/>
        <v>0</v>
      </c>
      <c r="F56" s="4"/>
      <c r="G56" s="595">
        <v>0</v>
      </c>
      <c r="H56" s="595">
        <v>0</v>
      </c>
      <c r="I56" s="595">
        <v>0</v>
      </c>
    </row>
    <row r="57" spans="1:10" ht="15.75">
      <c r="A57" s="14">
        <v>3340</v>
      </c>
      <c r="B57" s="70" t="s">
        <v>785</v>
      </c>
      <c r="C57" s="925"/>
      <c r="D57" s="4">
        <f>+C57*9%</f>
        <v>0</v>
      </c>
      <c r="E57" s="4">
        <f>+D57</f>
        <v>0</v>
      </c>
      <c r="F57" s="4">
        <f>IF(D57&gt;0," ",C57*18%)</f>
        <v>0</v>
      </c>
      <c r="G57" s="595">
        <v>0</v>
      </c>
      <c r="H57" s="595">
        <v>0</v>
      </c>
      <c r="I57" s="595">
        <v>0</v>
      </c>
    </row>
    <row r="58" spans="1:10" ht="15.75">
      <c r="A58" s="15" t="s">
        <v>10</v>
      </c>
      <c r="B58" s="70"/>
      <c r="C58" s="925"/>
      <c r="D58" s="4">
        <f t="shared" si="0"/>
        <v>0</v>
      </c>
      <c r="E58" s="4">
        <f t="shared" si="1"/>
        <v>0</v>
      </c>
      <c r="F58" s="4">
        <f t="shared" si="2"/>
        <v>0</v>
      </c>
      <c r="G58" s="595">
        <v>0</v>
      </c>
      <c r="H58" s="595">
        <v>0</v>
      </c>
      <c r="I58" s="595">
        <v>0</v>
      </c>
    </row>
    <row r="59" spans="1:10" ht="15.75">
      <c r="A59" s="14" t="s">
        <v>9</v>
      </c>
      <c r="B59" s="70" t="s">
        <v>8</v>
      </c>
      <c r="C59" s="925"/>
      <c r="D59" s="4">
        <f t="shared" si="0"/>
        <v>0</v>
      </c>
      <c r="E59" s="4">
        <f t="shared" si="1"/>
        <v>0</v>
      </c>
      <c r="F59" s="4">
        <v>0</v>
      </c>
      <c r="G59" s="595"/>
      <c r="H59" s="595">
        <v>0</v>
      </c>
      <c r="I59" s="595">
        <v>0</v>
      </c>
    </row>
    <row r="60" spans="1:10" ht="15.75">
      <c r="A60" s="13" t="s">
        <v>7</v>
      </c>
      <c r="B60" s="70" t="s">
        <v>6</v>
      </c>
      <c r="C60" s="925">
        <f>163200-7016</f>
        <v>156184</v>
      </c>
      <c r="D60" s="4">
        <f t="shared" si="0"/>
        <v>14056.56</v>
      </c>
      <c r="E60" s="4">
        <f t="shared" si="1"/>
        <v>14056.56</v>
      </c>
      <c r="F60" s="4" t="str">
        <f t="shared" si="2"/>
        <v xml:space="preserve"> </v>
      </c>
      <c r="G60" s="595">
        <v>7016</v>
      </c>
      <c r="H60" s="595">
        <v>0</v>
      </c>
      <c r="I60" s="595">
        <v>0</v>
      </c>
    </row>
    <row r="61" spans="1:10" ht="15.75">
      <c r="A61" s="5" t="s">
        <v>5</v>
      </c>
      <c r="B61" s="70" t="s">
        <v>4</v>
      </c>
      <c r="C61" s="925">
        <v>0</v>
      </c>
      <c r="D61" s="4">
        <f t="shared" si="0"/>
        <v>0</v>
      </c>
      <c r="E61" s="4">
        <f t="shared" si="1"/>
        <v>0</v>
      </c>
      <c r="F61" s="4">
        <f t="shared" si="2"/>
        <v>0</v>
      </c>
      <c r="G61" s="595">
        <v>0</v>
      </c>
      <c r="H61" s="595">
        <v>0</v>
      </c>
      <c r="I61" s="595">
        <v>0</v>
      </c>
    </row>
    <row r="62" spans="1:10" ht="15.75">
      <c r="A62" s="434"/>
      <c r="B62" s="432" t="s">
        <v>465</v>
      </c>
      <c r="C62" s="925">
        <v>0</v>
      </c>
      <c r="D62" s="4">
        <f t="shared" si="0"/>
        <v>0</v>
      </c>
      <c r="E62" s="4">
        <f t="shared" si="1"/>
        <v>0</v>
      </c>
      <c r="F62" s="4">
        <f t="shared" si="2"/>
        <v>0</v>
      </c>
      <c r="G62" s="595">
        <v>0</v>
      </c>
      <c r="H62" s="595">
        <v>0</v>
      </c>
      <c r="I62" s="595">
        <v>0</v>
      </c>
    </row>
    <row r="63" spans="1:10" ht="16.5" thickBot="1">
      <c r="A63" s="12"/>
      <c r="B63" s="11" t="s">
        <v>3</v>
      </c>
      <c r="C63" s="10">
        <f>SUM(C9:C62)</f>
        <v>326692.34999999998</v>
      </c>
      <c r="D63" s="10">
        <f>SUM(D9:D62)</f>
        <v>29402.311500000003</v>
      </c>
      <c r="E63" s="10">
        <f>SUM(E9:E62)</f>
        <v>29402.311500000003</v>
      </c>
      <c r="F63" s="10">
        <f>SUM(F9:F62)</f>
        <v>0</v>
      </c>
      <c r="G63" s="10">
        <f>SUM(G9:G62)</f>
        <v>7016</v>
      </c>
      <c r="H63" s="10">
        <f>SUM(H9:H60)</f>
        <v>0</v>
      </c>
      <c r="I63" s="42"/>
      <c r="J63" s="1" t="s">
        <v>5</v>
      </c>
    </row>
    <row r="64" spans="1:10" ht="16.5" thickTop="1">
      <c r="A64" s="9" t="s">
        <v>2</v>
      </c>
      <c r="B64" s="8"/>
      <c r="C64" s="7"/>
      <c r="D64" s="7"/>
      <c r="E64" s="7"/>
      <c r="F64" s="6"/>
      <c r="H64" s="1"/>
    </row>
    <row r="65" spans="1:10" ht="15.75">
      <c r="A65" s="5" t="s">
        <v>1</v>
      </c>
      <c r="B65" s="43" t="s">
        <v>0</v>
      </c>
      <c r="C65" s="4">
        <v>0</v>
      </c>
      <c r="D65" s="25">
        <f>+C65*9%</f>
        <v>0</v>
      </c>
      <c r="E65" s="25">
        <f>+D65</f>
        <v>0</v>
      </c>
      <c r="F65" s="25">
        <v>0</v>
      </c>
    </row>
    <row r="66" spans="1:10" ht="15.75">
      <c r="A66" s="5" t="s">
        <v>359</v>
      </c>
      <c r="B66" s="43" t="s">
        <v>360</v>
      </c>
      <c r="C66" s="4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29402.311499999996</v>
      </c>
    </row>
    <row r="67" spans="1:10" ht="15.75">
      <c r="A67" s="1228" t="s">
        <v>75</v>
      </c>
      <c r="B67" s="1228"/>
      <c r="C67" s="1228"/>
      <c r="D67" s="1228"/>
      <c r="E67" s="1228"/>
      <c r="F67" s="1228"/>
    </row>
    <row r="68" spans="1:10" ht="15.75">
      <c r="A68" s="29" t="s">
        <v>76</v>
      </c>
      <c r="B68" s="29"/>
      <c r="C68" s="3"/>
      <c r="D68" s="3"/>
      <c r="E68" s="3"/>
      <c r="F68" s="3"/>
      <c r="I68" s="269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+D63</f>
        <v>29402.311500000003</v>
      </c>
      <c r="E71" s="105">
        <f>+E63</f>
        <v>29402.311500000003</v>
      </c>
      <c r="F71" s="30">
        <f>+F63</f>
        <v>0</v>
      </c>
    </row>
    <row r="72" spans="1:10" ht="15.75">
      <c r="A72" s="43" t="s">
        <v>103</v>
      </c>
      <c r="B72" s="43"/>
      <c r="C72" s="43">
        <f>G63</f>
        <v>7016</v>
      </c>
      <c r="D72" s="106">
        <f>+C72*0.09</f>
        <v>631.43999999999994</v>
      </c>
      <c r="E72" s="106">
        <f>+C72*0.09</f>
        <v>631.43999999999994</v>
      </c>
      <c r="F72" s="106">
        <v>0</v>
      </c>
    </row>
    <row r="73" spans="1:10" ht="15.75">
      <c r="A73" s="43"/>
      <c r="B73" s="43"/>
      <c r="C73" s="43" t="s">
        <v>5</v>
      </c>
      <c r="D73" s="105">
        <f>+D71+D72</f>
        <v>30033.751500000002</v>
      </c>
      <c r="E73" s="105">
        <f>+E71+E72</f>
        <v>30033.751500000002</v>
      </c>
      <c r="F73" s="105">
        <f>+F71+F72</f>
        <v>0</v>
      </c>
    </row>
    <row r="74" spans="1:10" ht="15.75">
      <c r="A74" s="1241" t="s">
        <v>104</v>
      </c>
      <c r="B74" s="1242"/>
      <c r="C74" s="1243"/>
      <c r="D74" s="108">
        <v>30035.779999999799</v>
      </c>
      <c r="E74" s="108">
        <f>+D74</f>
        <v>30035.779999999799</v>
      </c>
      <c r="F74" s="108">
        <f>+F73</f>
        <v>0</v>
      </c>
    </row>
    <row r="75" spans="1:10" ht="15.75">
      <c r="A75" s="1250" t="s">
        <v>79</v>
      </c>
      <c r="B75" s="1251"/>
      <c r="C75" s="1252"/>
      <c r="D75" s="641">
        <f>+D73-D74</f>
        <v>-2.0284999997966224</v>
      </c>
      <c r="E75" s="641">
        <f>+E73-E74</f>
        <v>-2.0284999997966224</v>
      </c>
      <c r="F75" s="642">
        <f>IF(F71&gt;F74,F71,F74)</f>
        <v>0</v>
      </c>
      <c r="G75" s="1">
        <f>+D75/9%</f>
        <v>-22.538888886629138</v>
      </c>
      <c r="H75" s="1"/>
      <c r="J75" s="72"/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</row>
    <row r="80" spans="1:10">
      <c r="A80" s="1225"/>
      <c r="B80" s="1226"/>
      <c r="C80" s="1227"/>
      <c r="D80" s="42" t="s">
        <v>5</v>
      </c>
      <c r="E80" s="42"/>
      <c r="F80" s="42"/>
      <c r="G80" s="32"/>
    </row>
    <row r="81" spans="1:9" ht="15.75">
      <c r="A81" s="1216" t="s">
        <v>69</v>
      </c>
      <c r="B81" s="1216"/>
      <c r="C81" s="1216"/>
      <c r="D81" s="108">
        <v>15183.72</v>
      </c>
      <c r="E81" s="108">
        <f>+D81</f>
        <v>15183.72</v>
      </c>
      <c r="F81" s="58">
        <v>0</v>
      </c>
      <c r="G81" s="32">
        <f>+D81/2</f>
        <v>7591.86</v>
      </c>
      <c r="H81" s="32">
        <f t="shared" ref="H81:I83" si="3">+E81/2</f>
        <v>7591.86</v>
      </c>
      <c r="I81" s="32">
        <f t="shared" si="3"/>
        <v>0</v>
      </c>
    </row>
    <row r="82" spans="1:9" ht="15.75">
      <c r="A82" s="1224" t="s">
        <v>83</v>
      </c>
      <c r="B82" s="1224"/>
      <c r="C82" s="1224"/>
      <c r="D82" s="105">
        <f>+C93</f>
        <v>59.22</v>
      </c>
      <c r="E82" s="105">
        <f>+D82</f>
        <v>59.22</v>
      </c>
      <c r="F82" s="56">
        <f>+E93</f>
        <v>0</v>
      </c>
      <c r="G82" s="32">
        <f>+D82/2</f>
        <v>29.61</v>
      </c>
      <c r="H82" s="32">
        <f t="shared" si="3"/>
        <v>29.61</v>
      </c>
      <c r="I82" s="32">
        <f t="shared" si="3"/>
        <v>0</v>
      </c>
    </row>
    <row r="83" spans="1:9" ht="15.75">
      <c r="A83" s="1215" t="s">
        <v>82</v>
      </c>
      <c r="B83" s="1215"/>
      <c r="C83" s="1215"/>
      <c r="D83" s="108">
        <f>+D81-D82</f>
        <v>15124.5</v>
      </c>
      <c r="E83" s="108">
        <f>+E81-E82</f>
        <v>15124.5</v>
      </c>
      <c r="F83" s="58">
        <f>+F81-F82</f>
        <v>0</v>
      </c>
      <c r="G83" s="32">
        <f>+D83/2</f>
        <v>7562.25</v>
      </c>
      <c r="H83" s="32">
        <f t="shared" si="3"/>
        <v>7562.25</v>
      </c>
      <c r="I83" s="32">
        <f t="shared" si="3"/>
        <v>0</v>
      </c>
    </row>
    <row r="84" spans="1:9">
      <c r="A84" s="488"/>
      <c r="B84" s="420"/>
      <c r="C84" s="420"/>
      <c r="D84" s="420"/>
      <c r="E84" s="420"/>
      <c r="F84" s="420"/>
      <c r="G84" s="32"/>
      <c r="I84" s="32"/>
    </row>
    <row r="85" spans="1:9" ht="15.75" customHeight="1">
      <c r="A85" s="402"/>
      <c r="B85" s="402"/>
      <c r="C85" s="402"/>
      <c r="D85" s="402"/>
      <c r="E85" s="402"/>
      <c r="F85" s="402"/>
    </row>
    <row r="86" spans="1:9" ht="15.75" customHeight="1">
      <c r="A86" s="402"/>
      <c r="B86" s="402"/>
      <c r="C86" s="402"/>
      <c r="D86" s="402"/>
      <c r="E86" s="402"/>
      <c r="F86" s="402"/>
    </row>
    <row r="87" spans="1:9">
      <c r="B87" s="1334" t="s">
        <v>101</v>
      </c>
      <c r="C87" s="1335"/>
      <c r="D87" s="1335"/>
      <c r="E87" s="1336"/>
      <c r="F87" s="136"/>
      <c r="G87" s="147"/>
    </row>
    <row r="88" spans="1:9">
      <c r="B88" s="453" t="s">
        <v>322</v>
      </c>
      <c r="C88" s="454" t="s">
        <v>89</v>
      </c>
      <c r="D88" s="454" t="s">
        <v>67</v>
      </c>
      <c r="E88" s="455" t="s">
        <v>68</v>
      </c>
    </row>
    <row r="89" spans="1:9">
      <c r="B89" s="737" t="s">
        <v>102</v>
      </c>
      <c r="C89" s="1066">
        <v>29.61</v>
      </c>
      <c r="D89" s="156">
        <f>C89</f>
        <v>29.61</v>
      </c>
      <c r="E89" s="42">
        <v>0</v>
      </c>
      <c r="I89" s="32"/>
    </row>
    <row r="90" spans="1:9">
      <c r="B90" s="516" t="s">
        <v>440</v>
      </c>
      <c r="C90" s="1067"/>
      <c r="D90" s="42">
        <f>C90</f>
        <v>0</v>
      </c>
      <c r="E90" s="42"/>
      <c r="F90" s="1" t="s">
        <v>534</v>
      </c>
    </row>
    <row r="91" spans="1:9">
      <c r="B91" s="737" t="s">
        <v>102</v>
      </c>
      <c r="C91" s="1066">
        <v>29.61</v>
      </c>
      <c r="D91" s="156">
        <f>C91</f>
        <v>29.61</v>
      </c>
      <c r="E91" s="42"/>
    </row>
    <row r="92" spans="1:9">
      <c r="B92" s="737" t="s">
        <v>440</v>
      </c>
      <c r="C92" s="42"/>
      <c r="D92" s="42">
        <f>+C92</f>
        <v>0</v>
      </c>
      <c r="E92" s="42">
        <v>0</v>
      </c>
    </row>
    <row r="93" spans="1:9">
      <c r="B93" s="42"/>
      <c r="C93" s="169">
        <f>SUM(C89:C92)</f>
        <v>59.22</v>
      </c>
      <c r="D93" s="169">
        <f>SUM(D89:D92)</f>
        <v>59.22</v>
      </c>
      <c r="E93" s="169">
        <f>SUM(E89:E92)</f>
        <v>0</v>
      </c>
    </row>
    <row r="95" spans="1:9" ht="15.75" thickBot="1"/>
    <row r="96" spans="1:9" ht="15" customHeight="1">
      <c r="A96" s="1328"/>
      <c r="B96" s="1329"/>
      <c r="C96" s="1329"/>
      <c r="D96" s="1329"/>
      <c r="E96" s="1329"/>
      <c r="F96" s="1330"/>
    </row>
    <row r="97" spans="1:6" ht="15.75" thickBot="1">
      <c r="A97" s="1331"/>
      <c r="B97" s="1332"/>
      <c r="C97" s="1332"/>
      <c r="D97" s="1332"/>
      <c r="E97" s="1332"/>
      <c r="F97" s="1333"/>
    </row>
    <row r="98" spans="1:6" ht="15.75" thickBot="1">
      <c r="A98" s="1073"/>
      <c r="B98" s="1073"/>
      <c r="C98" s="1073"/>
      <c r="D98" s="1073"/>
      <c r="E98" s="1073"/>
      <c r="F98" s="1073"/>
    </row>
    <row r="99" spans="1:6">
      <c r="A99" s="1328"/>
      <c r="B99" s="1329"/>
      <c r="C99" s="1329"/>
      <c r="D99" s="1329"/>
      <c r="E99" s="1329"/>
      <c r="F99" s="1330"/>
    </row>
    <row r="100" spans="1:6" ht="15.75" thickBot="1">
      <c r="A100" s="1331"/>
      <c r="B100" s="1332"/>
      <c r="C100" s="1332"/>
      <c r="D100" s="1332"/>
      <c r="E100" s="1332"/>
      <c r="F100" s="1333"/>
    </row>
  </sheetData>
  <mergeCells count="31">
    <mergeCell ref="A96:F97"/>
    <mergeCell ref="A99:F10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1:C71"/>
    <mergeCell ref="A74:C74"/>
    <mergeCell ref="A75:C75"/>
    <mergeCell ref="B87:E87"/>
    <mergeCell ref="A78:C79"/>
    <mergeCell ref="H7:H8"/>
    <mergeCell ref="I7:I8"/>
    <mergeCell ref="A67:F67"/>
    <mergeCell ref="A69:C70"/>
    <mergeCell ref="D69:D70"/>
    <mergeCell ref="E69:E70"/>
    <mergeCell ref="F69:F70"/>
    <mergeCell ref="G7:G8"/>
    <mergeCell ref="A83:C83"/>
    <mergeCell ref="F78:F79"/>
    <mergeCell ref="E78:E79"/>
    <mergeCell ref="A80:C80"/>
    <mergeCell ref="A81:C81"/>
    <mergeCell ref="A82:C82"/>
    <mergeCell ref="D78:D79"/>
  </mergeCells>
  <conditionalFormatting sqref="A9:B27 A63:F73 A85 J38:XFD1048576 G81:I1048576">
    <cfRule type="containsText" dxfId="279" priority="39" operator="containsText" text="LESS COLLECTED">
      <formula>NOT(ISERROR(SEARCH("LESS COLLECTED",A9)))</formula>
    </cfRule>
  </conditionalFormatting>
  <conditionalFormatting sqref="A22:B33 A63:F73 A85 A94:F95 J38:XFD1048576 G81:I1048576">
    <cfRule type="containsText" dxfId="278" priority="45" operator="containsText" text="LESS COLLECTED">
      <formula>NOT(ISERROR(SEARCH("LESS COLLECTED",A22)))</formula>
    </cfRule>
  </conditionalFormatting>
  <conditionalFormatting sqref="A34:B57">
    <cfRule type="containsText" dxfId="277" priority="7" operator="containsText" text="LESS COLLECTED">
      <formula>NOT(ISERROR(SEARCH("LESS COLLECTED",A34)))</formula>
    </cfRule>
  </conditionalFormatting>
  <conditionalFormatting sqref="A47:B56 A28:B32">
    <cfRule type="containsText" dxfId="276" priority="44" operator="containsText" text="EXCESS COLLECTED">
      <formula>NOT(ISERROR(SEARCH("EXCESS COLLECTED",A28)))</formula>
    </cfRule>
  </conditionalFormatting>
  <conditionalFormatting sqref="A57:B57">
    <cfRule type="containsText" dxfId="275" priority="6" operator="containsText" text="EXCESS COLLECTED">
      <formula>NOT(ISERROR(SEARCH("EXCESS COLLECTED",A57)))</formula>
    </cfRule>
  </conditionalFormatting>
  <conditionalFormatting sqref="A58:B62">
    <cfRule type="containsText" dxfId="274" priority="49" operator="containsText" text="LESS COLLECTED">
      <formula>NOT(ISERROR(SEARCH("LESS COLLECTED",A58)))</formula>
    </cfRule>
  </conditionalFormatting>
  <conditionalFormatting sqref="A74:D74">
    <cfRule type="containsText" dxfId="273" priority="59" operator="containsText" text="LESS COLLECTED">
      <formula>NOT(ISERROR(SEARCH("LESS COLLECTED",A74)))</formula>
    </cfRule>
  </conditionalFormatting>
  <conditionalFormatting sqref="A75:F83">
    <cfRule type="containsText" dxfId="272" priority="5" operator="containsText" text="LESS COLLECTED">
      <formula>NOT(ISERROR(SEARCH("LESS COLLECTED",A75)))</formula>
    </cfRule>
  </conditionalFormatting>
  <conditionalFormatting sqref="B62">
    <cfRule type="containsText" dxfId="271" priority="48" operator="containsText" text="EXCESS COLLECTED">
      <formula>NOT(ISERROR(SEARCH("EXCESS COLLECTED",B62)))</formula>
    </cfRule>
  </conditionalFormatting>
  <conditionalFormatting sqref="B87 B93:E93">
    <cfRule type="containsText" dxfId="270" priority="148" operator="containsText" text="LESS COLLECTED">
      <formula>NOT(ISERROR(SEARCH("LESS COLLECTED",B87)))</formula>
    </cfRule>
  </conditionalFormatting>
  <conditionalFormatting sqref="B93:E93 D69:E70 A72:F73 B87">
    <cfRule type="containsText" dxfId="269" priority="147" operator="containsText" text="EXCESS COLLECTED">
      <formula>NOT(ISERROR(SEARCH("EXCESS COLLECTED",A69)))</formula>
    </cfRule>
  </conditionalFormatting>
  <conditionalFormatting sqref="C9:C62">
    <cfRule type="containsText" dxfId="268" priority="1" operator="containsText" text="LESS COLLECTED">
      <formula>NOT(ISERROR(SEARCH("LESS COLLECTED",C9)))</formula>
    </cfRule>
    <cfRule type="containsText" dxfId="267" priority="2" operator="containsText" text="EXCESS COLLECTED">
      <formula>NOT(ISERROR(SEARCH("EXCESS COLLECTED",C9)))</formula>
    </cfRule>
  </conditionalFormatting>
  <conditionalFormatting sqref="C89:C92">
    <cfRule type="containsText" dxfId="266" priority="28" operator="containsText" text="EXCESS COLLECTED">
      <formula>NOT(ISERROR(SEARCH("EXCESS COLLECTED",C89)))</formula>
    </cfRule>
    <cfRule type="containsText" dxfId="265" priority="29" operator="containsText" text="LESS COLLECTED">
      <formula>NOT(ISERROR(SEARCH("LESS COLLECTED",C89)))</formula>
    </cfRule>
  </conditionalFormatting>
  <conditionalFormatting sqref="C92">
    <cfRule type="containsText" dxfId="264" priority="30" operator="containsText" text="EXCESS COLLECTED">
      <formula>NOT(ISERROR(SEARCH("EXCESS COLLECTED",C92)))</formula>
    </cfRule>
  </conditionalFormatting>
  <conditionalFormatting sqref="C93:E93">
    <cfRule type="containsText" dxfId="263" priority="104" operator="containsText" text="EXCESS COLLECTED">
      <formula>NOT(ISERROR(SEARCH("EXCESS COLLECTED",C93)))</formula>
    </cfRule>
    <cfRule type="containsText" dxfId="262" priority="105" operator="containsText" text="LESS COLLECTED">
      <formula>NOT(ISERROR(SEARCH("LESS COLLECTED",C93)))</formula>
    </cfRule>
  </conditionalFormatting>
  <conditionalFormatting sqref="D74">
    <cfRule type="containsText" dxfId="261" priority="58" operator="containsText" text="EXCESS COLLECTED">
      <formula>NOT(ISERROR(SEARCH("EXCESS COLLECTED",D74)))</formula>
    </cfRule>
  </conditionalFormatting>
  <conditionalFormatting sqref="D89:D91">
    <cfRule type="containsText" dxfId="260" priority="78" operator="containsText" text="EXCESS COLLECTED">
      <formula>NOT(ISERROR(SEARCH("EXCESS COLLECTED",D89)))</formula>
    </cfRule>
    <cfRule type="containsText" dxfId="259" priority="79" operator="containsText" text="LESS COLLECTED">
      <formula>NOT(ISERROR(SEARCH("LESS COLLECTED",D89)))</formula>
    </cfRule>
  </conditionalFormatting>
  <conditionalFormatting sqref="D92:D93">
    <cfRule type="containsText" dxfId="258" priority="108" operator="containsText" text="EXCESS COLLECTED">
      <formula>NOT(ISERROR(SEARCH("EXCESS COLLECTED",D92)))</formula>
    </cfRule>
    <cfRule type="containsText" dxfId="257" priority="109" operator="containsText" text="LESS COLLECTED">
      <formula>NOT(ISERROR(SEARCH("LESS COLLECTED",D92)))</formula>
    </cfRule>
  </conditionalFormatting>
  <conditionalFormatting sqref="D89:E92 A1:XFD7 A8:F8 J8:XFD8 D9:XFD9 J10:XFD36 K37:XFD37 H80:I80 A84:B84 F87 B88:E88 A101:F1048576">
    <cfRule type="containsText" dxfId="256" priority="159" operator="containsText" text="LESS COLLECTED">
      <formula>NOT(ISERROR(SEARCH("LESS COLLECTED",A1)))</formula>
    </cfRule>
  </conditionalFormatting>
  <conditionalFormatting sqref="D10:F34">
    <cfRule type="containsText" dxfId="255" priority="17" operator="containsText" text="LESS COLLECTED">
      <formula>NOT(ISERROR(SEARCH("LESS COLLECTED",D10)))</formula>
    </cfRule>
  </conditionalFormatting>
  <conditionalFormatting sqref="D35:F56 A9:B21">
    <cfRule type="containsText" dxfId="254" priority="38" operator="containsText" text="LESS COLLECTED">
      <formula>NOT(ISERROR(SEARCH("LESS COLLECTED",A9)))</formula>
    </cfRule>
  </conditionalFormatting>
  <conditionalFormatting sqref="D51:F52">
    <cfRule type="containsText" dxfId="253" priority="22" operator="containsText" text="EXCESS COLLECTED">
      <formula>NOT(ISERROR(SEARCH("EXCESS COLLECTED",D51)))</formula>
    </cfRule>
  </conditionalFormatting>
  <conditionalFormatting sqref="D57:F57">
    <cfRule type="containsText" dxfId="252" priority="8" operator="containsText" text="EXCESS COLLECTED">
      <formula>NOT(ISERROR(SEARCH("EXCESS COLLECTED",D57)))</formula>
    </cfRule>
  </conditionalFormatting>
  <conditionalFormatting sqref="D57:F62">
    <cfRule type="containsText" dxfId="251" priority="11" operator="containsText" text="LESS COLLECTED">
      <formula>NOT(ISERROR(SEARCH("LESS COLLECTED",D57)))</formula>
    </cfRule>
  </conditionalFormatting>
  <conditionalFormatting sqref="E89:E92">
    <cfRule type="containsText" dxfId="250" priority="70" operator="containsText" text="EXCESS COLLECTED">
      <formula>NOT(ISERROR(SEARCH("EXCESS COLLECTED",E89)))</formula>
    </cfRule>
    <cfRule type="containsText" dxfId="249" priority="71" operator="containsText" text="LESS COLLECTED">
      <formula>NOT(ISERROR(SEARCH("LESS COLLECTED",E89)))</formula>
    </cfRule>
  </conditionalFormatting>
  <conditionalFormatting sqref="G74">
    <cfRule type="containsText" dxfId="248" priority="149" operator="containsText" text="EXC">
      <formula>NOT(ISERROR(SEARCH("EXC",G74)))</formula>
    </cfRule>
    <cfRule type="containsText" dxfId="247" priority="150" operator="containsText" text="LESS">
      <formula>NOT(ISERROR(SEARCH("LESS",G74)))</formula>
    </cfRule>
    <cfRule type="containsText" dxfId="246" priority="151" operator="containsText" text="EXC">
      <formula>NOT(ISERROR(SEARCH("EXC",G74)))</formula>
    </cfRule>
  </conditionalFormatting>
  <pageMargins left="0.90551181102362199" right="0.86811023600000004" top="0" bottom="0.5" header="0.31496062992126" footer="0.31496062992126"/>
  <pageSetup paperSize="9" scale="55" orientation="portrait" r:id="rId1"/>
  <ignoredErrors>
    <ignoredError sqref="E82 D51" formula="1"/>
    <ignoredError sqref="H63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92D050"/>
  </sheetPr>
  <dimension ref="A1:O98"/>
  <sheetViews>
    <sheetView topLeftCell="A71" workbookViewId="0">
      <selection activeCell="D74" sqref="D74"/>
    </sheetView>
  </sheetViews>
  <sheetFormatPr defaultColWidth="9.140625" defaultRowHeight="15"/>
  <cols>
    <col min="1" max="1" width="16.140625" style="1" customWidth="1"/>
    <col min="2" max="2" width="41.28515625" style="1" customWidth="1"/>
    <col min="3" max="3" width="15.7109375" style="1" bestFit="1" customWidth="1"/>
    <col min="4" max="4" width="15.28515625" style="1" bestFit="1" customWidth="1"/>
    <col min="5" max="5" width="14.57031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17.7109375" style="1" customWidth="1"/>
    <col min="10" max="10" width="9.570312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96</v>
      </c>
      <c r="B3" s="1229"/>
      <c r="C3" s="1229"/>
      <c r="D3" s="1229"/>
      <c r="E3" s="1229"/>
      <c r="F3" s="1229"/>
    </row>
    <row r="4" spans="1:10" ht="15.75">
      <c r="A4" s="1229" t="s">
        <v>366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925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  <c r="I9" s="266">
        <v>0</v>
      </c>
    </row>
    <row r="10" spans="1:10" ht="15.75">
      <c r="A10" s="31" t="s">
        <v>87</v>
      </c>
      <c r="B10" s="70" t="s">
        <v>61</v>
      </c>
      <c r="C10" s="925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I10" s="266">
        <v>0</v>
      </c>
    </row>
    <row r="11" spans="1:10" ht="15.75">
      <c r="A11" s="14" t="s">
        <v>60</v>
      </c>
      <c r="B11" s="70" t="s">
        <v>59</v>
      </c>
      <c r="C11" s="925"/>
      <c r="D11" s="367">
        <f t="shared" ref="D11:D58" si="0">+C11*9%</f>
        <v>0</v>
      </c>
      <c r="E11" s="367">
        <f t="shared" ref="E11:E58" si="1">+D11</f>
        <v>0</v>
      </c>
      <c r="F11" s="4">
        <f t="shared" ref="F11:F58" si="2">IF(D11&gt;0," ",C11*18%)</f>
        <v>0</v>
      </c>
      <c r="G11" s="266">
        <v>0</v>
      </c>
      <c r="H11" s="266">
        <v>0</v>
      </c>
      <c r="I11" s="266">
        <v>0</v>
      </c>
    </row>
    <row r="12" spans="1:10" ht="15.75">
      <c r="A12" s="14" t="s">
        <v>58</v>
      </c>
      <c r="B12" s="70" t="s">
        <v>57</v>
      </c>
      <c r="C12" s="925"/>
      <c r="D12" s="367">
        <f t="shared" si="0"/>
        <v>0</v>
      </c>
      <c r="E12" s="367">
        <f t="shared" si="1"/>
        <v>0</v>
      </c>
      <c r="F12" s="4">
        <f t="shared" si="2"/>
        <v>0</v>
      </c>
      <c r="G12" s="266">
        <v>0</v>
      </c>
      <c r="H12" s="266">
        <v>0</v>
      </c>
      <c r="I12" s="266">
        <v>0</v>
      </c>
    </row>
    <row r="13" spans="1:10" ht="15.75">
      <c r="A13" s="13" t="s">
        <v>56</v>
      </c>
      <c r="B13" s="70" t="s">
        <v>55</v>
      </c>
      <c r="C13" s="925"/>
      <c r="D13" s="367">
        <f t="shared" si="0"/>
        <v>0</v>
      </c>
      <c r="E13" s="367">
        <f t="shared" si="1"/>
        <v>0</v>
      </c>
      <c r="F13" s="4">
        <f t="shared" si="2"/>
        <v>0</v>
      </c>
      <c r="G13" s="266">
        <v>0</v>
      </c>
      <c r="H13" s="266">
        <v>0</v>
      </c>
      <c r="I13" s="266">
        <v>0</v>
      </c>
    </row>
    <row r="14" spans="1:10" ht="15.75">
      <c r="A14" s="13" t="s">
        <v>54</v>
      </c>
      <c r="B14" s="70" t="s">
        <v>53</v>
      </c>
      <c r="C14" s="925"/>
      <c r="D14" s="367">
        <f t="shared" si="0"/>
        <v>0</v>
      </c>
      <c r="E14" s="367">
        <f t="shared" si="1"/>
        <v>0</v>
      </c>
      <c r="F14" s="4">
        <f t="shared" si="2"/>
        <v>0</v>
      </c>
      <c r="G14" s="266">
        <v>0</v>
      </c>
      <c r="H14" s="266">
        <v>0</v>
      </c>
      <c r="I14" s="266">
        <v>0</v>
      </c>
    </row>
    <row r="15" spans="1:10" ht="15.75">
      <c r="A15" s="13" t="s">
        <v>52</v>
      </c>
      <c r="B15" s="70" t="s">
        <v>51</v>
      </c>
      <c r="C15" s="925">
        <v>50</v>
      </c>
      <c r="D15" s="367">
        <f t="shared" si="0"/>
        <v>4.5</v>
      </c>
      <c r="E15" s="367">
        <f t="shared" si="1"/>
        <v>4.5</v>
      </c>
      <c r="F15" s="4" t="str">
        <f t="shared" si="2"/>
        <v xml:space="preserve"> </v>
      </c>
      <c r="G15" s="266">
        <v>0</v>
      </c>
      <c r="H15" s="266">
        <v>0</v>
      </c>
      <c r="I15" s="266">
        <v>0</v>
      </c>
    </row>
    <row r="16" spans="1:10" ht="15.75">
      <c r="A16" s="14" t="s">
        <v>50</v>
      </c>
      <c r="B16" s="70" t="s">
        <v>49</v>
      </c>
      <c r="C16" s="925"/>
      <c r="D16" s="367">
        <f t="shared" si="0"/>
        <v>0</v>
      </c>
      <c r="E16" s="367" t="s">
        <v>5</v>
      </c>
      <c r="F16" s="4">
        <f t="shared" si="2"/>
        <v>0</v>
      </c>
      <c r="G16" s="266">
        <v>0</v>
      </c>
      <c r="H16" s="266">
        <v>0</v>
      </c>
      <c r="I16" s="266">
        <v>0</v>
      </c>
    </row>
    <row r="17" spans="1:15" ht="15.75">
      <c r="A17" s="14" t="s">
        <v>48</v>
      </c>
      <c r="B17" s="70" t="s">
        <v>47</v>
      </c>
      <c r="C17" s="925"/>
      <c r="D17" s="367">
        <f t="shared" si="0"/>
        <v>0</v>
      </c>
      <c r="E17" s="367">
        <f t="shared" si="1"/>
        <v>0</v>
      </c>
      <c r="F17" s="4">
        <f t="shared" si="2"/>
        <v>0</v>
      </c>
      <c r="G17" s="266">
        <v>0</v>
      </c>
      <c r="H17" s="266">
        <v>0</v>
      </c>
      <c r="I17" s="266">
        <v>0</v>
      </c>
    </row>
    <row r="18" spans="1:15" ht="15.75">
      <c r="A18" s="14" t="s">
        <v>46</v>
      </c>
      <c r="B18" s="70" t="s">
        <v>45</v>
      </c>
      <c r="C18" s="925"/>
      <c r="D18" s="367">
        <f t="shared" si="0"/>
        <v>0</v>
      </c>
      <c r="E18" s="367">
        <f t="shared" si="1"/>
        <v>0</v>
      </c>
      <c r="F18" s="4">
        <f t="shared" si="2"/>
        <v>0</v>
      </c>
      <c r="G18" s="266">
        <v>0</v>
      </c>
      <c r="H18" s="266">
        <v>0</v>
      </c>
      <c r="I18" s="266">
        <v>0</v>
      </c>
    </row>
    <row r="19" spans="1:15" ht="15.75">
      <c r="A19" s="13" t="s">
        <v>44</v>
      </c>
      <c r="B19" s="70" t="s">
        <v>43</v>
      </c>
      <c r="C19" s="925">
        <v>2000</v>
      </c>
      <c r="D19" s="367">
        <f t="shared" si="0"/>
        <v>180</v>
      </c>
      <c r="E19" s="367">
        <f t="shared" si="1"/>
        <v>180</v>
      </c>
      <c r="F19" s="4" t="str">
        <f t="shared" si="2"/>
        <v xml:space="preserve"> </v>
      </c>
      <c r="G19" s="266">
        <v>0</v>
      </c>
      <c r="H19" s="266">
        <v>0</v>
      </c>
      <c r="I19" s="266">
        <v>0</v>
      </c>
    </row>
    <row r="20" spans="1:15" ht="15.75">
      <c r="A20" s="13">
        <v>3271</v>
      </c>
      <c r="B20" s="70" t="s">
        <v>533</v>
      </c>
      <c r="C20" s="925"/>
      <c r="D20" s="367">
        <f t="shared" si="0"/>
        <v>0</v>
      </c>
      <c r="E20" s="367">
        <f t="shared" si="1"/>
        <v>0</v>
      </c>
      <c r="F20" s="4">
        <f t="shared" si="2"/>
        <v>0</v>
      </c>
      <c r="G20" s="266">
        <v>0</v>
      </c>
      <c r="H20" s="266">
        <v>0</v>
      </c>
      <c r="I20" s="266">
        <v>0</v>
      </c>
    </row>
    <row r="21" spans="1:15" ht="15.75">
      <c r="A21" s="13">
        <v>3274</v>
      </c>
      <c r="B21" s="70" t="s">
        <v>554</v>
      </c>
      <c r="C21" s="925"/>
      <c r="D21" s="367">
        <f t="shared" si="0"/>
        <v>0</v>
      </c>
      <c r="E21" s="367">
        <f t="shared" si="1"/>
        <v>0</v>
      </c>
      <c r="F21" s="4"/>
      <c r="G21" s="266">
        <v>0</v>
      </c>
      <c r="H21" s="266">
        <v>0</v>
      </c>
      <c r="I21" s="266">
        <v>0</v>
      </c>
    </row>
    <row r="22" spans="1:15" ht="15.75">
      <c r="A22" s="17" t="s">
        <v>42</v>
      </c>
      <c r="B22" s="70" t="s">
        <v>41</v>
      </c>
      <c r="C22" s="925"/>
      <c r="D22" s="367">
        <f t="shared" si="0"/>
        <v>0</v>
      </c>
      <c r="E22" s="367">
        <f t="shared" si="1"/>
        <v>0</v>
      </c>
      <c r="F22" s="4">
        <f t="shared" si="2"/>
        <v>0</v>
      </c>
      <c r="G22" s="266">
        <v>0</v>
      </c>
      <c r="H22" s="266">
        <v>0</v>
      </c>
      <c r="I22" s="266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25"/>
      <c r="D23" s="367">
        <f t="shared" si="0"/>
        <v>0</v>
      </c>
      <c r="E23" s="367">
        <f t="shared" si="1"/>
        <v>0</v>
      </c>
      <c r="F23" s="4">
        <f t="shared" si="2"/>
        <v>0</v>
      </c>
      <c r="G23" s="266">
        <v>0</v>
      </c>
      <c r="H23" s="266">
        <v>0</v>
      </c>
      <c r="I23" s="266">
        <v>0</v>
      </c>
    </row>
    <row r="24" spans="1:15" ht="15.75">
      <c r="A24" s="14" t="s">
        <v>38</v>
      </c>
      <c r="B24" s="70" t="s">
        <v>37</v>
      </c>
      <c r="C24" s="925"/>
      <c r="D24" s="367">
        <f t="shared" si="0"/>
        <v>0</v>
      </c>
      <c r="E24" s="367">
        <f t="shared" si="1"/>
        <v>0</v>
      </c>
      <c r="F24" s="4">
        <v>0</v>
      </c>
      <c r="G24" s="266">
        <v>0</v>
      </c>
      <c r="H24" s="266">
        <v>0</v>
      </c>
      <c r="I24" s="266">
        <v>0</v>
      </c>
    </row>
    <row r="25" spans="1:15" ht="15.75">
      <c r="A25" s="16" t="s">
        <v>36</v>
      </c>
      <c r="B25" s="70" t="s">
        <v>35</v>
      </c>
      <c r="C25" s="925"/>
      <c r="D25" s="367">
        <f t="shared" si="0"/>
        <v>0</v>
      </c>
      <c r="E25" s="367">
        <f t="shared" si="1"/>
        <v>0</v>
      </c>
      <c r="F25" s="4">
        <f t="shared" si="2"/>
        <v>0</v>
      </c>
      <c r="G25" s="266">
        <v>0</v>
      </c>
      <c r="H25" s="266">
        <v>0</v>
      </c>
      <c r="I25" s="266">
        <v>0</v>
      </c>
    </row>
    <row r="26" spans="1:15" ht="15.75">
      <c r="A26" s="16" t="s">
        <v>34</v>
      </c>
      <c r="B26" s="70" t="s">
        <v>33</v>
      </c>
      <c r="C26" s="925"/>
      <c r="D26" s="367">
        <f t="shared" si="0"/>
        <v>0</v>
      </c>
      <c r="E26" s="367">
        <f t="shared" si="1"/>
        <v>0</v>
      </c>
      <c r="F26" s="4">
        <f t="shared" si="2"/>
        <v>0</v>
      </c>
      <c r="G26" s="266">
        <v>0</v>
      </c>
      <c r="H26" s="266">
        <v>0</v>
      </c>
      <c r="I26" s="266">
        <v>0</v>
      </c>
    </row>
    <row r="27" spans="1:15" ht="15.75">
      <c r="A27" s="16" t="s">
        <v>32</v>
      </c>
      <c r="B27" s="70" t="s">
        <v>31</v>
      </c>
      <c r="C27" s="925"/>
      <c r="D27" s="367">
        <f t="shared" si="0"/>
        <v>0</v>
      </c>
      <c r="E27" s="367">
        <f t="shared" si="1"/>
        <v>0</v>
      </c>
      <c r="F27" s="4">
        <f t="shared" si="2"/>
        <v>0</v>
      </c>
      <c r="G27" s="266">
        <v>0</v>
      </c>
      <c r="H27" s="266">
        <v>0</v>
      </c>
      <c r="I27" s="266">
        <v>0</v>
      </c>
    </row>
    <row r="28" spans="1:15" ht="15.75">
      <c r="A28" s="137">
        <v>3291</v>
      </c>
      <c r="B28" s="70" t="s">
        <v>325</v>
      </c>
      <c r="C28" s="925"/>
      <c r="D28" s="367">
        <f>+C28*9%</f>
        <v>0</v>
      </c>
      <c r="E28" s="367">
        <f>+D28</f>
        <v>0</v>
      </c>
      <c r="F28" s="4">
        <f>IF(D28&gt;0," ",C28*18%)</f>
        <v>0</v>
      </c>
      <c r="G28" s="266">
        <v>0</v>
      </c>
      <c r="H28" s="266">
        <v>0</v>
      </c>
      <c r="I28" s="266">
        <v>0</v>
      </c>
    </row>
    <row r="29" spans="1:15" ht="15.75">
      <c r="A29" s="137" t="s">
        <v>526</v>
      </c>
      <c r="B29" s="33" t="s">
        <v>523</v>
      </c>
      <c r="C29" s="925">
        <v>935</v>
      </c>
      <c r="D29" s="367">
        <f>+C29*9%</f>
        <v>84.149999999999991</v>
      </c>
      <c r="E29" s="367">
        <f>+D29</f>
        <v>84.149999999999991</v>
      </c>
      <c r="F29" s="4" t="str">
        <f>IF(D29&gt;0," ",C29*18%)</f>
        <v xml:space="preserve"> </v>
      </c>
      <c r="G29" s="266">
        <v>0</v>
      </c>
      <c r="H29" s="266">
        <v>0</v>
      </c>
      <c r="I29" s="266">
        <v>0</v>
      </c>
    </row>
    <row r="30" spans="1:15" ht="15.75">
      <c r="A30" s="137" t="s">
        <v>527</v>
      </c>
      <c r="B30" s="33" t="s">
        <v>524</v>
      </c>
      <c r="C30" s="925">
        <v>11250</v>
      </c>
      <c r="D30" s="367">
        <f t="shared" ref="D30:D35" si="3">+C30*9%</f>
        <v>1012.5</v>
      </c>
      <c r="E30" s="367">
        <f>+D30</f>
        <v>1012.5</v>
      </c>
      <c r="F30" s="4" t="str">
        <f>IF(D30&gt;0," ",C30*18%)</f>
        <v xml:space="preserve"> </v>
      </c>
      <c r="G30" s="266">
        <v>0</v>
      </c>
      <c r="H30" s="266">
        <v>0</v>
      </c>
      <c r="I30" s="266">
        <v>0</v>
      </c>
      <c r="J30" s="1" t="s">
        <v>5</v>
      </c>
    </row>
    <row r="31" spans="1:15" ht="15.75">
      <c r="A31" s="137" t="s">
        <v>528</v>
      </c>
      <c r="B31" s="33" t="s">
        <v>529</v>
      </c>
      <c r="C31" s="925">
        <v>850</v>
      </c>
      <c r="D31" s="367">
        <f t="shared" si="3"/>
        <v>76.5</v>
      </c>
      <c r="E31" s="367">
        <f>+D31</f>
        <v>76.5</v>
      </c>
      <c r="F31" s="4" t="str">
        <f>IF(D31&gt;0," ",C31*18%)</f>
        <v xml:space="preserve"> </v>
      </c>
      <c r="G31" s="266">
        <v>0</v>
      </c>
      <c r="H31" s="266">
        <v>0</v>
      </c>
      <c r="I31" s="266">
        <v>0</v>
      </c>
    </row>
    <row r="32" spans="1:15" ht="15.75">
      <c r="A32" s="137" t="s">
        <v>531</v>
      </c>
      <c r="B32" s="33" t="s">
        <v>532</v>
      </c>
      <c r="C32" s="925"/>
      <c r="D32" s="367">
        <f t="shared" si="3"/>
        <v>0</v>
      </c>
      <c r="E32" s="367">
        <f>+D32</f>
        <v>0</v>
      </c>
      <c r="F32" s="4">
        <f>IF(D32&gt;0," ",C32*18%)</f>
        <v>0</v>
      </c>
      <c r="G32" s="266">
        <v>0</v>
      </c>
      <c r="H32" s="266">
        <v>0</v>
      </c>
      <c r="I32" s="266">
        <v>0</v>
      </c>
    </row>
    <row r="33" spans="1:9" ht="15.75">
      <c r="A33" s="13" t="s">
        <v>30</v>
      </c>
      <c r="B33" s="70" t="s">
        <v>29</v>
      </c>
      <c r="C33" s="925">
        <v>154980</v>
      </c>
      <c r="D33" s="367">
        <f t="shared" si="3"/>
        <v>13948.199999999999</v>
      </c>
      <c r="E33" s="367">
        <f t="shared" si="1"/>
        <v>13948.199999999999</v>
      </c>
      <c r="F33" s="4"/>
      <c r="G33" s="266">
        <v>0</v>
      </c>
      <c r="H33" s="266">
        <v>0</v>
      </c>
      <c r="I33" s="266">
        <v>0</v>
      </c>
    </row>
    <row r="34" spans="1:9" ht="15.75">
      <c r="A34" s="13">
        <v>3301</v>
      </c>
      <c r="B34" s="70" t="s">
        <v>154</v>
      </c>
      <c r="C34" s="925"/>
      <c r="D34" s="367">
        <f t="shared" si="3"/>
        <v>0</v>
      </c>
      <c r="E34" s="367">
        <f>+D34</f>
        <v>0</v>
      </c>
      <c r="F34" s="4">
        <f t="shared" si="2"/>
        <v>0</v>
      </c>
      <c r="G34" s="266">
        <v>0</v>
      </c>
      <c r="H34" s="266">
        <v>0</v>
      </c>
      <c r="I34" s="266">
        <v>0</v>
      </c>
    </row>
    <row r="35" spans="1:9" ht="15.75">
      <c r="A35" s="13">
        <v>3302</v>
      </c>
      <c r="B35" s="70" t="s">
        <v>525</v>
      </c>
      <c r="C35" s="925"/>
      <c r="D35" s="367">
        <f t="shared" si="3"/>
        <v>0</v>
      </c>
      <c r="E35" s="367">
        <f>+D35</f>
        <v>0</v>
      </c>
      <c r="F35" s="4">
        <f t="shared" si="2"/>
        <v>0</v>
      </c>
      <c r="G35" s="266">
        <v>0</v>
      </c>
      <c r="H35" s="266">
        <v>0</v>
      </c>
      <c r="I35" s="266">
        <v>0</v>
      </c>
    </row>
    <row r="36" spans="1:9" ht="15.75">
      <c r="A36" s="14" t="s">
        <v>28</v>
      </c>
      <c r="B36" s="70" t="s">
        <v>27</v>
      </c>
      <c r="C36" s="925"/>
      <c r="D36" s="367">
        <f t="shared" si="0"/>
        <v>0</v>
      </c>
      <c r="E36" s="367">
        <f t="shared" si="1"/>
        <v>0</v>
      </c>
      <c r="F36" s="4">
        <f t="shared" si="2"/>
        <v>0</v>
      </c>
      <c r="G36" s="266">
        <v>0</v>
      </c>
      <c r="H36" s="266">
        <v>0</v>
      </c>
      <c r="I36" s="266">
        <v>0</v>
      </c>
    </row>
    <row r="37" spans="1:9" ht="15.75">
      <c r="A37" s="16" t="s">
        <v>114</v>
      </c>
      <c r="B37" s="70" t="s">
        <v>115</v>
      </c>
      <c r="C37" s="925"/>
      <c r="D37" s="367">
        <f>+C37*2.5%</f>
        <v>0</v>
      </c>
      <c r="E37" s="367">
        <f>+D37</f>
        <v>0</v>
      </c>
      <c r="F37" s="4">
        <f t="shared" si="2"/>
        <v>0</v>
      </c>
      <c r="G37" s="266">
        <v>0</v>
      </c>
      <c r="H37" s="266">
        <v>0</v>
      </c>
      <c r="I37" s="266">
        <v>0</v>
      </c>
    </row>
    <row r="38" spans="1:9" ht="15.75">
      <c r="A38" s="13" t="s">
        <v>26</v>
      </c>
      <c r="B38" s="70" t="s">
        <v>25</v>
      </c>
      <c r="C38" s="925">
        <v>557.12</v>
      </c>
      <c r="D38" s="367">
        <f>+C38*9%</f>
        <v>50.140799999999999</v>
      </c>
      <c r="E38" s="367">
        <f t="shared" si="1"/>
        <v>50.140799999999999</v>
      </c>
      <c r="F38" s="4" t="str">
        <f t="shared" si="2"/>
        <v xml:space="preserve"> </v>
      </c>
      <c r="G38" s="266">
        <v>0</v>
      </c>
      <c r="H38" s="266">
        <v>0</v>
      </c>
      <c r="I38" s="266">
        <v>0</v>
      </c>
    </row>
    <row r="39" spans="1:9" ht="15.75">
      <c r="A39" s="13" t="s">
        <v>24</v>
      </c>
      <c r="B39" s="70" t="s">
        <v>23</v>
      </c>
      <c r="C39" s="925">
        <v>2900</v>
      </c>
      <c r="D39" s="367">
        <f t="shared" si="0"/>
        <v>261</v>
      </c>
      <c r="E39" s="367">
        <f t="shared" si="1"/>
        <v>261</v>
      </c>
      <c r="F39" s="4" t="str">
        <f t="shared" si="2"/>
        <v xml:space="preserve"> </v>
      </c>
      <c r="G39" s="266">
        <v>0</v>
      </c>
      <c r="H39" s="266">
        <v>0</v>
      </c>
      <c r="I39" s="266">
        <v>0</v>
      </c>
    </row>
    <row r="40" spans="1:9" ht="15.75">
      <c r="A40" s="13" t="s">
        <v>22</v>
      </c>
      <c r="B40" s="70" t="s">
        <v>21</v>
      </c>
      <c r="C40" s="925">
        <v>9850</v>
      </c>
      <c r="D40" s="367">
        <f t="shared" si="0"/>
        <v>886.5</v>
      </c>
      <c r="E40" s="367">
        <f t="shared" si="1"/>
        <v>886.5</v>
      </c>
      <c r="F40" s="4" t="str">
        <f t="shared" si="2"/>
        <v xml:space="preserve"> </v>
      </c>
      <c r="G40" s="266">
        <v>0</v>
      </c>
      <c r="H40" s="266">
        <v>0</v>
      </c>
      <c r="I40" s="266">
        <v>0</v>
      </c>
    </row>
    <row r="41" spans="1:9" ht="15.75">
      <c r="A41" s="13">
        <v>3313</v>
      </c>
      <c r="B41" s="70" t="s">
        <v>19</v>
      </c>
      <c r="C41" s="925">
        <v>5050</v>
      </c>
      <c r="D41" s="367">
        <f t="shared" si="0"/>
        <v>454.5</v>
      </c>
      <c r="E41" s="367">
        <f t="shared" si="1"/>
        <v>454.5</v>
      </c>
      <c r="F41" s="4" t="str">
        <f t="shared" si="2"/>
        <v xml:space="preserve"> </v>
      </c>
      <c r="G41" s="266">
        <v>0</v>
      </c>
      <c r="H41" s="266">
        <v>0</v>
      </c>
      <c r="I41" s="266">
        <v>0</v>
      </c>
    </row>
    <row r="42" spans="1:9" ht="15.75">
      <c r="A42" s="14" t="s">
        <v>18</v>
      </c>
      <c r="B42" s="70" t="s">
        <v>17</v>
      </c>
      <c r="C42" s="925">
        <v>3240</v>
      </c>
      <c r="D42" s="367">
        <f t="shared" si="0"/>
        <v>291.59999999999997</v>
      </c>
      <c r="E42" s="367">
        <f t="shared" si="1"/>
        <v>291.59999999999997</v>
      </c>
      <c r="F42" s="4" t="str">
        <f t="shared" si="2"/>
        <v xml:space="preserve"> </v>
      </c>
      <c r="G42" s="266">
        <v>0</v>
      </c>
      <c r="H42" s="266">
        <v>0</v>
      </c>
      <c r="I42" s="266">
        <v>0</v>
      </c>
    </row>
    <row r="43" spans="1:9" ht="15.75">
      <c r="A43" s="14" t="s">
        <v>16</v>
      </c>
      <c r="B43" s="70" t="s">
        <v>15</v>
      </c>
      <c r="C43" s="925">
        <v>1050</v>
      </c>
      <c r="D43" s="367">
        <f t="shared" si="0"/>
        <v>94.5</v>
      </c>
      <c r="E43" s="367">
        <f t="shared" si="1"/>
        <v>94.5</v>
      </c>
      <c r="F43" s="4" t="str">
        <f t="shared" si="2"/>
        <v xml:space="preserve"> </v>
      </c>
      <c r="G43" s="266">
        <v>0</v>
      </c>
      <c r="H43" s="266">
        <v>0</v>
      </c>
      <c r="I43" s="266">
        <v>0</v>
      </c>
    </row>
    <row r="44" spans="1:9" ht="15.75">
      <c r="A44" s="14" t="s">
        <v>14</v>
      </c>
      <c r="B44" s="70" t="s">
        <v>13</v>
      </c>
      <c r="C44" s="925">
        <v>8003</v>
      </c>
      <c r="D44" s="367">
        <f t="shared" si="0"/>
        <v>720.27</v>
      </c>
      <c r="E44" s="367">
        <f t="shared" si="1"/>
        <v>720.27</v>
      </c>
      <c r="F44" s="4" t="str">
        <f t="shared" si="2"/>
        <v xml:space="preserve"> </v>
      </c>
      <c r="G44" s="266">
        <v>0</v>
      </c>
      <c r="H44" s="266">
        <v>0</v>
      </c>
      <c r="I44" s="266">
        <v>0</v>
      </c>
    </row>
    <row r="45" spans="1:9" ht="15.75">
      <c r="A45" s="14">
        <v>3317</v>
      </c>
      <c r="B45" s="70" t="s">
        <v>286</v>
      </c>
      <c r="C45" s="925"/>
      <c r="D45" s="367">
        <f t="shared" si="0"/>
        <v>0</v>
      </c>
      <c r="E45" s="367">
        <f t="shared" si="1"/>
        <v>0</v>
      </c>
      <c r="F45" s="4">
        <f t="shared" si="2"/>
        <v>0</v>
      </c>
      <c r="G45" s="266">
        <v>0</v>
      </c>
      <c r="H45" s="266">
        <v>0</v>
      </c>
      <c r="I45" s="266">
        <v>0</v>
      </c>
    </row>
    <row r="46" spans="1:9" ht="15.75">
      <c r="A46" s="14" t="s">
        <v>12</v>
      </c>
      <c r="B46" s="70" t="s">
        <v>11</v>
      </c>
      <c r="C46" s="925"/>
      <c r="D46" s="367">
        <f t="shared" si="0"/>
        <v>0</v>
      </c>
      <c r="E46" s="367">
        <f t="shared" si="1"/>
        <v>0</v>
      </c>
      <c r="F46" s="4">
        <f t="shared" si="2"/>
        <v>0</v>
      </c>
      <c r="G46" s="266">
        <v>0</v>
      </c>
      <c r="H46" s="266">
        <v>0</v>
      </c>
      <c r="I46" s="266">
        <v>0</v>
      </c>
    </row>
    <row r="47" spans="1:9" ht="15.75">
      <c r="A47" s="14">
        <v>3320</v>
      </c>
      <c r="B47" s="70" t="s">
        <v>290</v>
      </c>
      <c r="C47" s="925">
        <f>1077811.6-1076119</f>
        <v>1692.6000000000931</v>
      </c>
      <c r="D47" s="367">
        <f>+C47*9%</f>
        <v>152.33400000000839</v>
      </c>
      <c r="E47" s="367">
        <f t="shared" si="1"/>
        <v>152.33400000000839</v>
      </c>
      <c r="F47" s="4" t="str">
        <f t="shared" si="2"/>
        <v xml:space="preserve"> </v>
      </c>
      <c r="G47" s="266"/>
      <c r="H47" s="266">
        <v>0</v>
      </c>
      <c r="I47" s="266">
        <v>0</v>
      </c>
    </row>
    <row r="48" spans="1:9" ht="15.75">
      <c r="A48" s="14">
        <v>3321</v>
      </c>
      <c r="B48" s="70" t="s">
        <v>156</v>
      </c>
      <c r="C48" s="925"/>
      <c r="D48" s="367">
        <f t="shared" si="0"/>
        <v>0</v>
      </c>
      <c r="E48" s="367">
        <f t="shared" si="1"/>
        <v>0</v>
      </c>
      <c r="F48" s="4">
        <f t="shared" si="2"/>
        <v>0</v>
      </c>
      <c r="G48" s="266">
        <v>0</v>
      </c>
      <c r="H48" s="266">
        <v>0</v>
      </c>
      <c r="I48" s="266">
        <v>0</v>
      </c>
    </row>
    <row r="49" spans="1:10" ht="15.75">
      <c r="A49" s="14">
        <v>3322</v>
      </c>
      <c r="B49" s="70" t="s">
        <v>335</v>
      </c>
      <c r="C49" s="925"/>
      <c r="D49" s="367">
        <f>+C49*5%</f>
        <v>0</v>
      </c>
      <c r="E49" s="367">
        <f t="shared" ref="E49:E57" si="4">+D49</f>
        <v>0</v>
      </c>
      <c r="F49" s="4"/>
      <c r="G49" s="266">
        <v>0</v>
      </c>
      <c r="H49" s="266">
        <v>0</v>
      </c>
      <c r="I49" s="266">
        <v>0</v>
      </c>
    </row>
    <row r="50" spans="1:10" ht="15.75">
      <c r="A50" s="14">
        <v>3324</v>
      </c>
      <c r="B50" s="70" t="s">
        <v>438</v>
      </c>
      <c r="C50" s="925">
        <v>1912</v>
      </c>
      <c r="D50" s="367">
        <f>+C50*9%</f>
        <v>172.07999999999998</v>
      </c>
      <c r="E50" s="367">
        <f t="shared" si="4"/>
        <v>172.07999999999998</v>
      </c>
      <c r="F50" s="4"/>
      <c r="G50" s="266">
        <v>0</v>
      </c>
      <c r="H50" s="266">
        <v>0</v>
      </c>
      <c r="I50" s="266">
        <v>0</v>
      </c>
    </row>
    <row r="51" spans="1:10" ht="15.75">
      <c r="A51" s="161">
        <v>3325</v>
      </c>
      <c r="B51" s="70" t="s">
        <v>606</v>
      </c>
      <c r="C51" s="925"/>
      <c r="D51" s="367">
        <f>+C51*2.5%</f>
        <v>0</v>
      </c>
      <c r="E51" s="367">
        <f t="shared" si="4"/>
        <v>0</v>
      </c>
      <c r="F51" s="4">
        <f>IF(D51&gt;0," ",C51*18%)</f>
        <v>0</v>
      </c>
      <c r="G51" s="266">
        <v>0</v>
      </c>
      <c r="H51" s="266">
        <v>0</v>
      </c>
      <c r="I51" s="266">
        <v>0</v>
      </c>
    </row>
    <row r="52" spans="1:10" ht="15.75">
      <c r="A52" s="14">
        <v>3391</v>
      </c>
      <c r="B52" s="70" t="s">
        <v>300</v>
      </c>
      <c r="C52" s="925">
        <v>28003.25</v>
      </c>
      <c r="D52" s="367">
        <f t="shared" ref="D52:D57" si="5">+C52*9%</f>
        <v>2520.2925</v>
      </c>
      <c r="E52" s="367">
        <f t="shared" si="4"/>
        <v>2520.2925</v>
      </c>
      <c r="F52" s="4" t="str">
        <f>IF(D52&gt;0," ",C52*18%)</f>
        <v xml:space="preserve"> </v>
      </c>
      <c r="G52" s="266">
        <v>0</v>
      </c>
      <c r="H52" s="266">
        <v>0</v>
      </c>
      <c r="I52" s="266">
        <v>0</v>
      </c>
    </row>
    <row r="53" spans="1:10" ht="15.75">
      <c r="A53" s="14">
        <v>3359</v>
      </c>
      <c r="B53" s="70" t="s">
        <v>683</v>
      </c>
      <c r="C53" s="925"/>
      <c r="D53" s="367">
        <f t="shared" si="5"/>
        <v>0</v>
      </c>
      <c r="E53" s="367">
        <f t="shared" si="4"/>
        <v>0</v>
      </c>
      <c r="F53" s="4"/>
      <c r="G53" s="266">
        <v>0</v>
      </c>
      <c r="H53" s="266">
        <v>0</v>
      </c>
      <c r="I53" s="266">
        <v>0</v>
      </c>
    </row>
    <row r="54" spans="1:10" ht="15.75">
      <c r="A54" s="14">
        <v>3825</v>
      </c>
      <c r="B54" s="70" t="s">
        <v>646</v>
      </c>
      <c r="C54" s="925"/>
      <c r="D54" s="367">
        <f t="shared" si="5"/>
        <v>0</v>
      </c>
      <c r="E54" s="367">
        <f t="shared" si="4"/>
        <v>0</v>
      </c>
      <c r="F54" s="4"/>
      <c r="G54" s="266">
        <v>0</v>
      </c>
      <c r="H54" s="266">
        <v>0</v>
      </c>
      <c r="I54" s="266">
        <v>0</v>
      </c>
    </row>
    <row r="55" spans="1:10" ht="15.75">
      <c r="A55" s="14">
        <v>3362</v>
      </c>
      <c r="B55" s="70" t="s">
        <v>739</v>
      </c>
      <c r="C55" s="925"/>
      <c r="D55" s="367">
        <f t="shared" si="5"/>
        <v>0</v>
      </c>
      <c r="E55" s="367">
        <f t="shared" si="4"/>
        <v>0</v>
      </c>
      <c r="F55" s="4"/>
      <c r="G55" s="266">
        <v>0</v>
      </c>
      <c r="H55" s="266">
        <v>0</v>
      </c>
      <c r="I55" s="266">
        <v>0</v>
      </c>
    </row>
    <row r="56" spans="1:10" ht="15.75">
      <c r="A56" s="14">
        <v>3340</v>
      </c>
      <c r="B56" s="70" t="s">
        <v>785</v>
      </c>
      <c r="C56" s="925"/>
      <c r="D56" s="4">
        <f t="shared" si="5"/>
        <v>0</v>
      </c>
      <c r="E56" s="4">
        <f>+D56</f>
        <v>0</v>
      </c>
      <c r="F56" s="4">
        <f>IF(D56&gt;0," ",C56*18%)</f>
        <v>0</v>
      </c>
      <c r="G56" s="266">
        <v>0</v>
      </c>
      <c r="H56" s="266">
        <v>0</v>
      </c>
      <c r="I56" s="266">
        <v>0</v>
      </c>
    </row>
    <row r="57" spans="1:10" ht="15.75">
      <c r="A57" s="15" t="s">
        <v>10</v>
      </c>
      <c r="B57" s="70"/>
      <c r="C57" s="925"/>
      <c r="D57" s="367">
        <f t="shared" si="5"/>
        <v>0</v>
      </c>
      <c r="E57" s="367">
        <f t="shared" si="4"/>
        <v>0</v>
      </c>
      <c r="F57" s="4"/>
      <c r="G57" s="266">
        <v>0</v>
      </c>
      <c r="H57" s="266">
        <v>0</v>
      </c>
      <c r="I57" s="266">
        <v>0</v>
      </c>
    </row>
    <row r="58" spans="1:10" ht="15.75">
      <c r="A58" s="14" t="s">
        <v>9</v>
      </c>
      <c r="B58" s="70" t="s">
        <v>8</v>
      </c>
      <c r="C58" s="925"/>
      <c r="D58" s="367">
        <f t="shared" si="0"/>
        <v>0</v>
      </c>
      <c r="E58" s="367">
        <f t="shared" si="1"/>
        <v>0</v>
      </c>
      <c r="F58" s="4">
        <f t="shared" si="2"/>
        <v>0</v>
      </c>
      <c r="G58" s="266">
        <v>0</v>
      </c>
      <c r="H58" s="266">
        <v>0</v>
      </c>
      <c r="I58" s="266">
        <v>0</v>
      </c>
      <c r="J58" s="1" t="s">
        <v>5</v>
      </c>
    </row>
    <row r="59" spans="1:10" ht="15.75">
      <c r="A59" s="13" t="s">
        <v>7</v>
      </c>
      <c r="B59" s="70" t="s">
        <v>6</v>
      </c>
      <c r="C59" s="925">
        <f>167100-8622</f>
        <v>158478</v>
      </c>
      <c r="D59" s="367">
        <f>+C59*9%</f>
        <v>14263.019999999999</v>
      </c>
      <c r="E59" s="367">
        <f>+D59</f>
        <v>14263.019999999999</v>
      </c>
      <c r="F59" s="4">
        <v>0</v>
      </c>
      <c r="G59" s="266">
        <v>8622</v>
      </c>
      <c r="H59" s="266">
        <v>0</v>
      </c>
      <c r="I59" s="266">
        <v>0</v>
      </c>
    </row>
    <row r="60" spans="1:10" ht="15.75">
      <c r="A60" s="5" t="s">
        <v>5</v>
      </c>
      <c r="B60" s="70" t="s">
        <v>4</v>
      </c>
      <c r="C60" s="925"/>
      <c r="D60" s="367">
        <f>+C60*9%</f>
        <v>0</v>
      </c>
      <c r="E60" s="367">
        <f>+D60</f>
        <v>0</v>
      </c>
      <c r="F60" s="4"/>
      <c r="G60" s="266">
        <v>0</v>
      </c>
      <c r="H60" s="266">
        <v>0</v>
      </c>
      <c r="I60" s="266">
        <v>0</v>
      </c>
    </row>
    <row r="61" spans="1:10" ht="15.75">
      <c r="A61" s="434"/>
      <c r="B61" s="432" t="s">
        <v>465</v>
      </c>
      <c r="C61" s="925">
        <v>0</v>
      </c>
      <c r="D61" s="433">
        <f>+C61*9%</f>
        <v>0</v>
      </c>
      <c r="E61" s="433">
        <f>+D61</f>
        <v>0</v>
      </c>
      <c r="F61" s="433"/>
      <c r="G61" s="266">
        <v>0</v>
      </c>
      <c r="H61" s="266">
        <v>0</v>
      </c>
      <c r="I61" s="266">
        <v>0</v>
      </c>
    </row>
    <row r="62" spans="1:10" ht="16.5" thickBot="1">
      <c r="A62" s="12"/>
      <c r="B62" s="11" t="s">
        <v>3</v>
      </c>
      <c r="C62" s="10">
        <f>SUM(C9:C61)</f>
        <v>390800.97000000009</v>
      </c>
      <c r="D62" s="10">
        <f>SUM(D9:D61)</f>
        <v>35172.087300000007</v>
      </c>
      <c r="E62" s="10">
        <f>SUM(E9:E61)</f>
        <v>35172.087300000007</v>
      </c>
      <c r="F62" s="10">
        <f>SUM(F9:F59)</f>
        <v>0</v>
      </c>
      <c r="G62" s="10">
        <f>SUM(G9:G59)</f>
        <v>8622</v>
      </c>
      <c r="H62" s="10">
        <f>SUM(H9:H59)</f>
        <v>0</v>
      </c>
      <c r="I62" s="10"/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35172.087300000007</v>
      </c>
    </row>
    <row r="66" spans="1:10" ht="15.75">
      <c r="A66" s="1228" t="s">
        <v>75</v>
      </c>
      <c r="B66" s="1228"/>
      <c r="C66" s="1228"/>
      <c r="D66" s="1228"/>
      <c r="E66" s="1228"/>
      <c r="F66" s="1228"/>
      <c r="G66" s="1" t="s">
        <v>5</v>
      </c>
    </row>
    <row r="67" spans="1:10" ht="15.75">
      <c r="A67" s="28"/>
      <c r="B67" s="28"/>
      <c r="C67" s="28"/>
      <c r="D67" s="28"/>
      <c r="E67" s="28"/>
      <c r="F67" s="28"/>
    </row>
    <row r="68" spans="1:10" ht="15" customHeight="1">
      <c r="A68" s="29" t="s">
        <v>76</v>
      </c>
      <c r="B68" s="29"/>
      <c r="C68" s="3"/>
      <c r="D68" s="3"/>
      <c r="E68" s="3"/>
      <c r="F68" s="3"/>
      <c r="G68" s="1">
        <f>+C62+C72</f>
        <v>399422.97000000009</v>
      </c>
    </row>
    <row r="69" spans="1:10" ht="15" customHeight="1">
      <c r="A69" s="1218" t="s">
        <v>65</v>
      </c>
      <c r="B69" s="1219"/>
      <c r="C69" s="1220"/>
      <c r="D69" s="1236" t="s">
        <v>89</v>
      </c>
      <c r="E69" s="1236" t="s">
        <v>67</v>
      </c>
      <c r="F69" s="1231" t="s">
        <v>68</v>
      </c>
      <c r="G69" s="1">
        <f>+G68*0.09</f>
        <v>35948.06730000001</v>
      </c>
    </row>
    <row r="70" spans="1:10">
      <c r="A70" s="1221"/>
      <c r="B70" s="1222"/>
      <c r="C70" s="1223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+D62</f>
        <v>35172.087300000007</v>
      </c>
      <c r="E71" s="105">
        <f>+E62</f>
        <v>35172.087300000007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8622</v>
      </c>
      <c r="D72" s="106">
        <f>+C72*0.09</f>
        <v>775.98</v>
      </c>
      <c r="E72" s="106">
        <f>+C72*0.09</f>
        <v>775.98</v>
      </c>
      <c r="F72" s="105">
        <v>0</v>
      </c>
    </row>
    <row r="73" spans="1:10" ht="15.75">
      <c r="A73" s="43"/>
      <c r="B73" s="43"/>
      <c r="C73" s="43"/>
      <c r="D73" s="105">
        <f>+D71+D72</f>
        <v>35948.06730000001</v>
      </c>
      <c r="E73" s="105">
        <f>+E71+E72</f>
        <v>35948.06730000001</v>
      </c>
      <c r="F73" s="105">
        <v>0</v>
      </c>
      <c r="I73" s="32"/>
    </row>
    <row r="74" spans="1:10" ht="15.75">
      <c r="A74" s="1241" t="s">
        <v>104</v>
      </c>
      <c r="B74" s="1242"/>
      <c r="C74" s="1243"/>
      <c r="D74" s="108">
        <v>35950.57</v>
      </c>
      <c r="E74" s="108">
        <f>+D74</f>
        <v>35950.57</v>
      </c>
      <c r="F74" s="108">
        <v>0</v>
      </c>
      <c r="I74" s="32">
        <v>31.59</v>
      </c>
      <c r="J74" s="32">
        <f>+I74/9*100</f>
        <v>351</v>
      </c>
    </row>
    <row r="75" spans="1:10" ht="15.75">
      <c r="A75" s="1250" t="s">
        <v>79</v>
      </c>
      <c r="B75" s="1251"/>
      <c r="C75" s="1252"/>
      <c r="D75" s="638">
        <f>+D73-D74</f>
        <v>-2.5026999999899999</v>
      </c>
      <c r="E75" s="638">
        <f>+E73-E74</f>
        <v>-2.5026999999899999</v>
      </c>
      <c r="F75" s="1027">
        <f>IF(F71&gt;F74,F71,F74)</f>
        <v>0</v>
      </c>
      <c r="G75" s="1">
        <f>+E75/0.09</f>
        <v>-27.807777777666669</v>
      </c>
      <c r="I75" s="253"/>
      <c r="J75" s="1">
        <f>685-J74</f>
        <v>334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</row>
    <row r="80" spans="1:10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2024.01</v>
      </c>
      <c r="E81" s="108">
        <f>+D81</f>
        <v>2024.01</v>
      </c>
      <c r="F81" s="58">
        <v>0</v>
      </c>
      <c r="G81" s="32">
        <f>+D81/2</f>
        <v>1012.005</v>
      </c>
      <c r="H81" s="32">
        <f t="shared" ref="G81:I83" si="6">+E81/2</f>
        <v>1012.005</v>
      </c>
      <c r="I81" s="32">
        <f t="shared" si="6"/>
        <v>0</v>
      </c>
    </row>
    <row r="82" spans="1:9" ht="15.75">
      <c r="A82" s="1224" t="s">
        <v>83</v>
      </c>
      <c r="B82" s="1224"/>
      <c r="C82" s="1224"/>
      <c r="D82" s="105">
        <f>+C95</f>
        <v>98.01</v>
      </c>
      <c r="E82" s="105">
        <f>D82</f>
        <v>98.01</v>
      </c>
      <c r="F82" s="56">
        <f>+E95</f>
        <v>0</v>
      </c>
      <c r="G82" s="32">
        <f t="shared" si="6"/>
        <v>49.005000000000003</v>
      </c>
      <c r="H82" s="32">
        <f t="shared" si="6"/>
        <v>49.005000000000003</v>
      </c>
      <c r="I82" s="32">
        <f t="shared" si="6"/>
        <v>0</v>
      </c>
    </row>
    <row r="83" spans="1:9" ht="15.75">
      <c r="A83" s="1215" t="s">
        <v>82</v>
      </c>
      <c r="B83" s="1215"/>
      <c r="C83" s="1215"/>
      <c r="D83" s="105">
        <f>+D81-D82</f>
        <v>1926</v>
      </c>
      <c r="E83" s="105">
        <f>+E81-E82</f>
        <v>1926</v>
      </c>
      <c r="F83" s="56">
        <f>+F81-F82</f>
        <v>0</v>
      </c>
      <c r="G83" s="32">
        <f t="shared" si="6"/>
        <v>963</v>
      </c>
      <c r="H83" s="32">
        <f t="shared" si="6"/>
        <v>963</v>
      </c>
      <c r="I83" s="32">
        <f t="shared" si="6"/>
        <v>0</v>
      </c>
    </row>
    <row r="85" spans="1:9">
      <c r="B85" s="145" t="s">
        <v>382</v>
      </c>
      <c r="C85" s="1030"/>
      <c r="D85" s="1030"/>
      <c r="E85" s="112"/>
    </row>
    <row r="86" spans="1:9">
      <c r="B86" s="1030" t="s">
        <v>322</v>
      </c>
      <c r="C86" s="1030" t="s">
        <v>67</v>
      </c>
      <c r="D86" s="112" t="s">
        <v>155</v>
      </c>
      <c r="E86" s="112" t="s">
        <v>68</v>
      </c>
    </row>
    <row r="87" spans="1:9">
      <c r="B87" s="1031" t="s">
        <v>102</v>
      </c>
      <c r="C87" s="146">
        <v>98.01</v>
      </c>
      <c r="D87" s="146">
        <f>+C87</f>
        <v>98.01</v>
      </c>
      <c r="E87" s="146">
        <v>0</v>
      </c>
    </row>
    <row r="88" spans="1:9">
      <c r="B88" s="1031" t="s">
        <v>773</v>
      </c>
      <c r="C88" s="174"/>
      <c r="D88" s="146">
        <f t="shared" ref="D88:D94" si="7">+C88</f>
        <v>0</v>
      </c>
      <c r="E88" s="174"/>
    </row>
    <row r="89" spans="1:9">
      <c r="B89" s="1031" t="s">
        <v>774</v>
      </c>
      <c r="C89" s="174"/>
      <c r="D89" s="146">
        <f t="shared" si="7"/>
        <v>0</v>
      </c>
      <c r="E89" s="174"/>
    </row>
    <row r="90" spans="1:9">
      <c r="B90" s="1031" t="s">
        <v>772</v>
      </c>
      <c r="C90" s="174"/>
      <c r="D90" s="146">
        <f t="shared" si="7"/>
        <v>0</v>
      </c>
      <c r="E90" s="174"/>
    </row>
    <row r="91" spans="1:9">
      <c r="B91" s="1031" t="s">
        <v>772</v>
      </c>
      <c r="C91" s="174"/>
      <c r="D91" s="146">
        <f t="shared" si="7"/>
        <v>0</v>
      </c>
      <c r="E91" s="174"/>
    </row>
    <row r="92" spans="1:9">
      <c r="B92" s="1031" t="s">
        <v>772</v>
      </c>
      <c r="C92" s="174"/>
      <c r="D92" s="146">
        <f t="shared" si="7"/>
        <v>0</v>
      </c>
      <c r="E92" s="174"/>
    </row>
    <row r="93" spans="1:9">
      <c r="B93" s="1031" t="s">
        <v>772</v>
      </c>
      <c r="C93" s="174"/>
      <c r="D93" s="146">
        <f t="shared" si="7"/>
        <v>0</v>
      </c>
      <c r="E93" s="174"/>
    </row>
    <row r="94" spans="1:9">
      <c r="B94" s="1031" t="s">
        <v>761</v>
      </c>
      <c r="C94" s="174"/>
      <c r="D94" s="146">
        <f t="shared" si="7"/>
        <v>0</v>
      </c>
      <c r="E94" s="174"/>
    </row>
    <row r="95" spans="1:9" ht="15.75" thickBot="1">
      <c r="B95" s="146" t="s">
        <v>135</v>
      </c>
      <c r="C95" s="182">
        <f>SUM(C87:C94)</f>
        <v>98.01</v>
      </c>
      <c r="D95" s="182">
        <f>SUM(D87:D94)</f>
        <v>98.01</v>
      </c>
      <c r="E95" s="182">
        <f>SUM(E87:E87)</f>
        <v>0</v>
      </c>
    </row>
    <row r="96" spans="1:9" ht="15.75" thickTop="1">
      <c r="A96" s="40"/>
    </row>
    <row r="97" spans="1:6" ht="14.45" customHeight="1">
      <c r="A97" s="1337"/>
      <c r="B97" s="1337"/>
      <c r="C97" s="1337"/>
      <c r="D97" s="1337"/>
      <c r="E97" s="1337"/>
      <c r="F97" s="1337"/>
    </row>
    <row r="98" spans="1:6">
      <c r="A98" s="204"/>
      <c r="B98" s="204"/>
      <c r="C98" s="204"/>
      <c r="D98" s="204"/>
      <c r="E98" s="204"/>
    </row>
  </sheetData>
  <mergeCells count="29">
    <mergeCell ref="A97:F97"/>
    <mergeCell ref="I7:I8"/>
    <mergeCell ref="A80:C80"/>
    <mergeCell ref="A81:C81"/>
    <mergeCell ref="A75:C75"/>
    <mergeCell ref="A78:C79"/>
    <mergeCell ref="D78:D79"/>
    <mergeCell ref="G7:G8"/>
    <mergeCell ref="H7:H8"/>
    <mergeCell ref="D69:D70"/>
    <mergeCell ref="E69:E70"/>
    <mergeCell ref="F69:F70"/>
    <mergeCell ref="A71:C71"/>
    <mergeCell ref="A74:C74"/>
    <mergeCell ref="A66:F66"/>
    <mergeCell ref="A69:C70"/>
    <mergeCell ref="A82:C82"/>
    <mergeCell ref="A83:C83"/>
    <mergeCell ref="F78:F79"/>
    <mergeCell ref="E78:E79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8:A30 A31:B32">
    <cfRule type="containsText" dxfId="245" priority="43" operator="containsText" text="EXCESS COLLECTED">
      <formula>NOT(ISERROR(SEARCH("EXCESS COLLECTED",A28)))</formula>
    </cfRule>
  </conditionalFormatting>
  <conditionalFormatting sqref="A29:A30 A31:B34 G81:XFD1048576 A85:F85">
    <cfRule type="containsText" dxfId="244" priority="44" operator="containsText" text="LESS COLLECTED">
      <formula>NOT(ISERROR(SEARCH("LESS COLLECTED",A29)))</formula>
    </cfRule>
  </conditionalFormatting>
  <conditionalFormatting sqref="A9:B21">
    <cfRule type="containsText" dxfId="243" priority="35" operator="containsText" text="LESS COLLECTED">
      <formula>NOT(ISERROR(SEARCH("LESS COLLECTED",A9)))</formula>
    </cfRule>
  </conditionalFormatting>
  <conditionalFormatting sqref="A35:B56">
    <cfRule type="containsText" dxfId="242" priority="2" operator="containsText" text="LESS COLLECTED">
      <formula>NOT(ISERROR(SEARCH("LESS COLLECTED",A35)))</formula>
    </cfRule>
  </conditionalFormatting>
  <conditionalFormatting sqref="A47:B56">
    <cfRule type="containsText" dxfId="241" priority="1" operator="containsText" text="EXCESS COLLECTED">
      <formula>NOT(ISERROR(SEARCH("EXCESS COLLECTED",A47)))</formula>
    </cfRule>
  </conditionalFormatting>
  <conditionalFormatting sqref="A57:B61">
    <cfRule type="containsText" dxfId="240" priority="46" operator="containsText" text="LESS COLLECTED">
      <formula>NOT(ISERROR(SEARCH("LESS COLLECTED",A57)))</formula>
    </cfRule>
  </conditionalFormatting>
  <conditionalFormatting sqref="A66:F80 B85:D85 A22:B28">
    <cfRule type="containsText" dxfId="239" priority="147" operator="containsText" text="LESS COLLECTED">
      <formula>NOT(ISERROR(SEARCH("LESS COLLECTED",A22)))</formula>
    </cfRule>
  </conditionalFormatting>
  <conditionalFormatting sqref="A1:XFD3 A4 G4:XFD4 A5:XFD7 A8:F8 J8:XFD8 D9:XFD9 H74 G76:XFD79 H80:XFD80 A86:E96 F96 A97 F98 A99:F1048576">
    <cfRule type="containsText" dxfId="238" priority="158" operator="containsText" text="LESS COLLECTED">
      <formula>NOT(ISERROR(SEARCH("LESS COLLECTED",A1)))</formula>
    </cfRule>
  </conditionalFormatting>
  <conditionalFormatting sqref="B29:B30">
    <cfRule type="containsText" dxfId="237" priority="41" operator="containsText" text="EXCESS COLLECTED">
      <formula>NOT(ISERROR(SEARCH("EXCESS COLLECTED",B29)))</formula>
    </cfRule>
    <cfRule type="containsText" dxfId="236" priority="42" operator="containsText" text="LESS COLLECTED">
      <formula>NOT(ISERROR(SEARCH("LESS COLLECTED",B29)))</formula>
    </cfRule>
  </conditionalFormatting>
  <conditionalFormatting sqref="B61">
    <cfRule type="containsText" dxfId="235" priority="45" operator="containsText" text="EXCESS COLLECTED">
      <formula>NOT(ISERROR(SEARCH("EXCESS COLLECTED",B61)))</formula>
    </cfRule>
  </conditionalFormatting>
  <conditionalFormatting sqref="B85:D85 D69:E70 A72:F73">
    <cfRule type="containsText" dxfId="234" priority="146" operator="containsText" text="EXCESS COLLECTED">
      <formula>NOT(ISERROR(SEARCH("EXCESS COLLECTED",A69)))</formula>
    </cfRule>
  </conditionalFormatting>
  <conditionalFormatting sqref="D10:F61">
    <cfRule type="containsText" dxfId="233" priority="6" operator="containsText" text="LESS COLLECTED">
      <formula>NOT(ISERROR(SEARCH("LESS COLLECTED",D10)))</formula>
    </cfRule>
  </conditionalFormatting>
  <conditionalFormatting sqref="D48:F56">
    <cfRule type="containsText" dxfId="232" priority="3" operator="containsText" text="EXCESS COLLECTED">
      <formula>NOT(ISERROR(SEARCH("EXCESS COLLECTED",D48)))</formula>
    </cfRule>
  </conditionalFormatting>
  <conditionalFormatting sqref="G75">
    <cfRule type="containsText" dxfId="231" priority="148" operator="containsText" text="EXC">
      <formula>NOT(ISERROR(SEARCH("EXC",G75)))</formula>
    </cfRule>
    <cfRule type="containsText" dxfId="230" priority="149" operator="containsText" text="LESS">
      <formula>NOT(ISERROR(SEARCH("LESS",G75)))</formula>
    </cfRule>
    <cfRule type="containsText" dxfId="229" priority="150" operator="containsText" text="EXC">
      <formula>NOT(ISERROR(SEARCH("EXC",G75)))</formula>
    </cfRule>
  </conditionalFormatting>
  <pageMargins left="0.90551181102362199" right="0.86811023600000004" top="0" bottom="0" header="0.31496062992126" footer="0.31496062992126"/>
  <pageSetup paperSize="9" scale="54" orientation="portrait" r:id="rId1"/>
  <ignoredErrors>
    <ignoredError sqref="E82 D37" formula="1"/>
    <ignoredError sqref="G62:H62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92D050"/>
  </sheetPr>
  <dimension ref="A1:O97"/>
  <sheetViews>
    <sheetView topLeftCell="A70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4.5703125" style="1" customWidth="1"/>
    <col min="4" max="4" width="17.28515625" style="1" bestFit="1" customWidth="1"/>
    <col min="5" max="5" width="14.85546875" style="1" bestFit="1" customWidth="1"/>
    <col min="6" max="6" width="11.42578125" style="1" customWidth="1"/>
    <col min="7" max="7" width="19.85546875" style="1" customWidth="1"/>
    <col min="8" max="8" width="10.7109375" style="32" bestFit="1" customWidth="1"/>
    <col min="9" max="9" width="9.140625" style="1"/>
    <col min="10" max="10" width="9.570312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97</v>
      </c>
      <c r="B3" s="1229"/>
      <c r="C3" s="1229"/>
      <c r="D3" s="1229"/>
      <c r="E3" s="1229"/>
      <c r="F3" s="1229"/>
    </row>
    <row r="4" spans="1:10" ht="15.75">
      <c r="A4" s="1229" t="s">
        <v>346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 customHeight="1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1198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  <c r="I9" s="266">
        <v>0</v>
      </c>
    </row>
    <row r="10" spans="1:10" ht="15.75">
      <c r="A10" s="31" t="s">
        <v>87</v>
      </c>
      <c r="B10" s="70" t="s">
        <v>61</v>
      </c>
      <c r="C10" s="1198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I10" s="266">
        <v>0</v>
      </c>
    </row>
    <row r="11" spans="1:10" ht="15.75">
      <c r="A11" s="13" t="s">
        <v>60</v>
      </c>
      <c r="B11" s="70" t="s">
        <v>59</v>
      </c>
      <c r="C11" s="1198">
        <v>0</v>
      </c>
      <c r="D11" s="4">
        <f t="shared" ref="D11:D58" si="0">+C11*9%</f>
        <v>0</v>
      </c>
      <c r="E11" s="4">
        <f t="shared" ref="E11:E59" si="1">+D11</f>
        <v>0</v>
      </c>
      <c r="F11" s="4">
        <f t="shared" ref="F11:F59" si="2">IF(D11&gt;0," ",C11*18%)</f>
        <v>0</v>
      </c>
      <c r="G11" s="266">
        <v>0</v>
      </c>
      <c r="H11" s="266">
        <v>0</v>
      </c>
      <c r="I11" s="266">
        <v>0</v>
      </c>
    </row>
    <row r="12" spans="1:10" ht="15.75">
      <c r="A12" s="14" t="s">
        <v>58</v>
      </c>
      <c r="B12" s="70" t="s">
        <v>57</v>
      </c>
      <c r="C12" s="1198">
        <v>0</v>
      </c>
      <c r="D12" s="4">
        <f t="shared" si="0"/>
        <v>0</v>
      </c>
      <c r="E12" s="4">
        <f t="shared" si="1"/>
        <v>0</v>
      </c>
      <c r="F12" s="4">
        <f t="shared" si="2"/>
        <v>0</v>
      </c>
      <c r="G12" s="266">
        <v>0</v>
      </c>
      <c r="H12" s="266">
        <v>0</v>
      </c>
      <c r="I12" s="266">
        <v>0</v>
      </c>
    </row>
    <row r="13" spans="1:10" ht="15.75">
      <c r="A13" s="13" t="s">
        <v>56</v>
      </c>
      <c r="B13" s="70" t="s">
        <v>55</v>
      </c>
      <c r="C13" s="1198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266">
        <v>0</v>
      </c>
      <c r="H13" s="266">
        <v>0</v>
      </c>
      <c r="I13" s="266">
        <v>0</v>
      </c>
    </row>
    <row r="14" spans="1:10" ht="15.75">
      <c r="A14" s="13" t="s">
        <v>54</v>
      </c>
      <c r="B14" s="70" t="s">
        <v>53</v>
      </c>
      <c r="C14" s="1198">
        <v>0</v>
      </c>
      <c r="D14" s="4">
        <f t="shared" si="0"/>
        <v>0</v>
      </c>
      <c r="E14" s="4">
        <f t="shared" si="1"/>
        <v>0</v>
      </c>
      <c r="F14" s="4">
        <f t="shared" si="2"/>
        <v>0</v>
      </c>
      <c r="G14" s="266">
        <v>0</v>
      </c>
      <c r="H14" s="266">
        <v>0</v>
      </c>
      <c r="I14" s="266">
        <v>0</v>
      </c>
    </row>
    <row r="15" spans="1:10" ht="15.75">
      <c r="A15" s="13" t="s">
        <v>52</v>
      </c>
      <c r="B15" s="70" t="s">
        <v>51</v>
      </c>
      <c r="C15" s="1198">
        <v>0</v>
      </c>
      <c r="D15" s="4">
        <f t="shared" si="0"/>
        <v>0</v>
      </c>
      <c r="E15" s="4">
        <f t="shared" si="1"/>
        <v>0</v>
      </c>
      <c r="F15" s="4">
        <f t="shared" si="2"/>
        <v>0</v>
      </c>
      <c r="G15" s="266">
        <v>0</v>
      </c>
      <c r="H15" s="266">
        <v>0</v>
      </c>
      <c r="I15" s="266">
        <v>0</v>
      </c>
    </row>
    <row r="16" spans="1:10" ht="15.75">
      <c r="A16" s="14" t="s">
        <v>50</v>
      </c>
      <c r="B16" s="70" t="s">
        <v>49</v>
      </c>
      <c r="C16" s="1198">
        <v>0</v>
      </c>
      <c r="D16" s="4">
        <f t="shared" si="0"/>
        <v>0</v>
      </c>
      <c r="E16" s="4">
        <f t="shared" si="1"/>
        <v>0</v>
      </c>
      <c r="F16" s="4">
        <f t="shared" si="2"/>
        <v>0</v>
      </c>
      <c r="G16" s="266">
        <v>0</v>
      </c>
      <c r="H16" s="266">
        <v>0</v>
      </c>
      <c r="I16" s="266">
        <v>0</v>
      </c>
    </row>
    <row r="17" spans="1:15" ht="15.75">
      <c r="A17" s="14" t="s">
        <v>48</v>
      </c>
      <c r="B17" s="70" t="s">
        <v>47</v>
      </c>
      <c r="C17" s="1198">
        <v>0</v>
      </c>
      <c r="D17" s="4">
        <f t="shared" si="0"/>
        <v>0</v>
      </c>
      <c r="E17" s="4">
        <f t="shared" si="1"/>
        <v>0</v>
      </c>
      <c r="F17" s="4">
        <f t="shared" si="2"/>
        <v>0</v>
      </c>
      <c r="G17" s="266">
        <v>0</v>
      </c>
      <c r="H17" s="266">
        <v>0</v>
      </c>
      <c r="I17" s="266">
        <v>0</v>
      </c>
    </row>
    <row r="18" spans="1:15" ht="15.75">
      <c r="A18" s="14" t="s">
        <v>46</v>
      </c>
      <c r="B18" s="70" t="s">
        <v>45</v>
      </c>
      <c r="C18" s="1198">
        <v>0</v>
      </c>
      <c r="D18" s="4">
        <f t="shared" si="0"/>
        <v>0</v>
      </c>
      <c r="E18" s="4">
        <f t="shared" si="1"/>
        <v>0</v>
      </c>
      <c r="F18" s="4">
        <f t="shared" si="2"/>
        <v>0</v>
      </c>
      <c r="G18" s="266">
        <v>0</v>
      </c>
      <c r="H18" s="266">
        <v>0</v>
      </c>
      <c r="I18" s="266">
        <v>0</v>
      </c>
    </row>
    <row r="19" spans="1:15" ht="15.75">
      <c r="A19" s="13" t="s">
        <v>44</v>
      </c>
      <c r="B19" s="70" t="s">
        <v>43</v>
      </c>
      <c r="C19" s="1198">
        <v>404687.5</v>
      </c>
      <c r="D19" s="4">
        <f t="shared" si="0"/>
        <v>36421.875</v>
      </c>
      <c r="E19" s="4">
        <f t="shared" si="1"/>
        <v>36421.875</v>
      </c>
      <c r="F19" s="4" t="str">
        <f t="shared" si="2"/>
        <v xml:space="preserve"> </v>
      </c>
      <c r="G19" s="266">
        <v>0</v>
      </c>
      <c r="H19" s="266"/>
      <c r="I19" s="266">
        <v>0</v>
      </c>
    </row>
    <row r="20" spans="1:15" ht="15.75">
      <c r="A20" s="13">
        <v>3271</v>
      </c>
      <c r="B20" s="70" t="s">
        <v>533</v>
      </c>
      <c r="C20" s="1198">
        <v>500</v>
      </c>
      <c r="D20" s="4">
        <f t="shared" si="0"/>
        <v>45</v>
      </c>
      <c r="E20" s="4">
        <f t="shared" si="1"/>
        <v>45</v>
      </c>
      <c r="F20" s="4" t="str">
        <f t="shared" si="2"/>
        <v xml:space="preserve"> </v>
      </c>
      <c r="G20" s="266">
        <v>0</v>
      </c>
      <c r="H20" s="266">
        <v>0</v>
      </c>
      <c r="I20" s="266">
        <v>0</v>
      </c>
    </row>
    <row r="21" spans="1:15" ht="15.75">
      <c r="A21" s="13">
        <v>3274</v>
      </c>
      <c r="B21" s="70" t="s">
        <v>554</v>
      </c>
      <c r="C21" s="1198">
        <v>0</v>
      </c>
      <c r="D21" s="4"/>
      <c r="E21" s="4"/>
      <c r="F21" s="4"/>
      <c r="G21" s="266">
        <v>0</v>
      </c>
      <c r="H21" s="266">
        <v>0</v>
      </c>
      <c r="I21" s="266">
        <v>0</v>
      </c>
    </row>
    <row r="22" spans="1:15" ht="15.75">
      <c r="A22" s="17" t="s">
        <v>42</v>
      </c>
      <c r="B22" s="70" t="s">
        <v>41</v>
      </c>
      <c r="C22" s="1198">
        <v>0</v>
      </c>
      <c r="D22" s="4">
        <f t="shared" si="0"/>
        <v>0</v>
      </c>
      <c r="E22" s="4">
        <f t="shared" si="1"/>
        <v>0</v>
      </c>
      <c r="F22" s="4">
        <f t="shared" si="2"/>
        <v>0</v>
      </c>
      <c r="G22" s="266">
        <v>0</v>
      </c>
      <c r="H22" s="266">
        <v>0</v>
      </c>
      <c r="I22" s="266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1198">
        <v>0</v>
      </c>
      <c r="D23" s="4">
        <f t="shared" si="0"/>
        <v>0</v>
      </c>
      <c r="E23" s="4">
        <f t="shared" si="1"/>
        <v>0</v>
      </c>
      <c r="F23" s="4">
        <f t="shared" si="2"/>
        <v>0</v>
      </c>
      <c r="G23" s="266">
        <v>0</v>
      </c>
      <c r="H23" s="266">
        <v>0</v>
      </c>
      <c r="I23" s="266">
        <v>0</v>
      </c>
    </row>
    <row r="24" spans="1:15" ht="15.75">
      <c r="A24" s="14" t="s">
        <v>38</v>
      </c>
      <c r="B24" s="70" t="s">
        <v>37</v>
      </c>
      <c r="C24" s="1198">
        <v>50</v>
      </c>
      <c r="D24" s="4">
        <f t="shared" si="0"/>
        <v>4.5</v>
      </c>
      <c r="E24" s="4">
        <f t="shared" si="1"/>
        <v>4.5</v>
      </c>
      <c r="F24" s="4" t="str">
        <f t="shared" si="2"/>
        <v xml:space="preserve"> </v>
      </c>
      <c r="G24" s="266">
        <v>0</v>
      </c>
      <c r="H24" s="266">
        <v>0</v>
      </c>
      <c r="I24" s="266">
        <v>0</v>
      </c>
    </row>
    <row r="25" spans="1:15" ht="15.75">
      <c r="A25" s="16" t="s">
        <v>36</v>
      </c>
      <c r="B25" s="70" t="s">
        <v>35</v>
      </c>
      <c r="C25" s="1198">
        <v>0</v>
      </c>
      <c r="D25" s="4">
        <f t="shared" si="0"/>
        <v>0</v>
      </c>
      <c r="E25" s="4">
        <f t="shared" si="1"/>
        <v>0</v>
      </c>
      <c r="F25" s="4">
        <f t="shared" si="2"/>
        <v>0</v>
      </c>
      <c r="G25" s="266">
        <v>0</v>
      </c>
      <c r="H25" s="266">
        <v>0</v>
      </c>
      <c r="I25" s="266">
        <v>0</v>
      </c>
    </row>
    <row r="26" spans="1:15" ht="15.75">
      <c r="A26" s="16" t="s">
        <v>34</v>
      </c>
      <c r="B26" s="70" t="s">
        <v>33</v>
      </c>
      <c r="C26" s="1198">
        <v>0</v>
      </c>
      <c r="D26" s="4">
        <f t="shared" si="0"/>
        <v>0</v>
      </c>
      <c r="E26" s="4">
        <f t="shared" si="1"/>
        <v>0</v>
      </c>
      <c r="F26" s="4">
        <f t="shared" si="2"/>
        <v>0</v>
      </c>
      <c r="G26" s="266">
        <v>0</v>
      </c>
      <c r="H26" s="266">
        <v>0</v>
      </c>
      <c r="I26" s="266">
        <v>0</v>
      </c>
    </row>
    <row r="27" spans="1:15" ht="15.75">
      <c r="A27" s="16" t="s">
        <v>32</v>
      </c>
      <c r="B27" s="70" t="s">
        <v>31</v>
      </c>
      <c r="C27" s="1198">
        <v>0</v>
      </c>
      <c r="D27" s="4">
        <f t="shared" si="0"/>
        <v>0</v>
      </c>
      <c r="E27" s="4">
        <f t="shared" si="1"/>
        <v>0</v>
      </c>
      <c r="F27" s="4">
        <f t="shared" si="2"/>
        <v>0</v>
      </c>
      <c r="G27" s="266">
        <v>0</v>
      </c>
      <c r="H27" s="266">
        <v>0</v>
      </c>
      <c r="I27" s="266">
        <v>0</v>
      </c>
    </row>
    <row r="28" spans="1:15" ht="15.75">
      <c r="A28" s="137">
        <v>3291</v>
      </c>
      <c r="B28" s="33" t="s">
        <v>325</v>
      </c>
      <c r="C28" s="1198">
        <v>0</v>
      </c>
      <c r="D28" s="4">
        <f t="shared" ref="D28:D34" si="3">+C28*9%</f>
        <v>0</v>
      </c>
      <c r="E28" s="4">
        <f>+D28</f>
        <v>0</v>
      </c>
      <c r="F28" s="4">
        <f>IF(D28&gt;0," ",C28*18%)</f>
        <v>0</v>
      </c>
      <c r="G28" s="266">
        <v>0</v>
      </c>
      <c r="H28" s="266">
        <v>0</v>
      </c>
      <c r="I28" s="266">
        <v>0</v>
      </c>
    </row>
    <row r="29" spans="1:15" ht="15.75">
      <c r="A29" s="137" t="s">
        <v>526</v>
      </c>
      <c r="B29" s="33" t="s">
        <v>523</v>
      </c>
      <c r="C29" s="1198">
        <v>155</v>
      </c>
      <c r="D29" s="4">
        <f>+C29*9%</f>
        <v>13.95</v>
      </c>
      <c r="E29" s="4">
        <f>+D29</f>
        <v>13.95</v>
      </c>
      <c r="F29" s="4" t="str">
        <f>IF(D29&gt;0," ",C29*18%)</f>
        <v xml:space="preserve"> </v>
      </c>
      <c r="G29" s="266">
        <v>0</v>
      </c>
      <c r="H29" s="266">
        <v>0</v>
      </c>
      <c r="I29" s="266">
        <v>0</v>
      </c>
    </row>
    <row r="30" spans="1:15" ht="15.75">
      <c r="A30" s="137" t="s">
        <v>527</v>
      </c>
      <c r="B30" s="33" t="s">
        <v>524</v>
      </c>
      <c r="C30" s="1198">
        <v>120</v>
      </c>
      <c r="D30" s="4">
        <f>+C30*9%</f>
        <v>10.799999999999999</v>
      </c>
      <c r="E30" s="4">
        <f>+D30</f>
        <v>10.799999999999999</v>
      </c>
      <c r="F30" s="4" t="str">
        <f>IF(D30&gt;0," ",C30*18%)</f>
        <v xml:space="preserve"> </v>
      </c>
      <c r="G30" s="266">
        <v>0</v>
      </c>
      <c r="H30" s="266">
        <v>0</v>
      </c>
      <c r="I30" s="266">
        <v>0</v>
      </c>
    </row>
    <row r="31" spans="1:15" ht="15.75">
      <c r="A31" s="137" t="s">
        <v>528</v>
      </c>
      <c r="B31" s="33" t="s">
        <v>529</v>
      </c>
      <c r="C31" s="1198">
        <v>50</v>
      </c>
      <c r="D31" s="4">
        <f>+C31*9%</f>
        <v>4.5</v>
      </c>
      <c r="E31" s="4">
        <f>+D31</f>
        <v>4.5</v>
      </c>
      <c r="F31" s="4" t="str">
        <f>IF(D31&gt;0," ",C31*18%)</f>
        <v xml:space="preserve"> </v>
      </c>
      <c r="G31" s="266">
        <v>0</v>
      </c>
      <c r="H31" s="266">
        <v>0</v>
      </c>
      <c r="I31" s="266">
        <v>0</v>
      </c>
    </row>
    <row r="32" spans="1:15" ht="15.75">
      <c r="A32" s="137" t="s">
        <v>531</v>
      </c>
      <c r="B32" s="33" t="s">
        <v>532</v>
      </c>
      <c r="C32" s="1198">
        <v>0</v>
      </c>
      <c r="D32" s="4">
        <f t="shared" si="3"/>
        <v>0</v>
      </c>
      <c r="E32" s="4">
        <f>+D32</f>
        <v>0</v>
      </c>
      <c r="F32" s="4">
        <f>IF(D32&gt;0," ",C32*18%)</f>
        <v>0</v>
      </c>
      <c r="G32" s="266">
        <v>0</v>
      </c>
      <c r="H32" s="266">
        <v>0</v>
      </c>
      <c r="I32" s="266">
        <v>0</v>
      </c>
    </row>
    <row r="33" spans="1:9" ht="15.75">
      <c r="A33" s="13" t="s">
        <v>30</v>
      </c>
      <c r="B33" s="70" t="s">
        <v>29</v>
      </c>
      <c r="C33" s="1198">
        <v>58044.3</v>
      </c>
      <c r="D33" s="4">
        <f>+C33*9%</f>
        <v>5223.9870000000001</v>
      </c>
      <c r="E33" s="4">
        <f t="shared" si="1"/>
        <v>5223.9870000000001</v>
      </c>
      <c r="F33" s="4">
        <v>0</v>
      </c>
      <c r="G33" s="266">
        <v>0</v>
      </c>
      <c r="H33" s="266">
        <v>0</v>
      </c>
      <c r="I33" s="266">
        <v>0</v>
      </c>
    </row>
    <row r="34" spans="1:9" ht="15.75">
      <c r="A34" s="13">
        <v>3301</v>
      </c>
      <c r="B34" s="70" t="s">
        <v>154</v>
      </c>
      <c r="C34" s="1198">
        <v>0</v>
      </c>
      <c r="D34" s="4">
        <f t="shared" si="3"/>
        <v>0</v>
      </c>
      <c r="E34" s="4">
        <f>+D34</f>
        <v>0</v>
      </c>
      <c r="F34" s="4">
        <f t="shared" si="2"/>
        <v>0</v>
      </c>
      <c r="G34" s="266">
        <v>0</v>
      </c>
      <c r="H34" s="266">
        <v>0</v>
      </c>
      <c r="I34" s="266">
        <v>0</v>
      </c>
    </row>
    <row r="35" spans="1:9" ht="15.75">
      <c r="A35" s="13">
        <v>3302</v>
      </c>
      <c r="B35" s="70" t="s">
        <v>525</v>
      </c>
      <c r="C35" s="1198">
        <v>0</v>
      </c>
      <c r="D35" s="4">
        <f>+C35*9%</f>
        <v>0</v>
      </c>
      <c r="E35" s="4">
        <f>+D35</f>
        <v>0</v>
      </c>
      <c r="F35" s="4">
        <f>IF(D35&gt;0," ",C35*18%)</f>
        <v>0</v>
      </c>
      <c r="G35" s="266">
        <v>0</v>
      </c>
      <c r="H35" s="266">
        <v>0</v>
      </c>
      <c r="I35" s="266">
        <v>0</v>
      </c>
    </row>
    <row r="36" spans="1:9" ht="15.75">
      <c r="A36" s="14" t="s">
        <v>28</v>
      </c>
      <c r="B36" s="70" t="s">
        <v>27</v>
      </c>
      <c r="C36" s="1198">
        <v>0</v>
      </c>
      <c r="D36" s="4">
        <f t="shared" si="0"/>
        <v>0</v>
      </c>
      <c r="E36" s="4">
        <f t="shared" si="1"/>
        <v>0</v>
      </c>
      <c r="F36" s="4">
        <f t="shared" si="2"/>
        <v>0</v>
      </c>
      <c r="G36" s="266">
        <v>0</v>
      </c>
      <c r="H36" s="266">
        <v>0</v>
      </c>
      <c r="I36" s="266">
        <v>0</v>
      </c>
    </row>
    <row r="37" spans="1:9" ht="15.75">
      <c r="A37" s="16" t="s">
        <v>114</v>
      </c>
      <c r="B37" s="70" t="s">
        <v>115</v>
      </c>
      <c r="C37" s="1198">
        <v>0</v>
      </c>
      <c r="D37" s="4">
        <f t="shared" si="0"/>
        <v>0</v>
      </c>
      <c r="E37" s="4">
        <f t="shared" si="1"/>
        <v>0</v>
      </c>
      <c r="F37" s="4">
        <f t="shared" si="2"/>
        <v>0</v>
      </c>
      <c r="G37" s="266">
        <v>0</v>
      </c>
      <c r="H37" s="266">
        <v>0</v>
      </c>
      <c r="I37" s="266">
        <v>0</v>
      </c>
    </row>
    <row r="38" spans="1:9" ht="15.75">
      <c r="A38" s="13" t="s">
        <v>26</v>
      </c>
      <c r="B38" s="70" t="s">
        <v>25</v>
      </c>
      <c r="C38" s="1198">
        <v>2234.25</v>
      </c>
      <c r="D38" s="4">
        <f>+C38*9%</f>
        <v>201.08249999999998</v>
      </c>
      <c r="E38" s="4">
        <f t="shared" si="1"/>
        <v>201.08249999999998</v>
      </c>
      <c r="F38" s="4" t="str">
        <f t="shared" si="2"/>
        <v xml:space="preserve"> </v>
      </c>
      <c r="G38" s="266">
        <v>0</v>
      </c>
      <c r="H38" s="266">
        <v>0</v>
      </c>
      <c r="I38" s="266">
        <v>0</v>
      </c>
    </row>
    <row r="39" spans="1:9" ht="15.75">
      <c r="A39" s="13" t="s">
        <v>24</v>
      </c>
      <c r="B39" s="70" t="s">
        <v>23</v>
      </c>
      <c r="C39" s="1198">
        <v>3650</v>
      </c>
      <c r="D39" s="4">
        <f>+C39*9%</f>
        <v>328.5</v>
      </c>
      <c r="E39" s="4">
        <f t="shared" si="1"/>
        <v>328.5</v>
      </c>
      <c r="F39" s="4" t="str">
        <f t="shared" si="2"/>
        <v xml:space="preserve"> </v>
      </c>
      <c r="G39" s="266">
        <v>0</v>
      </c>
      <c r="H39" s="266">
        <v>0</v>
      </c>
      <c r="I39" s="266">
        <v>0</v>
      </c>
    </row>
    <row r="40" spans="1:9" ht="15.75">
      <c r="A40" s="13" t="s">
        <v>22</v>
      </c>
      <c r="B40" s="70" t="s">
        <v>21</v>
      </c>
      <c r="C40" s="1198">
        <v>3750</v>
      </c>
      <c r="D40" s="4">
        <f>+C40*9%</f>
        <v>337.5</v>
      </c>
      <c r="E40" s="4">
        <f t="shared" si="1"/>
        <v>337.5</v>
      </c>
      <c r="F40" s="4" t="str">
        <f t="shared" si="2"/>
        <v xml:space="preserve"> </v>
      </c>
      <c r="G40" s="266">
        <v>0</v>
      </c>
      <c r="H40" s="266">
        <v>0</v>
      </c>
      <c r="I40" s="266">
        <v>0</v>
      </c>
    </row>
    <row r="41" spans="1:9" ht="15.75">
      <c r="A41" s="13" t="s">
        <v>20</v>
      </c>
      <c r="B41" s="70" t="s">
        <v>19</v>
      </c>
      <c r="C41" s="1198">
        <v>1962.71</v>
      </c>
      <c r="D41" s="4">
        <f t="shared" si="0"/>
        <v>176.6439</v>
      </c>
      <c r="E41" s="4">
        <f t="shared" si="1"/>
        <v>176.6439</v>
      </c>
      <c r="F41" s="4" t="str">
        <f t="shared" si="2"/>
        <v xml:space="preserve"> </v>
      </c>
      <c r="G41" s="266">
        <v>0</v>
      </c>
      <c r="H41" s="266">
        <v>0</v>
      </c>
      <c r="I41" s="266">
        <v>0</v>
      </c>
    </row>
    <row r="42" spans="1:9" ht="15.75">
      <c r="A42" s="14" t="s">
        <v>18</v>
      </c>
      <c r="B42" s="70" t="s">
        <v>17</v>
      </c>
      <c r="C42" s="1198">
        <v>810</v>
      </c>
      <c r="D42" s="4">
        <f t="shared" si="0"/>
        <v>72.899999999999991</v>
      </c>
      <c r="E42" s="4">
        <f t="shared" si="1"/>
        <v>72.899999999999991</v>
      </c>
      <c r="F42" s="4" t="str">
        <f t="shared" si="2"/>
        <v xml:space="preserve"> </v>
      </c>
      <c r="G42" s="266">
        <v>0</v>
      </c>
      <c r="H42" s="266">
        <v>0</v>
      </c>
      <c r="I42" s="266">
        <v>0</v>
      </c>
    </row>
    <row r="43" spans="1:9" ht="15.75">
      <c r="A43" s="14" t="s">
        <v>16</v>
      </c>
      <c r="B43" s="70" t="s">
        <v>15</v>
      </c>
      <c r="C43" s="1198">
        <v>0</v>
      </c>
      <c r="D43" s="4">
        <f t="shared" si="0"/>
        <v>0</v>
      </c>
      <c r="E43" s="4">
        <f t="shared" si="1"/>
        <v>0</v>
      </c>
      <c r="F43" s="4">
        <v>0</v>
      </c>
      <c r="G43" s="266">
        <v>0</v>
      </c>
      <c r="H43" s="266">
        <v>0</v>
      </c>
      <c r="I43" s="266">
        <v>0</v>
      </c>
    </row>
    <row r="44" spans="1:9" ht="15.75">
      <c r="A44" s="14" t="s">
        <v>14</v>
      </c>
      <c r="B44" s="70" t="s">
        <v>13</v>
      </c>
      <c r="C44" s="1198">
        <v>328</v>
      </c>
      <c r="D44" s="4">
        <f>+C44*9%</f>
        <v>29.52</v>
      </c>
      <c r="E44" s="4">
        <f t="shared" si="1"/>
        <v>29.52</v>
      </c>
      <c r="F44" s="4" t="str">
        <f t="shared" si="2"/>
        <v xml:space="preserve"> </v>
      </c>
      <c r="G44" s="266">
        <v>0</v>
      </c>
      <c r="H44" s="266">
        <v>0</v>
      </c>
      <c r="I44" s="266">
        <v>0</v>
      </c>
    </row>
    <row r="45" spans="1:9" ht="15.75">
      <c r="A45" s="14">
        <v>3317</v>
      </c>
      <c r="B45" s="70" t="s">
        <v>286</v>
      </c>
      <c r="C45" s="1198">
        <v>0</v>
      </c>
      <c r="D45" s="4">
        <f t="shared" si="0"/>
        <v>0</v>
      </c>
      <c r="E45" s="4">
        <f t="shared" si="1"/>
        <v>0</v>
      </c>
      <c r="F45" s="4">
        <f t="shared" si="2"/>
        <v>0</v>
      </c>
      <c r="G45" s="266">
        <v>0</v>
      </c>
      <c r="H45" s="266">
        <v>0</v>
      </c>
      <c r="I45" s="266">
        <v>0</v>
      </c>
    </row>
    <row r="46" spans="1:9" ht="15.75">
      <c r="A46" s="14" t="s">
        <v>12</v>
      </c>
      <c r="B46" s="70" t="s">
        <v>11</v>
      </c>
      <c r="C46" s="1198">
        <v>0</v>
      </c>
      <c r="D46" s="4">
        <f t="shared" si="0"/>
        <v>0</v>
      </c>
      <c r="E46" s="4">
        <f t="shared" si="1"/>
        <v>0</v>
      </c>
      <c r="F46" s="4">
        <f t="shared" si="2"/>
        <v>0</v>
      </c>
      <c r="G46" s="266">
        <v>0</v>
      </c>
      <c r="H46" s="266">
        <v>0</v>
      </c>
      <c r="I46" s="266">
        <v>0</v>
      </c>
    </row>
    <row r="47" spans="1:9" ht="15.75">
      <c r="A47" s="14">
        <v>3320</v>
      </c>
      <c r="B47" s="70" t="s">
        <v>290</v>
      </c>
      <c r="C47" s="1198">
        <v>0</v>
      </c>
      <c r="D47" s="4">
        <f t="shared" ref="D47:D55" si="4">+C47*9%</f>
        <v>0</v>
      </c>
      <c r="E47" s="4">
        <f t="shared" ref="E47:E55" si="5">+D47</f>
        <v>0</v>
      </c>
      <c r="F47" s="4">
        <f>IF(D47&gt;0," ",C47*18%)</f>
        <v>0</v>
      </c>
      <c r="G47" s="266">
        <v>0</v>
      </c>
      <c r="H47" s="266">
        <v>0</v>
      </c>
      <c r="I47" s="266">
        <v>0</v>
      </c>
    </row>
    <row r="48" spans="1:9" ht="15.75">
      <c r="A48" s="14">
        <v>3321</v>
      </c>
      <c r="B48" s="70" t="s">
        <v>156</v>
      </c>
      <c r="C48" s="1198">
        <v>0</v>
      </c>
      <c r="D48" s="4">
        <f t="shared" si="4"/>
        <v>0</v>
      </c>
      <c r="E48" s="4">
        <f t="shared" si="5"/>
        <v>0</v>
      </c>
      <c r="F48" s="4">
        <f>IF(D48&gt;0," ",C48*18%)</f>
        <v>0</v>
      </c>
      <c r="G48" s="266">
        <v>0</v>
      </c>
      <c r="H48" s="266">
        <v>0</v>
      </c>
      <c r="I48" s="266">
        <v>0</v>
      </c>
    </row>
    <row r="49" spans="1:9" ht="15.75">
      <c r="A49" s="14">
        <v>3322</v>
      </c>
      <c r="B49" s="70" t="s">
        <v>335</v>
      </c>
      <c r="C49" s="1200">
        <v>0</v>
      </c>
      <c r="D49" s="4">
        <f>+C49*9%</f>
        <v>0</v>
      </c>
      <c r="E49" s="4">
        <f>+D49</f>
        <v>0</v>
      </c>
      <c r="F49" s="4"/>
      <c r="G49" s="266">
        <v>0</v>
      </c>
      <c r="H49" s="266">
        <v>0</v>
      </c>
      <c r="I49" s="266">
        <v>0</v>
      </c>
    </row>
    <row r="50" spans="1:9" ht="15.75">
      <c r="A50" s="14">
        <v>3324</v>
      </c>
      <c r="B50" s="70" t="s">
        <v>438</v>
      </c>
      <c r="C50" s="1198">
        <v>0</v>
      </c>
      <c r="D50" s="4">
        <f t="shared" si="4"/>
        <v>0</v>
      </c>
      <c r="E50" s="4">
        <f>+D50</f>
        <v>0</v>
      </c>
      <c r="F50" s="4"/>
      <c r="G50" s="266">
        <v>0</v>
      </c>
      <c r="H50" s="266">
        <v>0</v>
      </c>
      <c r="I50" s="266">
        <v>0</v>
      </c>
    </row>
    <row r="51" spans="1:9" ht="15.75">
      <c r="A51" s="161">
        <v>3325</v>
      </c>
      <c r="B51" s="70" t="s">
        <v>606</v>
      </c>
      <c r="C51" s="1198">
        <v>0</v>
      </c>
      <c r="D51" s="4">
        <f>+C51*2.5%</f>
        <v>0</v>
      </c>
      <c r="E51" s="4">
        <f>+D51</f>
        <v>0</v>
      </c>
      <c r="F51" s="4">
        <f t="shared" ref="F51:F56" si="6">IF(D51&gt;0," ",C51*18%)</f>
        <v>0</v>
      </c>
      <c r="G51" s="266">
        <v>0</v>
      </c>
      <c r="H51" s="266">
        <v>0</v>
      </c>
      <c r="I51" s="266">
        <v>0</v>
      </c>
    </row>
    <row r="52" spans="1:9" ht="15.75">
      <c r="A52" s="14">
        <v>3391</v>
      </c>
      <c r="B52" s="70" t="s">
        <v>300</v>
      </c>
      <c r="C52" s="1199">
        <v>10658.75</v>
      </c>
      <c r="D52" s="4">
        <f>+C52*9%</f>
        <v>959.28749999999991</v>
      </c>
      <c r="E52" s="4">
        <f t="shared" si="5"/>
        <v>959.28749999999991</v>
      </c>
      <c r="F52" s="4" t="str">
        <f>IF(D52&gt;0," ",C52*18%)</f>
        <v xml:space="preserve"> </v>
      </c>
      <c r="G52" s="266">
        <v>0</v>
      </c>
      <c r="H52" s="266">
        <v>0</v>
      </c>
      <c r="I52" s="266">
        <v>0</v>
      </c>
    </row>
    <row r="53" spans="1:9" ht="15.75">
      <c r="A53" s="14">
        <v>3359</v>
      </c>
      <c r="B53" s="70" t="s">
        <v>683</v>
      </c>
      <c r="C53" s="1198">
        <v>0</v>
      </c>
      <c r="D53" s="4">
        <f t="shared" si="4"/>
        <v>0</v>
      </c>
      <c r="E53" s="4">
        <f t="shared" si="5"/>
        <v>0</v>
      </c>
      <c r="F53" s="4">
        <f t="shared" si="6"/>
        <v>0</v>
      </c>
      <c r="G53" s="266">
        <v>0</v>
      </c>
      <c r="H53" s="266">
        <v>0</v>
      </c>
      <c r="I53" s="266">
        <v>0</v>
      </c>
    </row>
    <row r="54" spans="1:9" ht="15.75">
      <c r="A54" s="14">
        <v>3825</v>
      </c>
      <c r="B54" s="70" t="s">
        <v>646</v>
      </c>
      <c r="C54" s="1198">
        <v>0</v>
      </c>
      <c r="D54" s="4">
        <f t="shared" si="4"/>
        <v>0</v>
      </c>
      <c r="E54" s="4">
        <f t="shared" si="5"/>
        <v>0</v>
      </c>
      <c r="F54" s="4">
        <f t="shared" si="6"/>
        <v>0</v>
      </c>
      <c r="G54" s="266">
        <v>0</v>
      </c>
      <c r="H54" s="266">
        <v>0</v>
      </c>
      <c r="I54" s="266">
        <v>0</v>
      </c>
    </row>
    <row r="55" spans="1:9" ht="15.75">
      <c r="A55" s="14">
        <v>3362</v>
      </c>
      <c r="B55" s="70" t="s">
        <v>739</v>
      </c>
      <c r="C55" s="1198">
        <v>0</v>
      </c>
      <c r="D55" s="4">
        <f t="shared" si="4"/>
        <v>0</v>
      </c>
      <c r="E55" s="4">
        <f t="shared" si="5"/>
        <v>0</v>
      </c>
      <c r="F55" s="4">
        <f t="shared" si="6"/>
        <v>0</v>
      </c>
      <c r="G55" s="266">
        <v>0</v>
      </c>
      <c r="H55" s="266">
        <v>0</v>
      </c>
      <c r="I55" s="266">
        <v>0</v>
      </c>
    </row>
    <row r="56" spans="1:9" ht="15.75">
      <c r="A56" s="14">
        <v>3340</v>
      </c>
      <c r="B56" s="70" t="s">
        <v>785</v>
      </c>
      <c r="C56" s="1198">
        <v>0</v>
      </c>
      <c r="D56" s="4">
        <f>+C56*9%</f>
        <v>0</v>
      </c>
      <c r="E56" s="4">
        <f>+D56</f>
        <v>0</v>
      </c>
      <c r="F56" s="4">
        <f t="shared" si="6"/>
        <v>0</v>
      </c>
      <c r="G56" s="266">
        <v>0</v>
      </c>
      <c r="H56" s="266">
        <v>0</v>
      </c>
      <c r="I56" s="266">
        <v>0</v>
      </c>
    </row>
    <row r="57" spans="1:9" ht="15.75">
      <c r="A57" s="15" t="s">
        <v>10</v>
      </c>
      <c r="B57" s="70"/>
      <c r="C57" s="1198"/>
      <c r="D57" s="4"/>
      <c r="E57" s="4"/>
      <c r="F57" s="4"/>
      <c r="G57" s="266">
        <v>0</v>
      </c>
      <c r="H57" s="266">
        <v>0</v>
      </c>
      <c r="I57" s="266">
        <v>0</v>
      </c>
    </row>
    <row r="58" spans="1:9" ht="15.75">
      <c r="A58" s="14" t="s">
        <v>9</v>
      </c>
      <c r="B58" s="70" t="s">
        <v>8</v>
      </c>
      <c r="C58" s="1198">
        <v>0</v>
      </c>
      <c r="D58" s="4">
        <f t="shared" si="0"/>
        <v>0</v>
      </c>
      <c r="E58" s="4">
        <f t="shared" si="1"/>
        <v>0</v>
      </c>
      <c r="F58" s="4">
        <f t="shared" si="2"/>
        <v>0</v>
      </c>
      <c r="G58" s="266">
        <v>0</v>
      </c>
      <c r="H58" s="266">
        <v>0</v>
      </c>
      <c r="I58" s="266">
        <v>0</v>
      </c>
    </row>
    <row r="59" spans="1:9" ht="15.75">
      <c r="A59" s="13" t="s">
        <v>7</v>
      </c>
      <c r="B59" s="70" t="s">
        <v>6</v>
      </c>
      <c r="C59" s="1198">
        <v>0</v>
      </c>
      <c r="D59" s="4">
        <f>+C59*9%</f>
        <v>0</v>
      </c>
      <c r="E59" s="4">
        <f t="shared" si="1"/>
        <v>0</v>
      </c>
      <c r="F59" s="4">
        <f t="shared" si="2"/>
        <v>0</v>
      </c>
      <c r="G59" s="266">
        <v>0</v>
      </c>
      <c r="H59" s="266">
        <v>0</v>
      </c>
      <c r="I59" s="266">
        <v>0</v>
      </c>
    </row>
    <row r="60" spans="1:9" ht="15.75">
      <c r="A60" s="5" t="s">
        <v>5</v>
      </c>
      <c r="B60" s="70" t="s">
        <v>4</v>
      </c>
      <c r="C60" s="925"/>
      <c r="D60" s="4"/>
      <c r="E60" s="4"/>
      <c r="F60" s="4"/>
      <c r="G60" s="266">
        <v>0</v>
      </c>
      <c r="H60" s="266">
        <v>0</v>
      </c>
      <c r="I60" s="266">
        <v>0</v>
      </c>
    </row>
    <row r="61" spans="1:9" ht="15.75">
      <c r="A61" s="434"/>
      <c r="B61" s="432" t="s">
        <v>465</v>
      </c>
      <c r="C61" s="925">
        <v>0</v>
      </c>
      <c r="D61" s="433">
        <f>+C61*0.09</f>
        <v>0</v>
      </c>
      <c r="E61" s="433">
        <f>+D61</f>
        <v>0</v>
      </c>
      <c r="F61" s="433"/>
      <c r="G61" s="266">
        <v>0</v>
      </c>
      <c r="H61" s="266">
        <v>0</v>
      </c>
      <c r="I61" s="266">
        <v>0</v>
      </c>
    </row>
    <row r="62" spans="1:9" ht="16.5" thickBot="1">
      <c r="A62" s="12"/>
      <c r="B62" s="11" t="s">
        <v>3</v>
      </c>
      <c r="C62" s="10">
        <f>SUM(C9:C61)</f>
        <v>487000.51</v>
      </c>
      <c r="D62" s="10">
        <f>SUM(D9:D61)</f>
        <v>43830.045899999997</v>
      </c>
      <c r="E62" s="10">
        <f>SUM(E9:E61)</f>
        <v>43830.045899999997</v>
      </c>
      <c r="F62" s="10">
        <f>SUM(F9:F61)</f>
        <v>0</v>
      </c>
      <c r="G62" s="10">
        <f>SUM(G9:G59)</f>
        <v>0</v>
      </c>
      <c r="H62" s="10">
        <f>SUM(H9:H59)</f>
        <v>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I64" s="1">
        <v>0</v>
      </c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43830.045899999997</v>
      </c>
      <c r="I65" s="1">
        <v>0</v>
      </c>
    </row>
    <row r="66" spans="1:10" ht="15.75">
      <c r="A66" s="1228" t="s">
        <v>75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  <c r="G70" s="1">
        <v>45</v>
      </c>
      <c r="H70" s="32">
        <f>+G70/9%</f>
        <v>500</v>
      </c>
    </row>
    <row r="71" spans="1:10" ht="15.75">
      <c r="A71" s="1241" t="s">
        <v>80</v>
      </c>
      <c r="B71" s="1242"/>
      <c r="C71" s="1243"/>
      <c r="D71" s="105">
        <f>+D62</f>
        <v>43830.045899999997</v>
      </c>
      <c r="E71" s="105">
        <f>+E62</f>
        <v>43830.045899999997</v>
      </c>
      <c r="F71" s="30">
        <f>+F62</f>
        <v>0</v>
      </c>
      <c r="G71" s="1">
        <f>6.75+6.75</f>
        <v>13.5</v>
      </c>
      <c r="H71" s="32">
        <f>+G71/9%</f>
        <v>150</v>
      </c>
    </row>
    <row r="72" spans="1:10" ht="15.75">
      <c r="A72" s="43" t="s">
        <v>103</v>
      </c>
      <c r="B72" s="43"/>
      <c r="C72" s="43">
        <f>+G62</f>
        <v>0</v>
      </c>
      <c r="D72" s="106">
        <f>+C72*0.09</f>
        <v>0</v>
      </c>
      <c r="E72" s="106">
        <f>+C72*0.09</f>
        <v>0</v>
      </c>
      <c r="F72" s="30">
        <v>0</v>
      </c>
      <c r="G72" s="1">
        <f>171.63+27.45</f>
        <v>199.07999999999998</v>
      </c>
      <c r="H72" s="32">
        <f>+G72/9%</f>
        <v>2212</v>
      </c>
    </row>
    <row r="73" spans="1:10" ht="15.75">
      <c r="A73" s="43"/>
      <c r="B73" s="43"/>
      <c r="C73" s="43"/>
      <c r="D73" s="105">
        <f>+D71+D72</f>
        <v>43830.045899999997</v>
      </c>
      <c r="E73" s="105">
        <f>+E71+E72</f>
        <v>43830.045899999997</v>
      </c>
      <c r="F73" s="30">
        <v>0</v>
      </c>
    </row>
    <row r="74" spans="1:10" ht="15.75">
      <c r="A74" s="1241" t="s">
        <v>104</v>
      </c>
      <c r="B74" s="1242"/>
      <c r="C74" s="1243"/>
      <c r="D74" s="108">
        <v>43836.39</v>
      </c>
      <c r="E74" s="108">
        <f>+D74</f>
        <v>43836.39</v>
      </c>
      <c r="F74" s="26">
        <v>0</v>
      </c>
      <c r="I74" s="73"/>
      <c r="J74" s="72"/>
    </row>
    <row r="75" spans="1:10" ht="15.75">
      <c r="A75" s="1250" t="s">
        <v>79</v>
      </c>
      <c r="B75" s="1251"/>
      <c r="C75" s="1252"/>
      <c r="D75" s="107">
        <f>+D73-D74</f>
        <v>-6.3441000000020722</v>
      </c>
      <c r="E75" s="107">
        <f>+E73-E74</f>
        <v>-6.3441000000020722</v>
      </c>
      <c r="F75" s="26">
        <f>IF(F71&gt;F74,F71,F74)</f>
        <v>0</v>
      </c>
      <c r="G75" s="1">
        <f>+E75/0.09</f>
        <v>-70.490000000023031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1032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</row>
    <row r="80" spans="1:10">
      <c r="A80" s="1225"/>
      <c r="B80" s="1226"/>
      <c r="C80" s="1227"/>
      <c r="D80" s="42"/>
      <c r="E80" s="42"/>
      <c r="F80" s="42"/>
      <c r="G80" s="207"/>
      <c r="H80" s="207"/>
      <c r="I80" s="207"/>
      <c r="J80" s="207"/>
    </row>
    <row r="81" spans="1:10" ht="15.75">
      <c r="A81" s="1216" t="s">
        <v>69</v>
      </c>
      <c r="B81" s="1216"/>
      <c r="C81" s="1216"/>
      <c r="D81" s="108">
        <v>4964.1499999999996</v>
      </c>
      <c r="E81" s="108">
        <f>+D81</f>
        <v>4964.1499999999996</v>
      </c>
      <c r="F81" s="107">
        <v>0</v>
      </c>
      <c r="G81" s="207">
        <f>+D81/2</f>
        <v>2482.0749999999998</v>
      </c>
      <c r="H81" s="207">
        <f>+E81/2</f>
        <v>2482.0749999999998</v>
      </c>
      <c r="I81" s="207">
        <f t="shared" ref="G81:I84" si="7">+F81/2</f>
        <v>0</v>
      </c>
      <c r="J81" s="207"/>
    </row>
    <row r="82" spans="1:10" ht="15.75">
      <c r="A82" s="1224" t="s">
        <v>83</v>
      </c>
      <c r="B82" s="1224"/>
      <c r="C82" s="1224"/>
      <c r="D82" s="105">
        <f>C92</f>
        <v>26.91</v>
      </c>
      <c r="E82" s="105">
        <f>D92</f>
        <v>26.91</v>
      </c>
      <c r="F82" s="109">
        <v>0</v>
      </c>
      <c r="G82" s="207">
        <f t="shared" si="7"/>
        <v>13.455</v>
      </c>
      <c r="H82" s="207">
        <f>+E82/2</f>
        <v>13.455</v>
      </c>
      <c r="I82" s="207">
        <f t="shared" si="7"/>
        <v>0</v>
      </c>
      <c r="J82" s="207"/>
    </row>
    <row r="83" spans="1:10" ht="15.75">
      <c r="A83" s="1215" t="s">
        <v>82</v>
      </c>
      <c r="B83" s="1215"/>
      <c r="C83" s="1215"/>
      <c r="D83" s="108">
        <f>+D81-D82</f>
        <v>4937.24</v>
      </c>
      <c r="E83" s="108">
        <f>+E81-E82</f>
        <v>4937.24</v>
      </c>
      <c r="F83" s="107">
        <f>+F81-F82</f>
        <v>0</v>
      </c>
      <c r="G83" s="207">
        <f t="shared" si="7"/>
        <v>2468.62</v>
      </c>
      <c r="H83" s="207">
        <f t="shared" si="7"/>
        <v>2468.62</v>
      </c>
      <c r="I83" s="207">
        <f t="shared" si="7"/>
        <v>0</v>
      </c>
      <c r="J83" s="207"/>
    </row>
    <row r="84" spans="1:10">
      <c r="G84" s="207">
        <f t="shared" si="7"/>
        <v>0</v>
      </c>
      <c r="H84" s="207"/>
      <c r="I84" s="207"/>
      <c r="J84" s="207"/>
    </row>
    <row r="86" spans="1:10">
      <c r="B86" s="1214" t="s">
        <v>101</v>
      </c>
      <c r="C86" s="1214"/>
      <c r="D86" s="1214"/>
      <c r="E86" s="1214"/>
    </row>
    <row r="87" spans="1:10">
      <c r="B87" s="976" t="s">
        <v>322</v>
      </c>
      <c r="C87" s="452" t="s">
        <v>89</v>
      </c>
      <c r="D87" s="452" t="s">
        <v>67</v>
      </c>
      <c r="E87" s="452" t="s">
        <v>68</v>
      </c>
    </row>
    <row r="88" spans="1:10">
      <c r="B88" s="42" t="s">
        <v>547</v>
      </c>
      <c r="C88" s="156">
        <v>26.91</v>
      </c>
      <c r="D88" s="156">
        <f>+C88</f>
        <v>26.91</v>
      </c>
      <c r="E88" s="170">
        <v>0</v>
      </c>
    </row>
    <row r="89" spans="1:10">
      <c r="B89" s="42" t="s">
        <v>312</v>
      </c>
      <c r="C89" s="156">
        <v>0</v>
      </c>
      <c r="D89" s="156">
        <f>+C89</f>
        <v>0</v>
      </c>
      <c r="E89" s="170">
        <v>0</v>
      </c>
    </row>
    <row r="90" spans="1:10">
      <c r="B90" s="42" t="s">
        <v>102</v>
      </c>
      <c r="C90" s="156"/>
      <c r="D90" s="156">
        <f>+C90</f>
        <v>0</v>
      </c>
      <c r="E90" s="170">
        <v>0</v>
      </c>
    </row>
    <row r="91" spans="1:10">
      <c r="B91" s="42" t="s">
        <v>102</v>
      </c>
      <c r="C91" s="156">
        <v>0</v>
      </c>
      <c r="D91" s="156">
        <f>+C91</f>
        <v>0</v>
      </c>
      <c r="E91" s="170">
        <v>0</v>
      </c>
    </row>
    <row r="92" spans="1:10">
      <c r="B92" s="169" t="s">
        <v>135</v>
      </c>
      <c r="C92" s="170">
        <f>+SUM(C88:C91)</f>
        <v>26.91</v>
      </c>
      <c r="D92" s="170">
        <f>+SUM(D88:D91)</f>
        <v>26.91</v>
      </c>
      <c r="E92" s="170">
        <f>+SUM(E88:E91)</f>
        <v>0</v>
      </c>
    </row>
    <row r="93" spans="1:10" ht="18" customHeight="1"/>
    <row r="94" spans="1:10">
      <c r="A94" s="1338"/>
      <c r="B94" s="1338"/>
      <c r="C94" s="1338"/>
      <c r="D94" s="1338"/>
      <c r="E94" s="1338"/>
      <c r="F94" s="1338"/>
    </row>
    <row r="95" spans="1:10">
      <c r="A95" s="1338"/>
      <c r="B95" s="1338"/>
      <c r="C95" s="1338"/>
      <c r="D95" s="1338"/>
      <c r="E95" s="1338"/>
      <c r="F95" s="1338"/>
    </row>
    <row r="96" spans="1:10">
      <c r="A96" s="1023"/>
      <c r="B96" s="1023"/>
      <c r="C96" s="1023"/>
      <c r="D96" s="1023"/>
      <c r="E96" s="1023"/>
      <c r="F96" s="1023"/>
      <c r="G96" s="977"/>
    </row>
    <row r="97" spans="1:6">
      <c r="A97" s="1023"/>
      <c r="B97" s="1023"/>
      <c r="C97" s="1023"/>
      <c r="D97" s="1023"/>
      <c r="E97" s="1023"/>
      <c r="F97" s="1023"/>
    </row>
  </sheetData>
  <mergeCells count="30">
    <mergeCell ref="A94:F95"/>
    <mergeCell ref="G7:G8"/>
    <mergeCell ref="H7:H8"/>
    <mergeCell ref="I7:I8"/>
    <mergeCell ref="B86:E86"/>
    <mergeCell ref="A80:C80"/>
    <mergeCell ref="A81:C81"/>
    <mergeCell ref="A82:C82"/>
    <mergeCell ref="A83:C83"/>
    <mergeCell ref="F78:F79"/>
    <mergeCell ref="E78:E79"/>
    <mergeCell ref="A66:F66"/>
    <mergeCell ref="A69:C70"/>
    <mergeCell ref="D69:D70"/>
    <mergeCell ref="E69:E70"/>
    <mergeCell ref="F69:F70"/>
    <mergeCell ref="A71:C71"/>
    <mergeCell ref="A74:C74"/>
    <mergeCell ref="A75:C75"/>
    <mergeCell ref="A78:C79"/>
    <mergeCell ref="D78:D79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94">
    <cfRule type="containsText" dxfId="228" priority="3" operator="containsText" text="LESS COLLECTED">
      <formula>NOT(ISERROR(SEARCH("LESS COLLECTED",A94)))</formula>
    </cfRule>
  </conditionalFormatting>
  <conditionalFormatting sqref="A9:B21 G75:XFD1048576">
    <cfRule type="containsText" dxfId="227" priority="27" operator="containsText" text="LESS COLLECTED">
      <formula>NOT(ISERROR(SEARCH("LESS COLLECTED",A9)))</formula>
    </cfRule>
  </conditionalFormatting>
  <conditionalFormatting sqref="A22:B34">
    <cfRule type="containsText" dxfId="226" priority="36" operator="containsText" text="LESS COLLECTED">
      <formula>NOT(ISERROR(SEARCH("LESS COLLECTED",A22)))</formula>
    </cfRule>
  </conditionalFormatting>
  <conditionalFormatting sqref="A28:B32">
    <cfRule type="containsText" dxfId="225" priority="35" operator="containsText" text="EXCESS COLLECTED">
      <formula>NOT(ISERROR(SEARCH("EXCESS COLLECTED",A28)))</formula>
    </cfRule>
  </conditionalFormatting>
  <conditionalFormatting sqref="A35:B56">
    <cfRule type="containsText" dxfId="224" priority="5" operator="containsText" text="LESS COLLECTED">
      <formula>NOT(ISERROR(SEARCH("LESS COLLECTED",A35)))</formula>
    </cfRule>
  </conditionalFormatting>
  <conditionalFormatting sqref="A47:B56">
    <cfRule type="containsText" dxfId="223" priority="4" operator="containsText" text="EXCESS COLLECTED">
      <formula>NOT(ISERROR(SEARCH("EXCESS COLLECTED",A47)))</formula>
    </cfRule>
  </conditionalFormatting>
  <conditionalFormatting sqref="A57:B61">
    <cfRule type="containsText" dxfId="222" priority="40" operator="containsText" text="LESS COLLECTED">
      <formula>NOT(ISERROR(SEARCH("LESS COLLECTED",A57)))</formula>
    </cfRule>
  </conditionalFormatting>
  <conditionalFormatting sqref="A88:B93 D88:F93 C92:E92 A1:XFD6 A7:F8 J7:XFD62 H74:XFD74 F86 C92:C93 A96 A98:F1048576 G63:XFD73">
    <cfRule type="containsText" dxfId="221" priority="164" operator="containsText" text="LESS COLLECTED">
      <formula>NOT(ISERROR(SEARCH("LESS COLLECTED",A1)))</formula>
    </cfRule>
  </conditionalFormatting>
  <conditionalFormatting sqref="A66:F73 A86:B86 A87:F87 B88:B91 D88:D92 A75:F80 A74:C74 E74:F74 A82:F85 A81:C81 E81:F81">
    <cfRule type="containsText" dxfId="220" priority="153" operator="containsText" text="LESS COLLECTED">
      <formula>NOT(ISERROR(SEARCH("LESS COLLECTED",A66)))</formula>
    </cfRule>
  </conditionalFormatting>
  <conditionalFormatting sqref="B61">
    <cfRule type="containsText" dxfId="219" priority="39" operator="containsText" text="EXCESS COLLECTED">
      <formula>NOT(ISERROR(SEARCH("EXCESS COLLECTED",B61)))</formula>
    </cfRule>
  </conditionalFormatting>
  <conditionalFormatting sqref="D69:E70 A72:F73 B86 B87:D87 B88:B91 D88:D92">
    <cfRule type="containsText" dxfId="218" priority="152" operator="containsText" text="EXCESS COLLECTED">
      <formula>NOT(ISERROR(SEARCH("EXCESS COLLECTED",A69)))</formula>
    </cfRule>
  </conditionalFormatting>
  <conditionalFormatting sqref="D36:F61">
    <cfRule type="containsText" dxfId="217" priority="9" operator="containsText" text="LESS COLLECTED">
      <formula>NOT(ISERROR(SEARCH("LESS COLLECTED",D36)))</formula>
    </cfRule>
  </conditionalFormatting>
  <conditionalFormatting sqref="D48:F56">
    <cfRule type="containsText" dxfId="216" priority="6" operator="containsText" text="EXCESS COLLECTED">
      <formula>NOT(ISERROR(SEARCH("EXCESS COLLECTED",D48)))</formula>
    </cfRule>
  </conditionalFormatting>
  <conditionalFormatting sqref="E92">
    <cfRule type="containsText" dxfId="215" priority="55" operator="containsText" text="EXCESS COLLECTED">
      <formula>NOT(ISERROR(SEARCH("EXCESS COLLECTED",E92)))</formula>
    </cfRule>
    <cfRule type="containsText" dxfId="214" priority="56" operator="containsText" text="LESS COLLECTED">
      <formula>NOT(ISERROR(SEARCH("LESS COLLECTED",E92)))</formula>
    </cfRule>
  </conditionalFormatting>
  <conditionalFormatting sqref="D74">
    <cfRule type="containsText" dxfId="213" priority="2" operator="containsText" text="LESS COLLECTED">
      <formula>NOT(ISERROR(SEARCH("LESS COLLECTED",D74)))</formula>
    </cfRule>
  </conditionalFormatting>
  <conditionalFormatting sqref="D81">
    <cfRule type="containsText" dxfId="212" priority="1" operator="containsText" text="LESS COLLECTED">
      <formula>NOT(ISERROR(SEARCH("LESS COLLECTED",D81)))</formula>
    </cfRule>
  </conditionalFormatting>
  <pageMargins left="0.90551181102362199" right="0.86811023600000004" top="0" bottom="0" header="0.31496062992126" footer="0.31496062992126"/>
  <pageSetup paperSize="9" scale="54" orientation="portrait" r:id="rId1"/>
  <ignoredErrors>
    <ignoredError sqref="G62:H62" formulaRange="1"/>
    <ignoredError sqref="D51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rgb="FF92D050"/>
  </sheetPr>
  <dimension ref="A1:O115"/>
  <sheetViews>
    <sheetView topLeftCell="A77" workbookViewId="0">
      <selection activeCell="D74" sqref="D74"/>
    </sheetView>
  </sheetViews>
  <sheetFormatPr defaultColWidth="9.140625" defaultRowHeight="15"/>
  <cols>
    <col min="1" max="1" width="18.28515625" style="1" customWidth="1"/>
    <col min="2" max="2" width="43.7109375" style="1" bestFit="1" customWidth="1"/>
    <col min="3" max="3" width="16.7109375" style="1" customWidth="1"/>
    <col min="4" max="4" width="22.28515625" style="1" bestFit="1" customWidth="1"/>
    <col min="5" max="5" width="22" style="1" bestFit="1" customWidth="1"/>
    <col min="6" max="6" width="12.5703125" style="1" customWidth="1"/>
    <col min="7" max="7" width="19.85546875" style="1" customWidth="1"/>
    <col min="8" max="8" width="11.42578125" style="32" bestFit="1" customWidth="1"/>
    <col min="9" max="9" width="12.42578125" style="1" bestFit="1" customWidth="1"/>
    <col min="10" max="10" width="11.7109375" style="1" bestFit="1" customWidth="1"/>
    <col min="11" max="11" width="12.42578125" style="1" bestFit="1" customWidth="1"/>
    <col min="12" max="16384" width="9.140625" style="1"/>
  </cols>
  <sheetData>
    <row r="1" spans="1:14" ht="15.75">
      <c r="A1" s="1228" t="s">
        <v>73</v>
      </c>
      <c r="B1" s="1228"/>
      <c r="C1" s="1228"/>
      <c r="D1" s="1228"/>
      <c r="E1" s="1228"/>
      <c r="F1" s="1228"/>
    </row>
    <row r="2" spans="1:14" ht="15.75">
      <c r="A2" s="41"/>
      <c r="B2" s="41"/>
      <c r="C2" s="41"/>
      <c r="D2" s="41"/>
      <c r="E2" s="41"/>
      <c r="F2" s="41"/>
    </row>
    <row r="3" spans="1:14" ht="15.75">
      <c r="A3" s="1229" t="s">
        <v>98</v>
      </c>
      <c r="B3" s="1229"/>
      <c r="C3" s="1229"/>
      <c r="D3" s="1229"/>
      <c r="E3" s="1229"/>
      <c r="F3" s="1229"/>
    </row>
    <row r="4" spans="1:14" ht="15.75">
      <c r="A4" s="1229" t="s">
        <v>365</v>
      </c>
      <c r="B4" s="1229"/>
      <c r="C4" s="1229"/>
      <c r="D4" s="1229"/>
      <c r="E4" s="1229"/>
      <c r="F4" s="1229"/>
    </row>
    <row r="5" spans="1:14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4" ht="15.75">
      <c r="A6" s="24" t="s">
        <v>5</v>
      </c>
      <c r="B6" s="3"/>
      <c r="C6" s="23"/>
      <c r="D6" s="1230"/>
      <c r="E6" s="1230"/>
      <c r="F6" s="3"/>
    </row>
    <row r="7" spans="1:14" ht="15.75">
      <c r="A7" s="175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</row>
    <row r="8" spans="1:14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</row>
    <row r="9" spans="1:14" ht="15.75">
      <c r="A9" s="161">
        <v>3303</v>
      </c>
      <c r="B9" s="70" t="s">
        <v>609</v>
      </c>
      <c r="C9" s="925">
        <v>0</v>
      </c>
      <c r="D9" s="4">
        <f t="shared" ref="D9:D36" si="0"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</row>
    <row r="10" spans="1:14" ht="15.75">
      <c r="A10" s="161" t="s">
        <v>87</v>
      </c>
      <c r="B10" s="70" t="s">
        <v>61</v>
      </c>
      <c r="C10" s="925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L10" s="792"/>
      <c r="N10" s="32"/>
    </row>
    <row r="11" spans="1:14" ht="15.75">
      <c r="A11" s="160" t="s">
        <v>60</v>
      </c>
      <c r="B11" s="70" t="s">
        <v>59</v>
      </c>
      <c r="C11" s="925">
        <v>150</v>
      </c>
      <c r="D11" s="4">
        <f t="shared" si="0"/>
        <v>13.5</v>
      </c>
      <c r="E11" s="4">
        <f t="shared" ref="E11:E59" si="1">+D11</f>
        <v>13.5</v>
      </c>
      <c r="F11" s="4" t="str">
        <f>IF(D11&gt;0," ",C11*18%)</f>
        <v xml:space="preserve"> </v>
      </c>
      <c r="G11" s="266">
        <v>0</v>
      </c>
      <c r="H11" s="266">
        <v>0</v>
      </c>
      <c r="I11" s="32"/>
      <c r="K11" s="32"/>
    </row>
    <row r="12" spans="1:14" ht="15.75">
      <c r="A12" s="161" t="s">
        <v>58</v>
      </c>
      <c r="B12" s="70" t="s">
        <v>57</v>
      </c>
      <c r="C12" s="925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266">
        <v>0</v>
      </c>
      <c r="H12" s="266">
        <v>0</v>
      </c>
      <c r="I12" s="32"/>
      <c r="K12" s="32"/>
    </row>
    <row r="13" spans="1:14" ht="15.75">
      <c r="A13" s="160" t="s">
        <v>56</v>
      </c>
      <c r="B13" s="70" t="s">
        <v>55</v>
      </c>
      <c r="C13" s="925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266">
        <v>0</v>
      </c>
      <c r="H13" s="266">
        <v>0</v>
      </c>
      <c r="I13" s="32"/>
      <c r="K13" s="32"/>
    </row>
    <row r="14" spans="1:14" ht="15.75">
      <c r="A14" s="160" t="s">
        <v>54</v>
      </c>
      <c r="B14" s="70" t="s">
        <v>53</v>
      </c>
      <c r="C14" s="925">
        <f>75935-16382</f>
        <v>59553</v>
      </c>
      <c r="D14" s="4">
        <f t="shared" si="0"/>
        <v>5359.7699999999995</v>
      </c>
      <c r="E14" s="4">
        <f t="shared" si="1"/>
        <v>5359.7699999999995</v>
      </c>
      <c r="F14" s="4" t="str">
        <f t="shared" ref="F14:F16" si="2">IF(D14&gt;0," ",C14*18%)</f>
        <v xml:space="preserve"> </v>
      </c>
      <c r="G14" s="266">
        <v>0</v>
      </c>
      <c r="H14" s="266">
        <v>0</v>
      </c>
      <c r="I14" s="32"/>
      <c r="K14" s="32"/>
    </row>
    <row r="15" spans="1:14" ht="15.75">
      <c r="A15" s="160" t="s">
        <v>52</v>
      </c>
      <c r="B15" s="70" t="s">
        <v>51</v>
      </c>
      <c r="C15" s="925">
        <v>130</v>
      </c>
      <c r="D15" s="4">
        <f t="shared" si="0"/>
        <v>11.7</v>
      </c>
      <c r="E15" s="4">
        <f t="shared" si="1"/>
        <v>11.7</v>
      </c>
      <c r="F15" s="4" t="str">
        <f t="shared" si="2"/>
        <v xml:space="preserve"> </v>
      </c>
      <c r="G15" s="266">
        <v>0</v>
      </c>
      <c r="H15" s="266">
        <v>0</v>
      </c>
      <c r="I15" s="32"/>
      <c r="K15" s="32"/>
    </row>
    <row r="16" spans="1:14" ht="15.75">
      <c r="A16" s="161" t="s">
        <v>50</v>
      </c>
      <c r="B16" s="70" t="s">
        <v>49</v>
      </c>
      <c r="C16" s="925"/>
      <c r="D16" s="4">
        <f t="shared" si="0"/>
        <v>0</v>
      </c>
      <c r="E16" s="4">
        <f t="shared" si="1"/>
        <v>0</v>
      </c>
      <c r="F16" s="4">
        <f t="shared" si="2"/>
        <v>0</v>
      </c>
      <c r="G16" s="266">
        <v>0</v>
      </c>
      <c r="H16" s="266">
        <v>0</v>
      </c>
      <c r="I16" s="32"/>
      <c r="K16" s="32"/>
    </row>
    <row r="17" spans="1:15" ht="15.75">
      <c r="A17" s="161" t="s">
        <v>48</v>
      </c>
      <c r="B17" s="70" t="s">
        <v>47</v>
      </c>
      <c r="C17" s="925"/>
      <c r="D17" s="4">
        <f t="shared" si="0"/>
        <v>0</v>
      </c>
      <c r="E17" s="4">
        <f t="shared" si="1"/>
        <v>0</v>
      </c>
      <c r="F17" s="4">
        <f>IF(D17&gt;0," ",C17*18%)</f>
        <v>0</v>
      </c>
      <c r="G17" s="266">
        <v>0</v>
      </c>
      <c r="H17" s="266">
        <v>0</v>
      </c>
      <c r="I17" s="32"/>
      <c r="K17" s="32"/>
    </row>
    <row r="18" spans="1:15" ht="15.75">
      <c r="A18" s="161" t="s">
        <v>46</v>
      </c>
      <c r="B18" s="70" t="s">
        <v>45</v>
      </c>
      <c r="C18" s="925"/>
      <c r="D18" s="4">
        <f t="shared" si="0"/>
        <v>0</v>
      </c>
      <c r="E18" s="4">
        <f t="shared" si="1"/>
        <v>0</v>
      </c>
      <c r="F18" s="4">
        <f>IF(D18&gt;0," ",C18*18%)</f>
        <v>0</v>
      </c>
      <c r="G18" s="266">
        <v>0</v>
      </c>
      <c r="H18" s="266">
        <v>0</v>
      </c>
      <c r="I18" s="32"/>
      <c r="K18" s="32"/>
    </row>
    <row r="19" spans="1:15" ht="16.5" customHeight="1">
      <c r="A19" s="160">
        <v>3270</v>
      </c>
      <c r="B19" s="70" t="s">
        <v>43</v>
      </c>
      <c r="C19" s="925">
        <v>67500</v>
      </c>
      <c r="D19" s="4">
        <f t="shared" si="0"/>
        <v>6075</v>
      </c>
      <c r="E19" s="4">
        <f t="shared" si="1"/>
        <v>6075</v>
      </c>
      <c r="F19" s="4"/>
      <c r="G19" s="266">
        <v>0</v>
      </c>
      <c r="H19" s="266">
        <v>0</v>
      </c>
      <c r="I19" s="32"/>
      <c r="K19" s="32"/>
    </row>
    <row r="20" spans="1:15" ht="15.75">
      <c r="A20" s="13">
        <v>3271</v>
      </c>
      <c r="B20" s="70" t="s">
        <v>533</v>
      </c>
      <c r="C20" s="925">
        <v>22950</v>
      </c>
      <c r="D20" s="4">
        <f>+C20*9%</f>
        <v>2065.5</v>
      </c>
      <c r="E20" s="4">
        <f t="shared" si="1"/>
        <v>2065.5</v>
      </c>
      <c r="F20" s="4"/>
      <c r="G20" s="266">
        <v>0</v>
      </c>
      <c r="H20" s="266">
        <v>0</v>
      </c>
      <c r="I20" s="625"/>
      <c r="K20" s="32"/>
    </row>
    <row r="21" spans="1:15" ht="15.75">
      <c r="A21" s="13">
        <v>3274</v>
      </c>
      <c r="B21" s="70" t="s">
        <v>554</v>
      </c>
      <c r="C21" s="925"/>
      <c r="D21" s="4">
        <f>+C21*9%</f>
        <v>0</v>
      </c>
      <c r="E21" s="4">
        <f t="shared" si="1"/>
        <v>0</v>
      </c>
      <c r="F21" s="4"/>
      <c r="G21" s="266">
        <v>0</v>
      </c>
      <c r="H21" s="266">
        <v>0</v>
      </c>
      <c r="I21" s="32"/>
      <c r="K21" s="32"/>
    </row>
    <row r="22" spans="1:15" ht="15.75">
      <c r="A22" s="158" t="s">
        <v>42</v>
      </c>
      <c r="B22" s="70" t="s">
        <v>41</v>
      </c>
      <c r="C22" s="925"/>
      <c r="D22" s="4">
        <f t="shared" si="0"/>
        <v>0</v>
      </c>
      <c r="E22" s="4">
        <f t="shared" si="1"/>
        <v>0</v>
      </c>
      <c r="F22" s="4">
        <f>IF(D22&gt;0," ",C22*18%)</f>
        <v>0</v>
      </c>
      <c r="G22" s="266">
        <v>0</v>
      </c>
      <c r="H22" s="266">
        <v>0</v>
      </c>
      <c r="I22" s="32"/>
      <c r="K22" s="32"/>
      <c r="O22" s="1" t="s">
        <v>5</v>
      </c>
    </row>
    <row r="23" spans="1:15" ht="15.75">
      <c r="A23" s="161">
        <v>3280</v>
      </c>
      <c r="B23" s="70" t="s">
        <v>39</v>
      </c>
      <c r="C23" s="925"/>
      <c r="D23" s="4">
        <f t="shared" si="0"/>
        <v>0</v>
      </c>
      <c r="E23" s="4">
        <f t="shared" si="1"/>
        <v>0</v>
      </c>
      <c r="F23" s="4">
        <f>IF(D23&gt;0," ",C23*18%)</f>
        <v>0</v>
      </c>
      <c r="G23" s="266">
        <v>0</v>
      </c>
      <c r="H23" s="266">
        <v>0</v>
      </c>
      <c r="I23" s="32"/>
      <c r="K23" s="32"/>
    </row>
    <row r="24" spans="1:15" ht="15.75">
      <c r="A24" s="161" t="s">
        <v>38</v>
      </c>
      <c r="B24" s="70" t="s">
        <v>37</v>
      </c>
      <c r="C24" s="925"/>
      <c r="D24" s="4">
        <f t="shared" si="0"/>
        <v>0</v>
      </c>
      <c r="E24" s="4">
        <f t="shared" si="1"/>
        <v>0</v>
      </c>
      <c r="F24" s="4">
        <v>0</v>
      </c>
      <c r="G24" s="266">
        <v>0</v>
      </c>
      <c r="H24" s="266">
        <v>0</v>
      </c>
      <c r="I24" s="32"/>
      <c r="K24" s="32"/>
    </row>
    <row r="25" spans="1:15" ht="15.75">
      <c r="A25" s="158" t="s">
        <v>36</v>
      </c>
      <c r="B25" s="70" t="s">
        <v>35</v>
      </c>
      <c r="C25" s="925"/>
      <c r="D25" s="4">
        <f t="shared" si="0"/>
        <v>0</v>
      </c>
      <c r="E25" s="4">
        <f t="shared" si="1"/>
        <v>0</v>
      </c>
      <c r="F25" s="4">
        <f>IF(D25&gt;0," ",C25*18%)</f>
        <v>0</v>
      </c>
      <c r="G25" s="266">
        <v>0</v>
      </c>
      <c r="H25" s="266">
        <v>0</v>
      </c>
      <c r="I25" s="32"/>
      <c r="K25" s="32"/>
    </row>
    <row r="26" spans="1:15" ht="15.75">
      <c r="A26" s="158" t="s">
        <v>34</v>
      </c>
      <c r="B26" s="70" t="s">
        <v>33</v>
      </c>
      <c r="C26" s="925"/>
      <c r="D26" s="4">
        <f t="shared" si="0"/>
        <v>0</v>
      </c>
      <c r="E26" s="4">
        <f t="shared" si="1"/>
        <v>0</v>
      </c>
      <c r="F26" s="4">
        <f>IF(D26&gt;0," ",C26*18%)</f>
        <v>0</v>
      </c>
      <c r="G26" s="266">
        <v>0</v>
      </c>
      <c r="H26" s="266">
        <v>0</v>
      </c>
      <c r="I26" s="32"/>
      <c r="K26" s="32"/>
    </row>
    <row r="27" spans="1:15" ht="15.75">
      <c r="A27" s="158" t="s">
        <v>32</v>
      </c>
      <c r="B27" s="70" t="s">
        <v>31</v>
      </c>
      <c r="C27" s="925"/>
      <c r="D27" s="4">
        <f t="shared" si="0"/>
        <v>0</v>
      </c>
      <c r="E27" s="4">
        <f t="shared" si="1"/>
        <v>0</v>
      </c>
      <c r="F27" s="4">
        <f>IF(D27&gt;0," ",C27*18%)</f>
        <v>0</v>
      </c>
      <c r="G27" s="266">
        <v>0</v>
      </c>
      <c r="H27" s="266">
        <v>0</v>
      </c>
      <c r="I27" s="32"/>
      <c r="K27" s="32"/>
    </row>
    <row r="28" spans="1:15" ht="15.75">
      <c r="A28" s="158">
        <v>3291</v>
      </c>
      <c r="B28" s="33" t="s">
        <v>325</v>
      </c>
      <c r="C28" s="925"/>
      <c r="D28" s="4">
        <f t="shared" si="0"/>
        <v>0</v>
      </c>
      <c r="E28" s="4">
        <f>+D28</f>
        <v>0</v>
      </c>
      <c r="F28" s="4">
        <f>IF(D28&gt;0," ",C28*18%)</f>
        <v>0</v>
      </c>
      <c r="G28" s="266">
        <v>0</v>
      </c>
      <c r="H28" s="266">
        <v>0</v>
      </c>
      <c r="I28" s="32"/>
      <c r="K28" s="32"/>
    </row>
    <row r="29" spans="1:15" ht="15.75">
      <c r="A29" s="137" t="s">
        <v>526</v>
      </c>
      <c r="B29" s="33" t="s">
        <v>523</v>
      </c>
      <c r="C29" s="925">
        <v>2630</v>
      </c>
      <c r="D29" s="4">
        <f t="shared" si="0"/>
        <v>236.7</v>
      </c>
      <c r="E29" s="4">
        <f>+D29</f>
        <v>236.7</v>
      </c>
      <c r="F29" s="4" t="str">
        <f>IF(D29&gt;0," ",C29*18%)</f>
        <v xml:space="preserve"> </v>
      </c>
      <c r="G29" s="266">
        <v>0</v>
      </c>
      <c r="H29" s="266">
        <v>0</v>
      </c>
      <c r="I29" s="32"/>
      <c r="K29" s="32"/>
    </row>
    <row r="30" spans="1:15" ht="15.75">
      <c r="A30" s="137" t="s">
        <v>527</v>
      </c>
      <c r="B30" s="33" t="s">
        <v>524</v>
      </c>
      <c r="C30" s="925">
        <v>10580</v>
      </c>
      <c r="D30" s="4">
        <f t="shared" si="0"/>
        <v>952.19999999999993</v>
      </c>
      <c r="E30" s="4">
        <f>+D30</f>
        <v>952.19999999999993</v>
      </c>
      <c r="F30" s="4">
        <v>0</v>
      </c>
      <c r="G30" s="266">
        <v>0</v>
      </c>
      <c r="H30" s="266">
        <v>0</v>
      </c>
      <c r="I30" s="32"/>
      <c r="K30" s="32"/>
    </row>
    <row r="31" spans="1:15" ht="15.75">
      <c r="A31" s="137" t="s">
        <v>528</v>
      </c>
      <c r="B31" s="33" t="s">
        <v>529</v>
      </c>
      <c r="C31" s="925">
        <v>1000</v>
      </c>
      <c r="D31" s="4">
        <f t="shared" si="0"/>
        <v>90</v>
      </c>
      <c r="E31" s="4">
        <f>+D31</f>
        <v>90</v>
      </c>
      <c r="F31" s="4" t="str">
        <f>IF(D31&gt;0," ",C31*18%)</f>
        <v xml:space="preserve"> </v>
      </c>
      <c r="G31" s="266">
        <v>0</v>
      </c>
      <c r="H31" s="266">
        <v>0</v>
      </c>
      <c r="I31" s="32"/>
      <c r="K31" s="32"/>
    </row>
    <row r="32" spans="1:15" ht="15.75">
      <c r="A32" s="137" t="s">
        <v>531</v>
      </c>
      <c r="B32" s="33" t="s">
        <v>532</v>
      </c>
      <c r="C32" s="925"/>
      <c r="D32" s="4">
        <f t="shared" si="0"/>
        <v>0</v>
      </c>
      <c r="E32" s="4">
        <f>+D32</f>
        <v>0</v>
      </c>
      <c r="F32" s="4">
        <f>IF(D32&gt;0," ",C32*18%)</f>
        <v>0</v>
      </c>
      <c r="G32" s="266">
        <v>0</v>
      </c>
      <c r="H32" s="266">
        <v>0</v>
      </c>
      <c r="I32" s="32"/>
      <c r="K32" s="32"/>
    </row>
    <row r="33" spans="1:11" ht="15.75">
      <c r="A33" s="160">
        <v>3300</v>
      </c>
      <c r="B33" s="70" t="s">
        <v>29</v>
      </c>
      <c r="C33" s="925">
        <v>236497.82</v>
      </c>
      <c r="D33" s="4">
        <f t="shared" si="0"/>
        <v>21284.803800000002</v>
      </c>
      <c r="E33" s="4">
        <f t="shared" si="1"/>
        <v>21284.803800000002</v>
      </c>
      <c r="F33" s="4"/>
      <c r="G33" s="266">
        <v>0</v>
      </c>
      <c r="H33" s="266">
        <v>0</v>
      </c>
      <c r="I33" s="32"/>
      <c r="K33" s="32"/>
    </row>
    <row r="34" spans="1:11" ht="15.75">
      <c r="A34" s="160">
        <v>3301</v>
      </c>
      <c r="B34" s="70" t="s">
        <v>154</v>
      </c>
      <c r="C34" s="925"/>
      <c r="D34" s="4">
        <f t="shared" si="0"/>
        <v>0</v>
      </c>
      <c r="E34" s="4">
        <f>+D34</f>
        <v>0</v>
      </c>
      <c r="F34" s="4">
        <f>IF(D34&gt;0," ",C34*18%)</f>
        <v>0</v>
      </c>
      <c r="G34" s="266">
        <v>0</v>
      </c>
      <c r="H34" s="266">
        <v>0</v>
      </c>
      <c r="I34" s="32"/>
      <c r="K34" s="32"/>
    </row>
    <row r="35" spans="1:11" ht="15.75">
      <c r="A35" s="13">
        <v>3302</v>
      </c>
      <c r="B35" s="70" t="s">
        <v>525</v>
      </c>
      <c r="C35" s="925"/>
      <c r="D35" s="4">
        <f>+C35*9%</f>
        <v>0</v>
      </c>
      <c r="E35" s="4">
        <f>+D35</f>
        <v>0</v>
      </c>
      <c r="F35" s="4">
        <f>IF(D35&gt;0," ",C35*18%)</f>
        <v>0</v>
      </c>
      <c r="G35" s="266">
        <v>0</v>
      </c>
      <c r="H35" s="266">
        <v>0</v>
      </c>
      <c r="I35" s="32"/>
      <c r="K35" s="32"/>
    </row>
    <row r="36" spans="1:11" ht="15.75">
      <c r="A36" s="161" t="s">
        <v>28</v>
      </c>
      <c r="B36" s="70" t="s">
        <v>27</v>
      </c>
      <c r="C36" s="925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266">
        <v>0</v>
      </c>
      <c r="H36" s="266">
        <v>0</v>
      </c>
      <c r="I36" s="32"/>
      <c r="K36" s="32"/>
    </row>
    <row r="37" spans="1:11" ht="15.75">
      <c r="A37" s="158" t="s">
        <v>114</v>
      </c>
      <c r="B37" s="70" t="s">
        <v>115</v>
      </c>
      <c r="C37" s="925"/>
      <c r="D37" s="4">
        <f t="shared" ref="D37:D52" si="3">+C37*9%</f>
        <v>0</v>
      </c>
      <c r="E37" s="4">
        <f>+D37</f>
        <v>0</v>
      </c>
      <c r="F37" s="4"/>
      <c r="G37" s="266">
        <v>0</v>
      </c>
      <c r="H37" s="266">
        <v>0</v>
      </c>
      <c r="I37" s="32"/>
      <c r="K37" s="32"/>
    </row>
    <row r="38" spans="1:11" ht="15.75">
      <c r="A38" s="160" t="s">
        <v>26</v>
      </c>
      <c r="B38" s="70" t="s">
        <v>25</v>
      </c>
      <c r="C38" s="925">
        <v>4254.3100000000004</v>
      </c>
      <c r="D38" s="4">
        <f t="shared" si="3"/>
        <v>382.8879</v>
      </c>
      <c r="E38" s="4">
        <f t="shared" si="1"/>
        <v>382.8879</v>
      </c>
      <c r="F38" s="4">
        <v>0</v>
      </c>
      <c r="G38" s="266">
        <v>0</v>
      </c>
      <c r="H38" s="266">
        <v>0</v>
      </c>
      <c r="I38" s="32"/>
      <c r="K38" s="32"/>
    </row>
    <row r="39" spans="1:11" ht="15.75">
      <c r="A39" s="160" t="s">
        <v>24</v>
      </c>
      <c r="B39" s="70" t="s">
        <v>23</v>
      </c>
      <c r="C39" s="925">
        <v>6050</v>
      </c>
      <c r="D39" s="4">
        <f t="shared" si="3"/>
        <v>544.5</v>
      </c>
      <c r="E39" s="4">
        <f t="shared" si="1"/>
        <v>544.5</v>
      </c>
      <c r="F39" s="4">
        <v>0</v>
      </c>
      <c r="G39" s="266">
        <v>0</v>
      </c>
      <c r="H39" s="266">
        <v>0</v>
      </c>
      <c r="I39" s="32"/>
      <c r="K39" s="32"/>
    </row>
    <row r="40" spans="1:11" ht="15.75">
      <c r="A40" s="160" t="s">
        <v>22</v>
      </c>
      <c r="B40" s="70" t="s">
        <v>21</v>
      </c>
      <c r="C40" s="925">
        <v>6100</v>
      </c>
      <c r="D40" s="4">
        <f t="shared" si="3"/>
        <v>549</v>
      </c>
      <c r="E40" s="4">
        <f t="shared" si="1"/>
        <v>549</v>
      </c>
      <c r="F40" s="4">
        <v>0</v>
      </c>
      <c r="G40" s="266">
        <v>0</v>
      </c>
      <c r="H40" s="266">
        <v>0</v>
      </c>
      <c r="I40" s="32"/>
      <c r="K40" s="32"/>
    </row>
    <row r="41" spans="1:11" ht="15.75">
      <c r="A41" s="160" t="s">
        <v>20</v>
      </c>
      <c r="B41" s="70" t="s">
        <v>19</v>
      </c>
      <c r="C41" s="925">
        <v>11128.6</v>
      </c>
      <c r="D41" s="4">
        <f t="shared" si="3"/>
        <v>1001.574</v>
      </c>
      <c r="E41" s="4">
        <f t="shared" si="1"/>
        <v>1001.574</v>
      </c>
      <c r="F41" s="4">
        <v>0</v>
      </c>
      <c r="G41" s="266"/>
      <c r="H41" s="266"/>
      <c r="I41" s="32"/>
      <c r="K41" s="32"/>
    </row>
    <row r="42" spans="1:11" ht="15.75">
      <c r="A42" s="161" t="s">
        <v>18</v>
      </c>
      <c r="B42" s="70" t="s">
        <v>17</v>
      </c>
      <c r="C42" s="925">
        <f>11550+540</f>
        <v>12090</v>
      </c>
      <c r="D42" s="4">
        <f t="shared" si="3"/>
        <v>1088.0999999999999</v>
      </c>
      <c r="E42" s="4">
        <f t="shared" si="1"/>
        <v>1088.0999999999999</v>
      </c>
      <c r="F42" s="4">
        <v>0</v>
      </c>
      <c r="G42" s="266">
        <v>0</v>
      </c>
      <c r="H42" s="266"/>
      <c r="I42" s="32"/>
      <c r="K42" s="32"/>
    </row>
    <row r="43" spans="1:11" ht="15.75">
      <c r="A43" s="161" t="s">
        <v>16</v>
      </c>
      <c r="B43" s="70" t="s">
        <v>15</v>
      </c>
      <c r="C43" s="925">
        <v>10850</v>
      </c>
      <c r="D43" s="4">
        <f t="shared" si="3"/>
        <v>976.5</v>
      </c>
      <c r="E43" s="4">
        <f t="shared" si="1"/>
        <v>976.5</v>
      </c>
      <c r="F43" s="4">
        <v>0</v>
      </c>
      <c r="G43" s="266">
        <v>0</v>
      </c>
      <c r="H43" s="266">
        <v>0</v>
      </c>
      <c r="I43" s="32"/>
      <c r="K43" s="32"/>
    </row>
    <row r="44" spans="1:11" ht="15.75">
      <c r="A44" s="161" t="s">
        <v>14</v>
      </c>
      <c r="B44" s="70" t="s">
        <v>13</v>
      </c>
      <c r="C44" s="925">
        <v>2564</v>
      </c>
      <c r="D44" s="4">
        <f t="shared" si="3"/>
        <v>230.76</v>
      </c>
      <c r="E44" s="4">
        <f>+D44</f>
        <v>230.76</v>
      </c>
      <c r="F44" s="4">
        <v>0</v>
      </c>
      <c r="G44" s="266">
        <v>0</v>
      </c>
      <c r="H44" s="266">
        <v>0</v>
      </c>
      <c r="I44" s="32"/>
      <c r="K44" s="32"/>
    </row>
    <row r="45" spans="1:11" ht="15.75">
      <c r="A45" s="161">
        <v>3317</v>
      </c>
      <c r="B45" s="70" t="s">
        <v>286</v>
      </c>
      <c r="C45" s="925"/>
      <c r="D45" s="4">
        <f t="shared" si="3"/>
        <v>0</v>
      </c>
      <c r="E45" s="4">
        <f>+D45</f>
        <v>0</v>
      </c>
      <c r="F45" s="4">
        <v>0</v>
      </c>
      <c r="G45" s="266">
        <v>0</v>
      </c>
      <c r="H45" s="266">
        <v>0</v>
      </c>
      <c r="I45" s="32"/>
      <c r="K45" s="32"/>
    </row>
    <row r="46" spans="1:11" ht="15.75">
      <c r="A46" s="161" t="s">
        <v>12</v>
      </c>
      <c r="B46" s="70" t="s">
        <v>11</v>
      </c>
      <c r="C46" s="925"/>
      <c r="D46" s="4">
        <f t="shared" si="3"/>
        <v>0</v>
      </c>
      <c r="E46" s="4">
        <f t="shared" si="1"/>
        <v>0</v>
      </c>
      <c r="F46" s="4">
        <f>IF(D46&gt;0," ",C46*18%)</f>
        <v>0</v>
      </c>
      <c r="G46" s="266">
        <v>0</v>
      </c>
      <c r="H46" s="266">
        <v>0</v>
      </c>
      <c r="I46" s="32"/>
      <c r="K46" s="32"/>
    </row>
    <row r="47" spans="1:11" ht="15.75">
      <c r="A47" s="161">
        <v>3320</v>
      </c>
      <c r="B47" s="70" t="s">
        <v>290</v>
      </c>
      <c r="C47" s="925">
        <f>1409279-1409279</f>
        <v>0</v>
      </c>
      <c r="D47" s="4">
        <f>+C47*9%</f>
        <v>0</v>
      </c>
      <c r="E47" s="4">
        <f t="shared" si="1"/>
        <v>0</v>
      </c>
      <c r="F47" s="4">
        <v>0</v>
      </c>
      <c r="G47" s="266">
        <v>0</v>
      </c>
      <c r="H47" s="266">
        <v>0</v>
      </c>
      <c r="I47" s="32"/>
      <c r="K47" s="32"/>
    </row>
    <row r="48" spans="1:11" ht="15.75">
      <c r="A48" s="161">
        <v>3321</v>
      </c>
      <c r="B48" s="70" t="s">
        <v>156</v>
      </c>
      <c r="C48" s="925">
        <v>11096</v>
      </c>
      <c r="D48" s="4">
        <f t="shared" si="3"/>
        <v>998.64</v>
      </c>
      <c r="E48" s="4">
        <f t="shared" si="1"/>
        <v>998.64</v>
      </c>
      <c r="F48" s="4" t="str">
        <f>IF(D48&gt;0," ",C48*18%)</f>
        <v xml:space="preserve"> </v>
      </c>
      <c r="G48" s="266">
        <v>0</v>
      </c>
      <c r="H48" s="266">
        <v>0</v>
      </c>
      <c r="I48" s="32"/>
      <c r="K48" s="32"/>
    </row>
    <row r="49" spans="1:11" ht="15.75">
      <c r="A49" s="161">
        <v>3322</v>
      </c>
      <c r="B49" s="70" t="s">
        <v>335</v>
      </c>
      <c r="C49" s="925"/>
      <c r="D49" s="4">
        <f t="shared" si="3"/>
        <v>0</v>
      </c>
      <c r="E49" s="4">
        <f t="shared" ref="E49:E55" si="4">+D49</f>
        <v>0</v>
      </c>
      <c r="F49" s="4"/>
      <c r="G49" s="266">
        <v>0</v>
      </c>
      <c r="H49" s="266">
        <v>0</v>
      </c>
      <c r="I49" s="32"/>
      <c r="K49" s="32"/>
    </row>
    <row r="50" spans="1:11" ht="15.75">
      <c r="A50" s="161">
        <v>3324</v>
      </c>
      <c r="B50" s="70" t="s">
        <v>438</v>
      </c>
      <c r="C50" s="925"/>
      <c r="D50" s="4">
        <f t="shared" si="3"/>
        <v>0</v>
      </c>
      <c r="E50" s="4">
        <f t="shared" si="4"/>
        <v>0</v>
      </c>
      <c r="F50" s="4"/>
      <c r="G50" s="266">
        <v>0</v>
      </c>
      <c r="H50" s="266">
        <v>0</v>
      </c>
      <c r="I50" s="32"/>
      <c r="K50" s="32"/>
    </row>
    <row r="51" spans="1:11" ht="15.75">
      <c r="A51" s="161">
        <v>3325</v>
      </c>
      <c r="B51" s="70" t="s">
        <v>606</v>
      </c>
      <c r="C51" s="925"/>
      <c r="D51" s="4">
        <f t="shared" si="3"/>
        <v>0</v>
      </c>
      <c r="E51" s="4">
        <f t="shared" si="4"/>
        <v>0</v>
      </c>
      <c r="F51" s="4">
        <f>IF(D51&gt;0," ",C51*18%)</f>
        <v>0</v>
      </c>
      <c r="G51" s="266">
        <v>0</v>
      </c>
      <c r="H51" s="266">
        <v>0</v>
      </c>
      <c r="I51" s="32"/>
      <c r="K51" s="32"/>
    </row>
    <row r="52" spans="1:11" ht="16.5" customHeight="1">
      <c r="A52" s="161">
        <v>3391</v>
      </c>
      <c r="B52" s="70" t="s">
        <v>300</v>
      </c>
      <c r="C52" s="925">
        <v>32462.25</v>
      </c>
      <c r="D52" s="4">
        <f t="shared" si="3"/>
        <v>2921.6025</v>
      </c>
      <c r="E52" s="4">
        <f t="shared" si="4"/>
        <v>2921.6025</v>
      </c>
      <c r="F52" s="4">
        <v>0</v>
      </c>
      <c r="G52" s="266">
        <v>0</v>
      </c>
      <c r="H52" s="266">
        <v>0</v>
      </c>
      <c r="I52" s="32"/>
      <c r="K52" s="32"/>
    </row>
    <row r="53" spans="1:11" ht="16.5" customHeight="1">
      <c r="A53" s="161">
        <v>3359</v>
      </c>
      <c r="B53" s="70" t="s">
        <v>683</v>
      </c>
      <c r="C53" s="925"/>
      <c r="D53" s="4">
        <f>+C53*9%</f>
        <v>0</v>
      </c>
      <c r="E53" s="4">
        <f t="shared" si="4"/>
        <v>0</v>
      </c>
      <c r="F53" s="4">
        <v>0</v>
      </c>
      <c r="G53" s="266">
        <v>0</v>
      </c>
      <c r="H53" s="266">
        <v>0</v>
      </c>
      <c r="I53" s="32"/>
      <c r="J53" s="1" t="s">
        <v>5</v>
      </c>
      <c r="K53" s="32"/>
    </row>
    <row r="54" spans="1:11" ht="15.75">
      <c r="A54" s="161">
        <v>3825</v>
      </c>
      <c r="B54" s="70" t="s">
        <v>646</v>
      </c>
      <c r="C54" s="925"/>
      <c r="D54" s="4">
        <f>+C54*9%</f>
        <v>0</v>
      </c>
      <c r="E54" s="4">
        <f t="shared" si="4"/>
        <v>0</v>
      </c>
      <c r="F54" s="4"/>
      <c r="G54" s="266">
        <v>0</v>
      </c>
      <c r="H54" s="266">
        <v>0</v>
      </c>
      <c r="I54" s="625"/>
      <c r="K54" s="32"/>
    </row>
    <row r="55" spans="1:11" ht="15.75">
      <c r="A55" s="161">
        <v>3362</v>
      </c>
      <c r="B55" s="70" t="s">
        <v>739</v>
      </c>
      <c r="C55" s="925"/>
      <c r="D55" s="4">
        <f>+C55*9%</f>
        <v>0</v>
      </c>
      <c r="E55" s="4">
        <f t="shared" si="4"/>
        <v>0</v>
      </c>
      <c r="F55" s="4"/>
      <c r="G55" s="266">
        <v>0</v>
      </c>
      <c r="H55" s="266">
        <v>0</v>
      </c>
      <c r="I55" s="32"/>
      <c r="K55" s="32"/>
    </row>
    <row r="56" spans="1:11" ht="15.75">
      <c r="A56" s="14">
        <v>3340</v>
      </c>
      <c r="B56" s="70" t="s">
        <v>785</v>
      </c>
      <c r="C56" s="925"/>
      <c r="D56" s="4">
        <f>+C56*9%</f>
        <v>0</v>
      </c>
      <c r="E56" s="4">
        <f>+D56</f>
        <v>0</v>
      </c>
      <c r="F56" s="4">
        <f>IF(D56&gt;0," ",C56*18%)</f>
        <v>0</v>
      </c>
      <c r="G56" s="266">
        <v>0</v>
      </c>
      <c r="H56" s="266">
        <v>0</v>
      </c>
      <c r="I56" s="32"/>
      <c r="K56" s="32"/>
    </row>
    <row r="57" spans="1:11" ht="15.75">
      <c r="A57" s="162" t="s">
        <v>10</v>
      </c>
      <c r="B57" s="70"/>
      <c r="C57" s="925"/>
      <c r="D57" s="4">
        <v>0</v>
      </c>
      <c r="E57" s="4"/>
      <c r="F57" s="4"/>
      <c r="G57" s="266">
        <v>0</v>
      </c>
      <c r="H57" s="266">
        <v>0</v>
      </c>
      <c r="I57" s="32"/>
      <c r="J57" s="1" t="s">
        <v>5</v>
      </c>
      <c r="K57" s="32"/>
    </row>
    <row r="58" spans="1:11" ht="15.75">
      <c r="A58" s="161" t="s">
        <v>9</v>
      </c>
      <c r="B58" s="70" t="s">
        <v>8</v>
      </c>
      <c r="C58" s="925">
        <f>191037-13957</f>
        <v>177080</v>
      </c>
      <c r="D58" s="4">
        <f>+C58*9%</f>
        <v>15937.199999999999</v>
      </c>
      <c r="E58" s="4">
        <f>+D58</f>
        <v>15937.199999999999</v>
      </c>
      <c r="F58" s="4">
        <v>0</v>
      </c>
      <c r="G58" s="266">
        <v>1578</v>
      </c>
      <c r="H58" s="266">
        <v>0</v>
      </c>
      <c r="I58" s="32"/>
      <c r="J58" s="1" t="s">
        <v>5</v>
      </c>
      <c r="K58" s="32"/>
    </row>
    <row r="59" spans="1:11" ht="15.75">
      <c r="A59" s="160" t="s">
        <v>7</v>
      </c>
      <c r="B59" s="70" t="s">
        <v>6</v>
      </c>
      <c r="C59" s="925">
        <f>241100-7</f>
        <v>241093</v>
      </c>
      <c r="D59" s="4">
        <f>+C59*9%</f>
        <v>21698.37</v>
      </c>
      <c r="E59" s="4">
        <f t="shared" si="1"/>
        <v>21698.37</v>
      </c>
      <c r="F59" s="4" t="str">
        <f>IF(D59&gt;0," ",C59*18%)</f>
        <v xml:space="preserve"> </v>
      </c>
      <c r="G59" s="266">
        <v>7</v>
      </c>
      <c r="H59" s="266">
        <v>0</v>
      </c>
      <c r="I59" s="32"/>
      <c r="J59"/>
      <c r="K59"/>
    </row>
    <row r="60" spans="1:11" ht="15.75">
      <c r="A60" s="163" t="s">
        <v>5</v>
      </c>
      <c r="B60" s="70" t="s">
        <v>4</v>
      </c>
      <c r="C60" s="925">
        <v>0</v>
      </c>
      <c r="D60" s="4"/>
      <c r="E60" s="4"/>
      <c r="F60" s="4"/>
      <c r="G60" s="266">
        <v>0</v>
      </c>
      <c r="H60" s="266">
        <v>0</v>
      </c>
      <c r="I60" s="32"/>
      <c r="K60" s="32"/>
    </row>
    <row r="61" spans="1:11" ht="16.5" thickBot="1">
      <c r="A61" s="431"/>
      <c r="B61" s="432" t="s">
        <v>465</v>
      </c>
      <c r="C61" s="925">
        <v>0</v>
      </c>
      <c r="D61" s="4">
        <f>+C61*9%</f>
        <v>0</v>
      </c>
      <c r="E61" s="433">
        <f>+D61</f>
        <v>0</v>
      </c>
      <c r="F61" s="433"/>
      <c r="G61" s="266">
        <v>0</v>
      </c>
      <c r="H61" s="266">
        <v>0</v>
      </c>
      <c r="I61" s="32"/>
      <c r="K61"/>
    </row>
    <row r="62" spans="1:11" ht="16.5" thickBot="1">
      <c r="A62" s="12"/>
      <c r="B62" s="11" t="s">
        <v>3</v>
      </c>
      <c r="C62" s="10">
        <f>SUM(C9:C61)</f>
        <v>915758.98</v>
      </c>
      <c r="D62" s="10">
        <f>SUM(D9:D61)</f>
        <v>82418.308199999999</v>
      </c>
      <c r="E62" s="10">
        <f>SUM(E9:E61)</f>
        <v>82418.308199999999</v>
      </c>
      <c r="F62" s="494">
        <f>SUM(F9:F61)</f>
        <v>0</v>
      </c>
      <c r="G62" s="974">
        <f>+SUM(G9:G60)</f>
        <v>1585</v>
      </c>
      <c r="H62" s="975">
        <f>+SUM(H9:H60)</f>
        <v>0</v>
      </c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13" t="s">
        <v>1</v>
      </c>
      <c r="B64" s="43" t="s">
        <v>0</v>
      </c>
      <c r="C64" s="4"/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13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82418.308199999999</v>
      </c>
    </row>
    <row r="66" spans="1:10" ht="15.75">
      <c r="A66" s="1228" t="s">
        <v>361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+D62</f>
        <v>82418.308199999999</v>
      </c>
      <c r="E71" s="105">
        <f>+E62</f>
        <v>82418.308199999999</v>
      </c>
      <c r="F71" s="105">
        <v>0</v>
      </c>
    </row>
    <row r="72" spans="1:10" ht="15.75">
      <c r="A72" s="43" t="s">
        <v>103</v>
      </c>
      <c r="B72" s="43"/>
      <c r="C72" s="43">
        <f>+G62</f>
        <v>1585</v>
      </c>
      <c r="D72" s="106">
        <f>+C72*0.09</f>
        <v>142.65</v>
      </c>
      <c r="E72" s="106">
        <f>+C72*0.09</f>
        <v>142.65</v>
      </c>
      <c r="F72" s="106">
        <v>0</v>
      </c>
    </row>
    <row r="73" spans="1:10" ht="15.75">
      <c r="A73" s="43"/>
      <c r="B73" s="43"/>
      <c r="C73" s="43"/>
      <c r="D73" s="105">
        <f>SUM(D71:D72)</f>
        <v>82560.958199999994</v>
      </c>
      <c r="E73" s="105">
        <f>+D73</f>
        <v>82560.958199999994</v>
      </c>
      <c r="F73" s="105">
        <f>SUM(F71:F72)</f>
        <v>0</v>
      </c>
    </row>
    <row r="74" spans="1:10" ht="15.75">
      <c r="A74" s="1241" t="s">
        <v>104</v>
      </c>
      <c r="B74" s="1242"/>
      <c r="C74" s="1243"/>
      <c r="D74" s="108">
        <v>82565.320000000007</v>
      </c>
      <c r="E74" s="108">
        <f>+D74</f>
        <v>82565.320000000007</v>
      </c>
      <c r="F74" s="108">
        <v>0</v>
      </c>
      <c r="G74"/>
      <c r="H74"/>
      <c r="I74"/>
      <c r="J74" s="72"/>
    </row>
    <row r="75" spans="1:10" ht="15.75">
      <c r="A75" s="1250" t="s">
        <v>79</v>
      </c>
      <c r="B75" s="1251"/>
      <c r="C75" s="1252"/>
      <c r="D75" s="108">
        <f>+D73-D74</f>
        <v>-4.3618000000133179</v>
      </c>
      <c r="E75" s="107">
        <f>+E73-E74</f>
        <v>-4.3618000000133179</v>
      </c>
      <c r="F75" s="108">
        <f>IF(F71&gt;F74,F71,F74)</f>
        <v>0</v>
      </c>
      <c r="G75" s="1079">
        <f>+D75/9%</f>
        <v>-48.464444444592424</v>
      </c>
      <c r="H75" s="1"/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53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54"/>
      <c r="F79" s="1235"/>
    </row>
    <row r="80" spans="1:10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2935.71</v>
      </c>
      <c r="E81" s="108">
        <f>+D81</f>
        <v>2935.71</v>
      </c>
      <c r="F81" s="58">
        <v>0</v>
      </c>
      <c r="G81" s="32">
        <f>+D81/2</f>
        <v>1467.855</v>
      </c>
      <c r="H81" s="32">
        <f t="shared" ref="G81:I83" si="5">+E81/2</f>
        <v>1467.855</v>
      </c>
      <c r="I81" s="32">
        <f t="shared" si="5"/>
        <v>0</v>
      </c>
    </row>
    <row r="82" spans="1:9" ht="15.75">
      <c r="A82" s="1224" t="s">
        <v>83</v>
      </c>
      <c r="B82" s="1224"/>
      <c r="C82" s="1224"/>
      <c r="D82" s="105">
        <f>+C96</f>
        <v>0</v>
      </c>
      <c r="E82" s="105">
        <f>D82</f>
        <v>0</v>
      </c>
      <c r="F82" s="56">
        <v>0</v>
      </c>
      <c r="G82" s="32">
        <f t="shared" si="5"/>
        <v>0</v>
      </c>
      <c r="H82" s="32">
        <f t="shared" si="5"/>
        <v>0</v>
      </c>
      <c r="I82" s="32">
        <f t="shared" si="5"/>
        <v>0</v>
      </c>
    </row>
    <row r="83" spans="1:9" ht="15.75">
      <c r="A83" s="1215" t="s">
        <v>82</v>
      </c>
      <c r="B83" s="1215"/>
      <c r="C83" s="1215"/>
      <c r="D83" s="105">
        <f>+D81-D82</f>
        <v>2935.71</v>
      </c>
      <c r="E83" s="105">
        <f>+E81-E82</f>
        <v>2935.71</v>
      </c>
      <c r="F83" s="56">
        <f>+F81-F82</f>
        <v>0</v>
      </c>
      <c r="G83" s="32">
        <f t="shared" si="5"/>
        <v>1467.855</v>
      </c>
      <c r="H83" s="32">
        <f t="shared" si="5"/>
        <v>1467.855</v>
      </c>
      <c r="I83" s="32">
        <f t="shared" si="5"/>
        <v>0</v>
      </c>
    </row>
    <row r="84" spans="1:9">
      <c r="A84" s="135"/>
      <c r="H84" s="1"/>
    </row>
    <row r="85" spans="1:9">
      <c r="B85" s="145" t="s">
        <v>382</v>
      </c>
      <c r="C85" s="112"/>
      <c r="D85" s="112"/>
      <c r="E85" s="112"/>
      <c r="H85" s="1"/>
    </row>
    <row r="86" spans="1:9">
      <c r="B86" s="145"/>
      <c r="C86" s="145" t="s">
        <v>67</v>
      </c>
      <c r="D86" s="145" t="s">
        <v>155</v>
      </c>
      <c r="E86" s="145" t="s">
        <v>68</v>
      </c>
      <c r="H86" s="1"/>
    </row>
    <row r="87" spans="1:9">
      <c r="A87" s="1" t="s">
        <v>413</v>
      </c>
      <c r="B87" s="1" t="s">
        <v>102</v>
      </c>
      <c r="C87" s="1">
        <v>0</v>
      </c>
      <c r="D87" s="1">
        <f>+C87</f>
        <v>0</v>
      </c>
      <c r="E87" s="1">
        <v>0</v>
      </c>
      <c r="G87" s="32"/>
      <c r="H87" s="1"/>
    </row>
    <row r="88" spans="1:9">
      <c r="B88" s="1" t="s">
        <v>102</v>
      </c>
      <c r="C88" s="1">
        <v>0</v>
      </c>
      <c r="D88" s="1">
        <f t="shared" ref="D88:D95" si="6">+C88</f>
        <v>0</v>
      </c>
      <c r="G88" s="32"/>
      <c r="H88" s="1"/>
    </row>
    <row r="89" spans="1:9">
      <c r="B89" s="1" t="s">
        <v>789</v>
      </c>
      <c r="C89" s="1">
        <v>0</v>
      </c>
      <c r="D89" s="1">
        <f t="shared" si="6"/>
        <v>0</v>
      </c>
      <c r="G89" s="32"/>
      <c r="H89" s="1"/>
    </row>
    <row r="90" spans="1:9">
      <c r="B90" s="1" t="s">
        <v>789</v>
      </c>
      <c r="C90" s="1">
        <v>0</v>
      </c>
      <c r="D90" s="1">
        <f t="shared" si="6"/>
        <v>0</v>
      </c>
      <c r="G90" s="32"/>
      <c r="H90" s="1"/>
    </row>
    <row r="91" spans="1:9">
      <c r="B91" s="1" t="s">
        <v>789</v>
      </c>
      <c r="C91" s="1">
        <v>0</v>
      </c>
      <c r="D91" s="1">
        <f t="shared" si="6"/>
        <v>0</v>
      </c>
      <c r="G91" s="32"/>
      <c r="H91" s="1"/>
    </row>
    <row r="92" spans="1:9">
      <c r="A92" s="1" t="s">
        <v>413</v>
      </c>
      <c r="B92" s="1" t="s">
        <v>760</v>
      </c>
      <c r="C92" s="1">
        <v>0</v>
      </c>
      <c r="D92" s="1">
        <f t="shared" si="6"/>
        <v>0</v>
      </c>
      <c r="G92" s="32"/>
      <c r="H92" s="1"/>
    </row>
    <row r="93" spans="1:9">
      <c r="B93" s="1" t="s">
        <v>690</v>
      </c>
      <c r="C93" s="1">
        <v>0</v>
      </c>
      <c r="D93" s="1">
        <f t="shared" si="6"/>
        <v>0</v>
      </c>
      <c r="G93" s="32"/>
      <c r="H93" s="1"/>
    </row>
    <row r="94" spans="1:9">
      <c r="B94" s="1" t="s">
        <v>690</v>
      </c>
      <c r="C94" s="1">
        <v>0</v>
      </c>
      <c r="D94" s="1">
        <f t="shared" si="6"/>
        <v>0</v>
      </c>
      <c r="G94" s="32"/>
      <c r="H94" s="1"/>
    </row>
    <row r="95" spans="1:9">
      <c r="A95" s="1" t="s">
        <v>413</v>
      </c>
      <c r="B95" s="1" t="s">
        <v>678</v>
      </c>
      <c r="C95" s="1">
        <v>0</v>
      </c>
      <c r="D95" s="1">
        <f t="shared" si="6"/>
        <v>0</v>
      </c>
      <c r="E95" s="1">
        <v>0</v>
      </c>
      <c r="G95" s="32"/>
      <c r="H95" s="1"/>
    </row>
    <row r="96" spans="1:9">
      <c r="B96" s="141" t="s">
        <v>135</v>
      </c>
      <c r="C96" s="167">
        <f>+SUM(C87:C95)</f>
        <v>0</v>
      </c>
      <c r="D96" s="167">
        <f>+SUM(D87:D95)</f>
        <v>0</v>
      </c>
      <c r="E96" s="167">
        <f>+SUM(E87:E95)</f>
        <v>0</v>
      </c>
      <c r="G96" s="32">
        <f>+C96/2</f>
        <v>0</v>
      </c>
      <c r="H96" s="32">
        <f>+D96/2</f>
        <v>0</v>
      </c>
    </row>
    <row r="97" spans="1:8">
      <c r="B97" s="140"/>
      <c r="C97" s="140"/>
      <c r="D97" s="140"/>
      <c r="E97" s="140"/>
      <c r="H97" s="1"/>
    </row>
    <row r="105" spans="1:8">
      <c r="A105" s="1339"/>
      <c r="B105" s="1339"/>
      <c r="C105" s="1339"/>
      <c r="D105" s="1339"/>
      <c r="E105" s="1339"/>
      <c r="F105" s="1339"/>
      <c r="G105" s="1339"/>
      <c r="H105" s="1339"/>
    </row>
    <row r="106" spans="1:8">
      <c r="A106"/>
      <c r="B106"/>
      <c r="C106"/>
      <c r="D106"/>
      <c r="E106"/>
      <c r="F106"/>
      <c r="G106"/>
      <c r="H106"/>
    </row>
    <row r="107" spans="1:8">
      <c r="A107"/>
      <c r="B107"/>
      <c r="C107"/>
      <c r="D107"/>
      <c r="E107"/>
      <c r="F107"/>
      <c r="G107"/>
      <c r="H107"/>
    </row>
    <row r="108" spans="1:8">
      <c r="A108"/>
      <c r="B108"/>
      <c r="C108"/>
      <c r="D108"/>
      <c r="E108"/>
      <c r="F108"/>
      <c r="G108"/>
      <c r="H108"/>
    </row>
    <row r="109" spans="1:8">
      <c r="A109"/>
      <c r="B109"/>
      <c r="C109"/>
      <c r="D109"/>
      <c r="E109"/>
      <c r="F109"/>
      <c r="G109"/>
      <c r="H109"/>
    </row>
    <row r="110" spans="1:8">
      <c r="A110"/>
      <c r="B110"/>
      <c r="C110"/>
      <c r="D110"/>
      <c r="E110"/>
      <c r="F110"/>
      <c r="G110"/>
      <c r="H110"/>
    </row>
    <row r="111" spans="1:8">
      <c r="A111"/>
      <c r="B111"/>
      <c r="C111"/>
      <c r="D111"/>
      <c r="E111"/>
      <c r="F111"/>
      <c r="G111"/>
      <c r="H111"/>
    </row>
    <row r="112" spans="1:8">
      <c r="A112"/>
      <c r="B112"/>
      <c r="C112"/>
      <c r="D112"/>
      <c r="E112"/>
      <c r="F112"/>
      <c r="G112"/>
      <c r="H112"/>
    </row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</sheetData>
  <mergeCells count="28">
    <mergeCell ref="A105:H105"/>
    <mergeCell ref="A80:C80"/>
    <mergeCell ref="A81:C81"/>
    <mergeCell ref="A82:C82"/>
    <mergeCell ref="A83:C83"/>
    <mergeCell ref="D78:D79"/>
    <mergeCell ref="A78:C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1:C71"/>
    <mergeCell ref="E78:E79"/>
    <mergeCell ref="F78:F79"/>
    <mergeCell ref="A74:C74"/>
    <mergeCell ref="A75:C75"/>
    <mergeCell ref="G7:G8"/>
    <mergeCell ref="H7:H8"/>
    <mergeCell ref="A66:F66"/>
    <mergeCell ref="A69:C70"/>
    <mergeCell ref="D69:D70"/>
    <mergeCell ref="E69:E70"/>
    <mergeCell ref="F69:F70"/>
  </mergeCells>
  <conditionalFormatting sqref="A9:B21 G75 H75:XFD76 G77:XFD79 G81:XFD97 A98:XFD104 I105:XFD105 A106:XFD1048576">
    <cfRule type="containsText" dxfId="211" priority="38" operator="containsText" text="LESS COLLECTED">
      <formula>NOT(ISERROR(SEARCH("LESS COLLECTED",A9)))</formula>
    </cfRule>
  </conditionalFormatting>
  <conditionalFormatting sqref="A22:B34">
    <cfRule type="containsText" dxfId="210" priority="51" operator="containsText" text="LESS COLLECTED">
      <formula>NOT(ISERROR(SEARCH("LESS COLLECTED",A22)))</formula>
    </cfRule>
  </conditionalFormatting>
  <conditionalFormatting sqref="A28:B32">
    <cfRule type="containsText" dxfId="209" priority="50" operator="containsText" text="EXCESS COLLECTED">
      <formula>NOT(ISERROR(SEARCH("EXCESS COLLECTED",A28)))</formula>
    </cfRule>
  </conditionalFormatting>
  <conditionalFormatting sqref="A35:B56">
    <cfRule type="containsText" dxfId="208" priority="2" operator="containsText" text="LESS COLLECTED">
      <formula>NOT(ISERROR(SEARCH("LESS COLLECTED",A35)))</formula>
    </cfRule>
  </conditionalFormatting>
  <conditionalFormatting sqref="A47:B56">
    <cfRule type="containsText" dxfId="207" priority="1" operator="containsText" text="EXCESS COLLECTED">
      <formula>NOT(ISERROR(SEARCH("EXCESS COLLECTED",A47)))</formula>
    </cfRule>
  </conditionalFormatting>
  <conditionalFormatting sqref="A57:B61">
    <cfRule type="containsText" dxfId="206" priority="55" operator="containsText" text="LESS COLLECTED">
      <formula>NOT(ISERROR(SEARCH("LESS COLLECTED",A57)))</formula>
    </cfRule>
  </conditionalFormatting>
  <conditionalFormatting sqref="A63:F86 G84:I97 A97:B97 F97 A62:XFD62">
    <cfRule type="containsText" dxfId="205" priority="130" operator="containsText" text="LESS COLLECTED">
      <formula>NOT(ISERROR(SEARCH("LESS COLLECTED",A62)))</formula>
    </cfRule>
  </conditionalFormatting>
  <conditionalFormatting sqref="A85:F96">
    <cfRule type="containsText" dxfId="204" priority="24" operator="containsText" text="EXCESS COLLECTED">
      <formula>NOT(ISERROR(SEARCH("EXCESS COLLECTED",A85)))</formula>
    </cfRule>
  </conditionalFormatting>
  <conditionalFormatting sqref="A1:XFD3 A4 G4:XFD4 A5:XFD7 A8:F8 I8:XFD58 I59 L59:XFD59 I60:XFD61 I63:XFD63 J74:XFD74 I80:XFD80 A105">
    <cfRule type="containsText" dxfId="203" priority="141" operator="containsText" text="LESS COLLECTED">
      <formula>NOT(ISERROR(SEARCH("LESS COLLECTED",A1)))</formula>
    </cfRule>
  </conditionalFormatting>
  <conditionalFormatting sqref="B61">
    <cfRule type="containsText" dxfId="202" priority="54" operator="containsText" text="EXCESS COLLECTED">
      <formula>NOT(ISERROR(SEARCH("EXCESS COLLECTED",B61)))</formula>
    </cfRule>
  </conditionalFormatting>
  <conditionalFormatting sqref="C9:C61">
    <cfRule type="containsText" dxfId="201" priority="43" operator="containsText" text="LESS COLLECTED">
      <formula>NOT(ISERROR(SEARCH("LESS COLLECTED",C9)))</formula>
    </cfRule>
  </conditionalFormatting>
  <conditionalFormatting sqref="C9:C62">
    <cfRule type="containsText" dxfId="200" priority="42" operator="containsText" text="EXCESS COLLECTED">
      <formula>NOT(ISERROR(SEARCH("EXCESS COLLECTED",C9)))</formula>
    </cfRule>
  </conditionalFormatting>
  <conditionalFormatting sqref="D51">
    <cfRule type="containsText" dxfId="199" priority="10" operator="containsText" text="LESS COLLECTED">
      <formula>NOT(ISERROR(SEARCH("LESS COLLECTED",D51)))</formula>
    </cfRule>
  </conditionalFormatting>
  <conditionalFormatting sqref="D56:F56">
    <cfRule type="containsText" dxfId="198" priority="3" operator="containsText" text="EXCESS COLLECTED">
      <formula>NOT(ISERROR(SEARCH("EXCESS COLLECTED",D56)))</formula>
    </cfRule>
  </conditionalFormatting>
  <conditionalFormatting sqref="D9:H35">
    <cfRule type="containsText" dxfId="197" priority="13" operator="containsText" text="LESS COLLECTED">
      <formula>NOT(ISERROR(SEARCH("LESS COLLECTED",D9)))</formula>
    </cfRule>
  </conditionalFormatting>
  <conditionalFormatting sqref="D52:H55 D36:H50">
    <cfRule type="containsText" dxfId="196" priority="37" operator="containsText" text="LESS COLLECTED">
      <formula>NOT(ISERROR(SEARCH("LESS COLLECTED",D36)))</formula>
    </cfRule>
  </conditionalFormatting>
  <conditionalFormatting sqref="D56:H61">
    <cfRule type="containsText" dxfId="195" priority="6" operator="containsText" text="LESS COLLECTED">
      <formula>NOT(ISERROR(SEARCH("LESS COLLECTED",D56)))</formula>
    </cfRule>
  </conditionalFormatting>
  <conditionalFormatting sqref="E48:F55">
    <cfRule type="containsText" dxfId="194" priority="17" operator="containsText" text="EXCESS COLLECTED">
      <formula>NOT(ISERROR(SEARCH("EXCESS COLLECTED",E48)))</formula>
    </cfRule>
  </conditionalFormatting>
  <conditionalFormatting sqref="E53:F55">
    <cfRule type="containsText" dxfId="193" priority="35" operator="containsText" text="LESS COLLECTED">
      <formula>NOT(ISERROR(SEARCH("LESS COLLECTED",E53)))</formula>
    </cfRule>
  </conditionalFormatting>
  <conditionalFormatting sqref="E51:H51">
    <cfRule type="containsText" dxfId="192" priority="18" operator="containsText" text="LESS COLLECTED">
      <formula>NOT(ISERROR(SEARCH("LESS COLLECTED",E51)))</formula>
    </cfRule>
  </conditionalFormatting>
  <conditionalFormatting sqref="G84:I97 D69:E70 A72:F73 A97:B97 F97">
    <cfRule type="containsText" dxfId="191" priority="129" operator="containsText" text="EXCESS COLLECTED">
      <formula>NOT(ISERROR(SEARCH("EXCESS COLLECTED",A69)))</formula>
    </cfRule>
  </conditionalFormatting>
  <pageMargins left="1.155511811" right="1.1181102359999999" top="0.5" bottom="0.5" header="0.31496062992126" footer="0.31496062992126"/>
  <pageSetup paperSize="9" scale="50" orientation="portrait" r:id="rId1"/>
  <ignoredErrors>
    <ignoredError sqref="G62:H62" formulaRange="1"/>
    <ignoredError sqref="E73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rgb="FF92D050"/>
  </sheetPr>
  <dimension ref="A1:O98"/>
  <sheetViews>
    <sheetView topLeftCell="A71" workbookViewId="0">
      <selection activeCell="D75" sqref="D75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7.5703125" style="1" customWidth="1"/>
    <col min="4" max="4" width="20.28515625" style="1" customWidth="1"/>
    <col min="5" max="5" width="19.7109375" style="1" customWidth="1"/>
    <col min="6" max="6" width="14.85546875" style="1" customWidth="1"/>
    <col min="7" max="7" width="15" style="1" customWidth="1"/>
    <col min="8" max="8" width="12.5703125" style="32" customWidth="1"/>
    <col min="9" max="9" width="9.140625" style="1"/>
    <col min="10" max="10" width="17.8554687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99</v>
      </c>
      <c r="B3" s="1229"/>
      <c r="C3" s="1229"/>
      <c r="D3" s="1229"/>
      <c r="E3" s="1229"/>
      <c r="F3" s="1229"/>
    </row>
    <row r="4" spans="1:10" ht="15.75">
      <c r="A4" s="1229" t="s">
        <v>345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1198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595">
        <v>0</v>
      </c>
      <c r="H9" s="595">
        <v>0</v>
      </c>
      <c r="I9" s="595">
        <v>0</v>
      </c>
    </row>
    <row r="10" spans="1:10" ht="15.75">
      <c r="A10" s="31" t="s">
        <v>87</v>
      </c>
      <c r="B10" s="70" t="s">
        <v>61</v>
      </c>
      <c r="C10" s="1198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595">
        <v>0</v>
      </c>
      <c r="H10" s="595">
        <v>0</v>
      </c>
      <c r="I10" s="595">
        <v>0</v>
      </c>
      <c r="J10" s="1" t="s">
        <v>5</v>
      </c>
    </row>
    <row r="11" spans="1:10" ht="15.75">
      <c r="A11" s="13" t="s">
        <v>60</v>
      </c>
      <c r="B11" s="70" t="s">
        <v>59</v>
      </c>
      <c r="C11" s="1198">
        <v>0</v>
      </c>
      <c r="D11" s="4">
        <f>+C11*9%</f>
        <v>0</v>
      </c>
      <c r="E11" s="4">
        <f t="shared" ref="E11:E59" si="0">+D11</f>
        <v>0</v>
      </c>
      <c r="F11" s="4"/>
      <c r="G11" s="595">
        <v>0</v>
      </c>
      <c r="H11" s="595">
        <v>0</v>
      </c>
      <c r="I11" s="595">
        <v>0</v>
      </c>
    </row>
    <row r="12" spans="1:10" ht="15.75">
      <c r="A12" s="14" t="s">
        <v>58</v>
      </c>
      <c r="B12" s="70" t="s">
        <v>57</v>
      </c>
      <c r="C12" s="1198">
        <v>0</v>
      </c>
      <c r="D12" s="4">
        <f t="shared" ref="D12:D58" si="1">+C12*9%</f>
        <v>0</v>
      </c>
      <c r="E12" s="4">
        <f t="shared" si="0"/>
        <v>0</v>
      </c>
      <c r="F12" s="4">
        <f>IF(D12&gt;0," ",C12*18%)</f>
        <v>0</v>
      </c>
      <c r="G12" s="595">
        <v>0</v>
      </c>
      <c r="H12" s="595">
        <v>0</v>
      </c>
      <c r="I12" s="595">
        <v>0</v>
      </c>
    </row>
    <row r="13" spans="1:10" ht="15.75">
      <c r="A13" s="13" t="s">
        <v>56</v>
      </c>
      <c r="B13" s="70" t="s">
        <v>55</v>
      </c>
      <c r="C13" s="1200">
        <v>0</v>
      </c>
      <c r="D13" s="4">
        <f t="shared" si="1"/>
        <v>0</v>
      </c>
      <c r="E13" s="4">
        <f t="shared" si="0"/>
        <v>0</v>
      </c>
      <c r="F13" s="4">
        <f>IF(D13&gt;0," ",C13*18%)</f>
        <v>0</v>
      </c>
      <c r="G13" s="595">
        <v>0</v>
      </c>
      <c r="H13" s="595">
        <v>0</v>
      </c>
      <c r="I13" s="595">
        <v>0</v>
      </c>
    </row>
    <row r="14" spans="1:10" ht="15.75">
      <c r="A14" s="13" t="s">
        <v>54</v>
      </c>
      <c r="B14" s="70" t="s">
        <v>53</v>
      </c>
      <c r="C14" s="1201">
        <v>0</v>
      </c>
      <c r="D14" s="4">
        <f t="shared" si="1"/>
        <v>0</v>
      </c>
      <c r="E14" s="4">
        <f t="shared" si="0"/>
        <v>0</v>
      </c>
      <c r="F14" s="4">
        <v>0</v>
      </c>
      <c r="G14" s="595">
        <v>0</v>
      </c>
      <c r="H14" s="595">
        <v>0</v>
      </c>
      <c r="I14" s="595">
        <v>0</v>
      </c>
    </row>
    <row r="15" spans="1:10" ht="15.75">
      <c r="A15" s="13" t="s">
        <v>52</v>
      </c>
      <c r="B15" s="70" t="s">
        <v>51</v>
      </c>
      <c r="C15" s="1200">
        <v>120</v>
      </c>
      <c r="D15" s="367">
        <f>+C15*9%</f>
        <v>10.799999999999999</v>
      </c>
      <c r="E15" s="367">
        <f t="shared" si="0"/>
        <v>10.799999999999999</v>
      </c>
      <c r="F15" s="4">
        <v>0</v>
      </c>
      <c r="G15" s="595">
        <v>0</v>
      </c>
      <c r="H15" s="595">
        <v>0</v>
      </c>
      <c r="I15" s="595">
        <v>0</v>
      </c>
    </row>
    <row r="16" spans="1:10" ht="15.75">
      <c r="A16" s="14" t="s">
        <v>50</v>
      </c>
      <c r="B16" s="70" t="s">
        <v>49</v>
      </c>
      <c r="C16" s="1200">
        <v>0</v>
      </c>
      <c r="D16" s="367">
        <f t="shared" si="1"/>
        <v>0</v>
      </c>
      <c r="E16" s="367">
        <f t="shared" si="0"/>
        <v>0</v>
      </c>
      <c r="F16" s="4">
        <f>IF(D16&gt;0," ",C16*18%)</f>
        <v>0</v>
      </c>
      <c r="G16" s="595">
        <v>0</v>
      </c>
      <c r="H16" s="595">
        <v>0</v>
      </c>
      <c r="I16" s="595">
        <v>0</v>
      </c>
    </row>
    <row r="17" spans="1:15" ht="15.75">
      <c r="A17" s="14" t="s">
        <v>48</v>
      </c>
      <c r="B17" s="70" t="s">
        <v>47</v>
      </c>
      <c r="C17" s="1200">
        <v>0</v>
      </c>
      <c r="D17" s="367">
        <f t="shared" si="1"/>
        <v>0</v>
      </c>
      <c r="E17" s="367">
        <f t="shared" si="0"/>
        <v>0</v>
      </c>
      <c r="F17" s="4">
        <f>IF(D17&gt;0," ",C17*18%)</f>
        <v>0</v>
      </c>
      <c r="G17" s="595">
        <v>0</v>
      </c>
      <c r="H17" s="595">
        <v>0</v>
      </c>
      <c r="I17" s="595">
        <v>0</v>
      </c>
    </row>
    <row r="18" spans="1:15" ht="15.75">
      <c r="A18" s="14" t="s">
        <v>46</v>
      </c>
      <c r="B18" s="70" t="s">
        <v>45</v>
      </c>
      <c r="C18" s="1200">
        <v>0</v>
      </c>
      <c r="D18" s="367">
        <f t="shared" si="1"/>
        <v>0</v>
      </c>
      <c r="E18" s="367">
        <f t="shared" si="0"/>
        <v>0</v>
      </c>
      <c r="F18" s="4">
        <f>IF(D18&gt;0," ",C18*18%)</f>
        <v>0</v>
      </c>
      <c r="G18" s="595">
        <v>0</v>
      </c>
      <c r="H18" s="595">
        <v>0</v>
      </c>
      <c r="I18" s="595">
        <v>0</v>
      </c>
    </row>
    <row r="19" spans="1:15" ht="15.75">
      <c r="A19" s="13" t="s">
        <v>44</v>
      </c>
      <c r="B19" s="70" t="s">
        <v>43</v>
      </c>
      <c r="C19" s="1200">
        <v>34250</v>
      </c>
      <c r="D19" s="367">
        <f t="shared" si="1"/>
        <v>3082.5</v>
      </c>
      <c r="E19" s="367">
        <f t="shared" si="0"/>
        <v>3082.5</v>
      </c>
      <c r="F19" s="4">
        <v>0</v>
      </c>
      <c r="G19" s="595">
        <v>0</v>
      </c>
      <c r="H19" s="595">
        <v>0</v>
      </c>
      <c r="I19" s="595">
        <v>0</v>
      </c>
    </row>
    <row r="20" spans="1:15" ht="15.75">
      <c r="A20" s="13">
        <v>3271</v>
      </c>
      <c r="B20" s="70" t="s">
        <v>533</v>
      </c>
      <c r="C20" s="1200">
        <v>1000</v>
      </c>
      <c r="D20" s="367">
        <f t="shared" si="1"/>
        <v>90</v>
      </c>
      <c r="E20" s="367">
        <f t="shared" si="0"/>
        <v>90</v>
      </c>
      <c r="F20" s="4"/>
      <c r="G20" s="595">
        <v>0</v>
      </c>
      <c r="H20" s="595">
        <v>0</v>
      </c>
      <c r="I20" s="595">
        <v>0</v>
      </c>
    </row>
    <row r="21" spans="1:15" ht="15.75">
      <c r="A21" s="13">
        <v>3274</v>
      </c>
      <c r="B21" s="70" t="s">
        <v>554</v>
      </c>
      <c r="C21" s="1200">
        <v>0</v>
      </c>
      <c r="D21" s="367">
        <f t="shared" si="1"/>
        <v>0</v>
      </c>
      <c r="E21" s="367">
        <f t="shared" si="0"/>
        <v>0</v>
      </c>
      <c r="F21" s="4"/>
      <c r="G21" s="595">
        <v>0</v>
      </c>
      <c r="H21" s="595">
        <v>0</v>
      </c>
      <c r="I21" s="595">
        <v>0</v>
      </c>
    </row>
    <row r="22" spans="1:15" ht="15.75">
      <c r="A22" s="17" t="s">
        <v>42</v>
      </c>
      <c r="B22" s="70" t="s">
        <v>41</v>
      </c>
      <c r="C22" s="1200">
        <v>0</v>
      </c>
      <c r="D22" s="367">
        <f t="shared" si="1"/>
        <v>0</v>
      </c>
      <c r="E22" s="367">
        <f t="shared" si="0"/>
        <v>0</v>
      </c>
      <c r="F22" s="4">
        <f>IF(D22&gt;0," ",C22*18%)</f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1200">
        <v>0</v>
      </c>
      <c r="D23" s="367">
        <f t="shared" si="1"/>
        <v>0</v>
      </c>
      <c r="E23" s="367">
        <f t="shared" si="0"/>
        <v>0</v>
      </c>
      <c r="F23" s="4">
        <f>IF(D23&gt;0," ",C23*18%)</f>
        <v>0</v>
      </c>
      <c r="G23" s="595">
        <v>0</v>
      </c>
      <c r="H23" s="595">
        <v>0</v>
      </c>
      <c r="I23" s="595">
        <v>0</v>
      </c>
    </row>
    <row r="24" spans="1:15" ht="15.75">
      <c r="A24" s="14" t="s">
        <v>38</v>
      </c>
      <c r="B24" s="70" t="s">
        <v>37</v>
      </c>
      <c r="C24" s="1200">
        <v>0</v>
      </c>
      <c r="D24" s="367">
        <f>+C24*9%</f>
        <v>0</v>
      </c>
      <c r="E24" s="367">
        <f t="shared" si="0"/>
        <v>0</v>
      </c>
      <c r="F24" s="4" t="s">
        <v>5</v>
      </c>
      <c r="G24" s="595">
        <v>0</v>
      </c>
      <c r="H24" s="595">
        <v>0</v>
      </c>
      <c r="I24" s="595">
        <v>0</v>
      </c>
    </row>
    <row r="25" spans="1:15" ht="15.75">
      <c r="A25" s="16" t="s">
        <v>36</v>
      </c>
      <c r="B25" s="70" t="s">
        <v>35</v>
      </c>
      <c r="C25" s="1200">
        <v>0</v>
      </c>
      <c r="D25" s="367">
        <f>+C25*9%</f>
        <v>0</v>
      </c>
      <c r="E25" s="367">
        <f>+D25</f>
        <v>0</v>
      </c>
      <c r="F25" s="4"/>
      <c r="G25" s="595">
        <v>0</v>
      </c>
      <c r="H25" s="595">
        <v>0</v>
      </c>
      <c r="I25" s="595">
        <v>0</v>
      </c>
    </row>
    <row r="26" spans="1:15" ht="15.75">
      <c r="A26" s="16" t="s">
        <v>34</v>
      </c>
      <c r="B26" s="70" t="s">
        <v>33</v>
      </c>
      <c r="C26" s="1200">
        <v>0</v>
      </c>
      <c r="D26" s="367">
        <f t="shared" si="1"/>
        <v>0</v>
      </c>
      <c r="E26" s="367">
        <f t="shared" si="0"/>
        <v>0</v>
      </c>
      <c r="F26" s="4"/>
      <c r="G26" s="595">
        <v>0</v>
      </c>
      <c r="H26" s="595">
        <v>0</v>
      </c>
      <c r="I26" s="595">
        <v>0</v>
      </c>
    </row>
    <row r="27" spans="1:15" ht="15.75">
      <c r="A27" s="16" t="s">
        <v>32</v>
      </c>
      <c r="B27" s="70" t="s">
        <v>31</v>
      </c>
      <c r="C27" s="1200">
        <v>0</v>
      </c>
      <c r="D27" s="367">
        <f t="shared" si="1"/>
        <v>0</v>
      </c>
      <c r="E27" s="367">
        <f t="shared" si="0"/>
        <v>0</v>
      </c>
      <c r="F27" s="4">
        <f t="shared" ref="F27:F32" si="2">IF(D27&gt;0," ",C27*18%)</f>
        <v>0</v>
      </c>
      <c r="G27" s="595">
        <v>0</v>
      </c>
      <c r="H27" s="595">
        <v>0</v>
      </c>
      <c r="I27" s="595">
        <v>0</v>
      </c>
    </row>
    <row r="28" spans="1:15" ht="15.75">
      <c r="A28" s="137">
        <v>3291</v>
      </c>
      <c r="B28" s="33" t="s">
        <v>325</v>
      </c>
      <c r="C28" s="1200">
        <v>0</v>
      </c>
      <c r="D28" s="367">
        <f t="shared" ref="D28:D33" si="3">+C28*9%</f>
        <v>0</v>
      </c>
      <c r="E28" s="367">
        <f>+D28</f>
        <v>0</v>
      </c>
      <c r="F28" s="4">
        <f t="shared" si="2"/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1200">
        <v>5020</v>
      </c>
      <c r="D29" s="367">
        <f t="shared" si="3"/>
        <v>451.8</v>
      </c>
      <c r="E29" s="367">
        <f>+D29</f>
        <v>451.8</v>
      </c>
      <c r="F29" s="4" t="str">
        <f t="shared" si="2"/>
        <v xml:space="preserve"> </v>
      </c>
      <c r="G29" s="595"/>
      <c r="H29" s="595"/>
      <c r="I29" s="595">
        <v>0</v>
      </c>
      <c r="J29" s="32"/>
    </row>
    <row r="30" spans="1:15" ht="15.75">
      <c r="A30" s="137" t="s">
        <v>527</v>
      </c>
      <c r="B30" s="33" t="s">
        <v>524</v>
      </c>
      <c r="C30" s="1200">
        <v>2860</v>
      </c>
      <c r="D30" s="367">
        <f t="shared" si="3"/>
        <v>257.39999999999998</v>
      </c>
      <c r="E30" s="367">
        <f>+D30</f>
        <v>257.39999999999998</v>
      </c>
      <c r="F30" s="4" t="str">
        <f t="shared" si="2"/>
        <v xml:space="preserve"> </v>
      </c>
      <c r="G30" s="595">
        <v>0</v>
      </c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1200">
        <v>500</v>
      </c>
      <c r="D31" s="367">
        <f t="shared" si="3"/>
        <v>45</v>
      </c>
      <c r="E31" s="367">
        <f>+D31</f>
        <v>45</v>
      </c>
      <c r="F31" s="4" t="str">
        <f t="shared" si="2"/>
        <v xml:space="preserve"> 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1200">
        <v>0</v>
      </c>
      <c r="D32" s="367">
        <f t="shared" si="3"/>
        <v>0</v>
      </c>
      <c r="E32" s="367">
        <f>+D32</f>
        <v>0</v>
      </c>
      <c r="F32" s="4">
        <f t="shared" si="2"/>
        <v>0</v>
      </c>
      <c r="G32" s="595">
        <v>0</v>
      </c>
      <c r="H32" s="595">
        <v>0</v>
      </c>
      <c r="I32" s="595">
        <v>0</v>
      </c>
      <c r="J32" s="269"/>
    </row>
    <row r="33" spans="1:10" ht="15.75">
      <c r="A33" s="13" t="s">
        <v>30</v>
      </c>
      <c r="B33" s="70" t="s">
        <v>29</v>
      </c>
      <c r="C33" s="1200">
        <v>267150.5</v>
      </c>
      <c r="D33" s="367">
        <f t="shared" si="3"/>
        <v>24043.544999999998</v>
      </c>
      <c r="E33" s="367">
        <f t="shared" si="0"/>
        <v>24043.544999999998</v>
      </c>
      <c r="F33" s="4">
        <v>0</v>
      </c>
      <c r="G33" s="595">
        <v>0</v>
      </c>
      <c r="H33" s="595">
        <v>0</v>
      </c>
      <c r="I33" s="595">
        <v>0</v>
      </c>
    </row>
    <row r="34" spans="1:10" ht="15.75">
      <c r="A34" s="14" t="s">
        <v>401</v>
      </c>
      <c r="B34" s="70" t="s">
        <v>154</v>
      </c>
      <c r="C34" s="1200">
        <v>0</v>
      </c>
      <c r="D34" s="367">
        <f t="shared" si="1"/>
        <v>0</v>
      </c>
      <c r="E34" s="367">
        <f t="shared" si="0"/>
        <v>0</v>
      </c>
      <c r="F34" s="4">
        <f t="shared" ref="F34:F42" si="4">IF(D34&gt;0," ",C34*18%)</f>
        <v>0</v>
      </c>
      <c r="G34" s="595">
        <v>0</v>
      </c>
      <c r="H34" s="595">
        <v>0</v>
      </c>
      <c r="I34" s="595">
        <v>0</v>
      </c>
    </row>
    <row r="35" spans="1:10" ht="15.75">
      <c r="A35" s="13">
        <v>3302</v>
      </c>
      <c r="B35" s="70" t="s">
        <v>525</v>
      </c>
      <c r="C35" s="1200">
        <v>0</v>
      </c>
      <c r="D35" s="367">
        <f>+C35*9%</f>
        <v>0</v>
      </c>
      <c r="E35" s="367">
        <f>+D35</f>
        <v>0</v>
      </c>
      <c r="F35" s="4">
        <f t="shared" si="4"/>
        <v>0</v>
      </c>
      <c r="G35" s="595">
        <v>0</v>
      </c>
      <c r="H35" s="595">
        <v>0</v>
      </c>
      <c r="I35" s="595">
        <v>0</v>
      </c>
    </row>
    <row r="36" spans="1:10" ht="15.75">
      <c r="A36" s="14" t="s">
        <v>28</v>
      </c>
      <c r="B36" s="70" t="s">
        <v>27</v>
      </c>
      <c r="C36" s="1200">
        <v>0</v>
      </c>
      <c r="D36" s="367">
        <f t="shared" si="1"/>
        <v>0</v>
      </c>
      <c r="E36" s="367">
        <f t="shared" si="0"/>
        <v>0</v>
      </c>
      <c r="F36" s="4">
        <f t="shared" si="4"/>
        <v>0</v>
      </c>
      <c r="G36" s="595">
        <v>0</v>
      </c>
      <c r="H36" s="595">
        <v>0</v>
      </c>
      <c r="I36" s="595">
        <v>0</v>
      </c>
    </row>
    <row r="37" spans="1:10" ht="16.5" customHeight="1">
      <c r="A37" s="16" t="s">
        <v>114</v>
      </c>
      <c r="B37" s="70" t="s">
        <v>115</v>
      </c>
      <c r="C37" s="1200">
        <v>0</v>
      </c>
      <c r="D37" s="367">
        <f t="shared" si="1"/>
        <v>0</v>
      </c>
      <c r="E37" s="367">
        <f t="shared" si="0"/>
        <v>0</v>
      </c>
      <c r="F37" s="4">
        <f t="shared" si="4"/>
        <v>0</v>
      </c>
      <c r="G37" s="595">
        <v>0</v>
      </c>
      <c r="H37" s="595">
        <v>0</v>
      </c>
      <c r="I37" s="595">
        <v>0</v>
      </c>
    </row>
    <row r="38" spans="1:10" ht="15.75">
      <c r="A38" s="14" t="s">
        <v>26</v>
      </c>
      <c r="B38" s="70" t="s">
        <v>25</v>
      </c>
      <c r="C38" s="1200">
        <v>924.7</v>
      </c>
      <c r="D38" s="367">
        <f t="shared" si="1"/>
        <v>83.222999999999999</v>
      </c>
      <c r="E38" s="367">
        <f t="shared" si="0"/>
        <v>83.222999999999999</v>
      </c>
      <c r="F38" s="4" t="str">
        <f t="shared" si="4"/>
        <v xml:space="preserve"> </v>
      </c>
      <c r="G38" s="595">
        <v>0</v>
      </c>
      <c r="H38" s="595">
        <v>0</v>
      </c>
      <c r="I38" s="595">
        <v>0</v>
      </c>
      <c r="J38" s="32"/>
    </row>
    <row r="39" spans="1:10" ht="15.75">
      <c r="A39" s="14" t="s">
        <v>24</v>
      </c>
      <c r="B39" s="70" t="s">
        <v>23</v>
      </c>
      <c r="C39" s="1200">
        <v>4200</v>
      </c>
      <c r="D39" s="367">
        <f t="shared" si="1"/>
        <v>378</v>
      </c>
      <c r="E39" s="367">
        <f t="shared" si="0"/>
        <v>378</v>
      </c>
      <c r="F39" s="4" t="str">
        <f t="shared" si="4"/>
        <v xml:space="preserve"> </v>
      </c>
      <c r="G39" s="595">
        <v>0</v>
      </c>
      <c r="H39" s="595">
        <v>0</v>
      </c>
      <c r="I39" s="595">
        <v>0</v>
      </c>
    </row>
    <row r="40" spans="1:10" ht="15.75">
      <c r="A40" s="13" t="s">
        <v>22</v>
      </c>
      <c r="B40" s="70" t="s">
        <v>21</v>
      </c>
      <c r="C40" s="1200">
        <v>16000</v>
      </c>
      <c r="D40" s="367">
        <f t="shared" si="1"/>
        <v>1440</v>
      </c>
      <c r="E40" s="367">
        <f t="shared" si="0"/>
        <v>1440</v>
      </c>
      <c r="F40" s="4" t="str">
        <f t="shared" si="4"/>
        <v xml:space="preserve"> </v>
      </c>
      <c r="G40" s="595">
        <v>0</v>
      </c>
      <c r="H40" s="595"/>
      <c r="I40" s="595">
        <v>0</v>
      </c>
    </row>
    <row r="41" spans="1:10" ht="15.75">
      <c r="A41" s="13" t="s">
        <v>20</v>
      </c>
      <c r="B41" s="70" t="s">
        <v>19</v>
      </c>
      <c r="C41" s="1200">
        <v>6750</v>
      </c>
      <c r="D41" s="367">
        <f t="shared" si="1"/>
        <v>607.5</v>
      </c>
      <c r="E41" s="367">
        <f t="shared" si="0"/>
        <v>607.5</v>
      </c>
      <c r="F41" s="4" t="str">
        <f t="shared" si="4"/>
        <v xml:space="preserve"> </v>
      </c>
      <c r="G41" s="595">
        <v>0</v>
      </c>
      <c r="H41" s="595">
        <v>0</v>
      </c>
      <c r="I41" s="595">
        <v>0</v>
      </c>
    </row>
    <row r="42" spans="1:10" ht="15.75">
      <c r="A42" s="14" t="s">
        <v>18</v>
      </c>
      <c r="B42" s="70" t="s">
        <v>17</v>
      </c>
      <c r="C42" s="1200">
        <v>18660</v>
      </c>
      <c r="D42" s="367">
        <f t="shared" si="1"/>
        <v>1679.3999999999999</v>
      </c>
      <c r="E42" s="367">
        <f t="shared" si="0"/>
        <v>1679.3999999999999</v>
      </c>
      <c r="F42" s="4" t="str">
        <f t="shared" si="4"/>
        <v xml:space="preserve"> </v>
      </c>
      <c r="G42" s="595">
        <v>0</v>
      </c>
      <c r="H42" s="595">
        <v>0</v>
      </c>
      <c r="I42" s="595">
        <v>0</v>
      </c>
    </row>
    <row r="43" spans="1:10" ht="15.75">
      <c r="A43" s="14" t="s">
        <v>16</v>
      </c>
      <c r="B43" s="70" t="s">
        <v>15</v>
      </c>
      <c r="C43" s="1200">
        <v>12600</v>
      </c>
      <c r="D43" s="367">
        <f t="shared" si="1"/>
        <v>1134</v>
      </c>
      <c r="E43" s="367">
        <f t="shared" si="0"/>
        <v>1134</v>
      </c>
      <c r="F43" s="4">
        <v>0</v>
      </c>
      <c r="G43" s="595">
        <v>0</v>
      </c>
      <c r="H43" s="595">
        <v>0</v>
      </c>
      <c r="I43" s="595">
        <v>0</v>
      </c>
    </row>
    <row r="44" spans="1:10" ht="15.75">
      <c r="A44" s="14" t="s">
        <v>14</v>
      </c>
      <c r="B44" s="70" t="s">
        <v>13</v>
      </c>
      <c r="C44" s="1200">
        <v>1468</v>
      </c>
      <c r="D44" s="367">
        <f t="shared" si="1"/>
        <v>132.12</v>
      </c>
      <c r="E44" s="367">
        <f t="shared" si="0"/>
        <v>132.12</v>
      </c>
      <c r="F44" s="4" t="str">
        <f>IF(D44&gt;0," ",C44*18%)</f>
        <v xml:space="preserve"> </v>
      </c>
      <c r="G44" s="595"/>
      <c r="H44" s="595">
        <v>0</v>
      </c>
      <c r="I44" s="595">
        <v>0</v>
      </c>
    </row>
    <row r="45" spans="1:10" ht="15.75">
      <c r="A45" s="14" t="s">
        <v>396</v>
      </c>
      <c r="B45" s="70" t="s">
        <v>286</v>
      </c>
      <c r="C45" s="1200">
        <v>0</v>
      </c>
      <c r="D45" s="367">
        <f t="shared" si="1"/>
        <v>0</v>
      </c>
      <c r="E45" s="367">
        <f t="shared" si="0"/>
        <v>0</v>
      </c>
      <c r="F45" s="4">
        <f>IF(D45&gt;0," ",C45*18%)</f>
        <v>0</v>
      </c>
      <c r="G45" s="595">
        <v>0</v>
      </c>
      <c r="H45" s="595">
        <v>0</v>
      </c>
      <c r="I45" s="595">
        <v>0</v>
      </c>
    </row>
    <row r="46" spans="1:10" ht="15.75">
      <c r="A46" s="14" t="s">
        <v>12</v>
      </c>
      <c r="B46" s="70" t="s">
        <v>11</v>
      </c>
      <c r="C46" s="1200">
        <v>0</v>
      </c>
      <c r="D46" s="367">
        <f t="shared" si="1"/>
        <v>0</v>
      </c>
      <c r="E46" s="367">
        <f t="shared" si="0"/>
        <v>0</v>
      </c>
      <c r="F46" s="4">
        <f>IF(D46&gt;0," ",C46*18%)</f>
        <v>0</v>
      </c>
      <c r="G46" s="595">
        <v>0</v>
      </c>
      <c r="H46" s="595">
        <v>0</v>
      </c>
      <c r="I46" s="595">
        <v>0</v>
      </c>
    </row>
    <row r="47" spans="1:10" ht="15.75">
      <c r="A47" s="14" t="s">
        <v>397</v>
      </c>
      <c r="B47" s="70" t="s">
        <v>290</v>
      </c>
      <c r="C47" s="1200">
        <v>0</v>
      </c>
      <c r="D47" s="367">
        <f t="shared" si="1"/>
        <v>0</v>
      </c>
      <c r="E47" s="367">
        <f t="shared" si="0"/>
        <v>0</v>
      </c>
      <c r="F47" s="4">
        <f>IF(D47&gt;0," ",C47*18%)</f>
        <v>0</v>
      </c>
      <c r="G47" s="595">
        <v>0</v>
      </c>
      <c r="H47" s="595">
        <v>0</v>
      </c>
      <c r="I47" s="595">
        <v>0</v>
      </c>
    </row>
    <row r="48" spans="1:10" ht="15.75">
      <c r="A48" s="14" t="s">
        <v>398</v>
      </c>
      <c r="B48" s="70" t="s">
        <v>156</v>
      </c>
      <c r="C48" s="1200">
        <v>0</v>
      </c>
      <c r="D48" s="367">
        <f t="shared" si="1"/>
        <v>0</v>
      </c>
      <c r="E48" s="367">
        <f t="shared" si="0"/>
        <v>0</v>
      </c>
      <c r="F48" s="4">
        <f>IF(D48&gt;0," ",C48*18%)</f>
        <v>0</v>
      </c>
      <c r="G48" s="595">
        <v>0</v>
      </c>
      <c r="H48" s="595">
        <v>0</v>
      </c>
      <c r="I48" s="595">
        <v>0</v>
      </c>
    </row>
    <row r="49" spans="1:11" ht="15.75">
      <c r="A49" s="14" t="s">
        <v>399</v>
      </c>
      <c r="B49" s="70" t="s">
        <v>335</v>
      </c>
      <c r="C49" s="1200">
        <v>0</v>
      </c>
      <c r="D49" s="367">
        <f t="shared" si="1"/>
        <v>0</v>
      </c>
      <c r="E49" s="367">
        <f>+D49</f>
        <v>0</v>
      </c>
      <c r="F49" s="4"/>
      <c r="G49" s="595">
        <v>0</v>
      </c>
      <c r="H49" s="595">
        <v>0</v>
      </c>
      <c r="I49" s="595">
        <v>0</v>
      </c>
    </row>
    <row r="50" spans="1:11" ht="15.75">
      <c r="A50" s="161">
        <v>3324</v>
      </c>
      <c r="B50" s="70" t="s">
        <v>438</v>
      </c>
      <c r="C50" s="1200">
        <v>0</v>
      </c>
      <c r="D50" s="367">
        <f t="shared" si="1"/>
        <v>0</v>
      </c>
      <c r="E50" s="367">
        <f>+D50</f>
        <v>0</v>
      </c>
      <c r="F50" s="4"/>
      <c r="G50" s="595">
        <v>0</v>
      </c>
      <c r="H50" s="595">
        <v>0</v>
      </c>
      <c r="I50" s="595">
        <v>0</v>
      </c>
    </row>
    <row r="51" spans="1:11" ht="15.75">
      <c r="A51" s="161">
        <v>3325</v>
      </c>
      <c r="B51" s="70" t="s">
        <v>606</v>
      </c>
      <c r="C51" s="1200">
        <v>0</v>
      </c>
      <c r="D51" s="367">
        <f>+C51*2.5%</f>
        <v>0</v>
      </c>
      <c r="E51" s="367">
        <f>+D51</f>
        <v>0</v>
      </c>
      <c r="F51" s="4">
        <f>IF(D51&gt;0," ",C51*18%)</f>
        <v>0</v>
      </c>
      <c r="G51" s="595">
        <v>0</v>
      </c>
      <c r="H51" s="595">
        <v>0</v>
      </c>
      <c r="I51" s="595">
        <v>0</v>
      </c>
    </row>
    <row r="52" spans="1:11" ht="15.75">
      <c r="A52" s="14" t="s">
        <v>400</v>
      </c>
      <c r="B52" s="70" t="s">
        <v>300</v>
      </c>
      <c r="C52" s="1200">
        <v>36706.25</v>
      </c>
      <c r="D52" s="367">
        <f t="shared" si="1"/>
        <v>3303.5625</v>
      </c>
      <c r="E52" s="367">
        <f t="shared" si="0"/>
        <v>3303.5625</v>
      </c>
      <c r="F52" s="4"/>
      <c r="G52" s="595">
        <v>0</v>
      </c>
      <c r="H52" s="595">
        <v>0</v>
      </c>
      <c r="I52" s="595">
        <v>0</v>
      </c>
    </row>
    <row r="53" spans="1:11" ht="15.75">
      <c r="A53" s="14">
        <v>3359</v>
      </c>
      <c r="B53" s="70" t="s">
        <v>683</v>
      </c>
      <c r="C53" s="1200">
        <v>0</v>
      </c>
      <c r="D53" s="367">
        <f>+C53*9%</f>
        <v>0</v>
      </c>
      <c r="E53" s="367">
        <f>+D53</f>
        <v>0</v>
      </c>
      <c r="F53" s="4"/>
      <c r="G53" s="266">
        <v>0</v>
      </c>
      <c r="H53" s="266">
        <v>0</v>
      </c>
      <c r="I53" s="266">
        <v>0</v>
      </c>
    </row>
    <row r="54" spans="1:11" ht="15.75">
      <c r="A54" s="14">
        <v>3825</v>
      </c>
      <c r="B54" s="70" t="s">
        <v>646</v>
      </c>
      <c r="C54" s="1198">
        <v>0</v>
      </c>
      <c r="D54" s="367">
        <f>+C54*9%</f>
        <v>0</v>
      </c>
      <c r="E54" s="367">
        <f>+D54</f>
        <v>0</v>
      </c>
      <c r="F54" s="4"/>
      <c r="G54" s="266">
        <v>0</v>
      </c>
      <c r="H54" s="266">
        <v>0</v>
      </c>
      <c r="I54" s="266">
        <v>0</v>
      </c>
    </row>
    <row r="55" spans="1:11" ht="15.75">
      <c r="A55" s="14">
        <v>3362</v>
      </c>
      <c r="B55" s="70" t="s">
        <v>739</v>
      </c>
      <c r="C55" s="1198">
        <v>0</v>
      </c>
      <c r="D55" s="367">
        <f>+C55*9%</f>
        <v>0</v>
      </c>
      <c r="E55" s="367">
        <f>+D55</f>
        <v>0</v>
      </c>
      <c r="F55" s="4"/>
      <c r="G55" s="595">
        <v>0</v>
      </c>
      <c r="H55" s="595">
        <v>0</v>
      </c>
      <c r="I55" s="595">
        <v>0</v>
      </c>
    </row>
    <row r="56" spans="1:11" ht="15.75">
      <c r="A56" s="14">
        <v>3340</v>
      </c>
      <c r="B56" s="70" t="s">
        <v>785</v>
      </c>
      <c r="C56" s="1198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11" ht="15.75">
      <c r="A57" s="15" t="s">
        <v>10</v>
      </c>
      <c r="B57" s="70"/>
      <c r="C57" s="925"/>
      <c r="D57" s="367"/>
      <c r="E57" s="367"/>
      <c r="F57" s="4"/>
      <c r="G57" s="595">
        <v>0</v>
      </c>
      <c r="H57" s="595">
        <v>0</v>
      </c>
      <c r="I57" s="595">
        <v>0</v>
      </c>
    </row>
    <row r="58" spans="1:11" ht="15.75">
      <c r="A58" s="14" t="s">
        <v>9</v>
      </c>
      <c r="B58" s="70" t="s">
        <v>8</v>
      </c>
      <c r="C58" s="925"/>
      <c r="D58" s="367">
        <f t="shared" si="1"/>
        <v>0</v>
      </c>
      <c r="E58" s="367">
        <f t="shared" si="0"/>
        <v>0</v>
      </c>
      <c r="F58" s="4">
        <v>0</v>
      </c>
      <c r="G58" s="595"/>
      <c r="H58" s="595">
        <v>0</v>
      </c>
      <c r="I58" s="595">
        <v>0</v>
      </c>
    </row>
    <row r="59" spans="1:11" ht="15.75">
      <c r="A59" s="13" t="s">
        <v>7</v>
      </c>
      <c r="B59" s="70" t="s">
        <v>6</v>
      </c>
      <c r="C59" s="925">
        <v>0</v>
      </c>
      <c r="D59" s="367">
        <f>+C59*9%</f>
        <v>0</v>
      </c>
      <c r="E59" s="367">
        <f t="shared" si="0"/>
        <v>0</v>
      </c>
      <c r="F59" s="4">
        <f>IF(D59&gt;0," ",C59*18%)</f>
        <v>0</v>
      </c>
      <c r="G59" s="595">
        <v>0</v>
      </c>
      <c r="H59" s="595">
        <v>0</v>
      </c>
      <c r="I59" s="595">
        <v>0</v>
      </c>
    </row>
    <row r="60" spans="1:11" ht="15.75">
      <c r="A60" s="5" t="s">
        <v>5</v>
      </c>
      <c r="B60" s="70" t="s">
        <v>4</v>
      </c>
      <c r="C60" s="925">
        <v>0</v>
      </c>
      <c r="D60" s="367"/>
      <c r="E60" s="367"/>
      <c r="F60" s="4"/>
      <c r="G60" s="595">
        <v>0</v>
      </c>
      <c r="H60" s="595">
        <v>0</v>
      </c>
      <c r="I60" s="595">
        <v>0</v>
      </c>
    </row>
    <row r="61" spans="1:11" ht="15.75">
      <c r="A61" s="434"/>
      <c r="B61" s="432" t="s">
        <v>465</v>
      </c>
      <c r="C61" s="925">
        <v>0</v>
      </c>
      <c r="D61" s="367">
        <f>+C61*9%</f>
        <v>0</v>
      </c>
      <c r="E61" s="899">
        <f>+D61</f>
        <v>0</v>
      </c>
      <c r="F61" s="433"/>
      <c r="G61" s="595">
        <v>0</v>
      </c>
      <c r="H61" s="595">
        <v>0</v>
      </c>
      <c r="I61" s="595">
        <v>0</v>
      </c>
    </row>
    <row r="62" spans="1:11" ht="16.5" thickBot="1">
      <c r="A62" s="12"/>
      <c r="B62" s="11" t="s">
        <v>3</v>
      </c>
      <c r="C62" s="10">
        <f>SUM(C9:C61)</f>
        <v>408209.45</v>
      </c>
      <c r="D62" s="10">
        <f>SUM(D9:D61)</f>
        <v>36738.850500000008</v>
      </c>
      <c r="E62" s="10">
        <f>SUM(E9:E61)</f>
        <v>36738.850500000008</v>
      </c>
      <c r="F62" s="10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K64" s="1" t="s">
        <v>317</v>
      </c>
    </row>
    <row r="65" spans="1:10" ht="15.75">
      <c r="A65" s="5" t="s">
        <v>359</v>
      </c>
      <c r="B65" s="43" t="s">
        <v>360</v>
      </c>
      <c r="C65" s="4"/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36738.8505</v>
      </c>
    </row>
    <row r="66" spans="1:10" ht="15.75">
      <c r="A66" s="1228" t="s">
        <v>75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" customHeight="1">
      <c r="A68" s="29" t="s">
        <v>76</v>
      </c>
      <c r="B68" s="29"/>
      <c r="C68" s="3"/>
      <c r="D68" s="3"/>
      <c r="E68" s="3"/>
      <c r="F68" s="3"/>
    </row>
    <row r="69" spans="1:10" ht="15" customHeight="1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+D62</f>
        <v>36738.850500000008</v>
      </c>
      <c r="E71" s="105">
        <f>+E62</f>
        <v>36738.850500000008</v>
      </c>
      <c r="F71" s="105">
        <f>+F62</f>
        <v>0</v>
      </c>
      <c r="H71" s="32" t="s">
        <v>5</v>
      </c>
    </row>
    <row r="72" spans="1:10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+C72*0.09</f>
        <v>0</v>
      </c>
      <c r="F72" s="105">
        <v>0</v>
      </c>
    </row>
    <row r="73" spans="1:10" ht="15.75">
      <c r="A73" s="43"/>
      <c r="B73" s="43"/>
      <c r="C73" s="43"/>
      <c r="D73" s="105">
        <f>+D71+D72</f>
        <v>36738.850500000008</v>
      </c>
      <c r="E73" s="105">
        <f>+E71+E72</f>
        <v>36738.850500000008</v>
      </c>
      <c r="F73" s="105">
        <f>+F71+F72</f>
        <v>0</v>
      </c>
    </row>
    <row r="74" spans="1:10" ht="15.75">
      <c r="A74" s="1241" t="s">
        <v>81</v>
      </c>
      <c r="B74" s="1242"/>
      <c r="C74" s="1243"/>
      <c r="D74" s="108">
        <v>36726.43</v>
      </c>
      <c r="E74" s="108">
        <f>+D74</f>
        <v>36726.43</v>
      </c>
      <c r="F74" s="108">
        <v>0</v>
      </c>
      <c r="J74" s="72"/>
    </row>
    <row r="75" spans="1:10" ht="15.75">
      <c r="A75" s="1250" t="s">
        <v>79</v>
      </c>
      <c r="B75" s="1251"/>
      <c r="C75" s="1252"/>
      <c r="D75" s="107">
        <f>+D73-D74</f>
        <v>12.420500000007451</v>
      </c>
      <c r="E75" s="107">
        <f>+E73-E74</f>
        <v>12.420500000007451</v>
      </c>
      <c r="F75" s="108">
        <f>+F73-F74</f>
        <v>0</v>
      </c>
      <c r="G75" s="1">
        <f>+E75/9%</f>
        <v>138.00555555563835</v>
      </c>
      <c r="H75" s="1"/>
    </row>
    <row r="76" spans="1:10" ht="15.75">
      <c r="A76" s="3"/>
      <c r="B76" s="2"/>
      <c r="C76" s="3"/>
      <c r="D76" s="3"/>
      <c r="E76" s="3"/>
      <c r="F76" s="3"/>
    </row>
    <row r="77" spans="1:10" ht="15" customHeight="1">
      <c r="A77" s="27" t="s">
        <v>77</v>
      </c>
      <c r="B77" s="2"/>
      <c r="C77" s="3"/>
      <c r="D77" s="3"/>
      <c r="E77" s="3"/>
      <c r="F77" s="3"/>
    </row>
    <row r="78" spans="1:10" ht="15" customHeight="1">
      <c r="A78" s="1218" t="s">
        <v>65</v>
      </c>
      <c r="B78" s="1219"/>
      <c r="C78" s="1220"/>
      <c r="D78" s="1253" t="s">
        <v>70</v>
      </c>
      <c r="E78" s="1253" t="s">
        <v>71</v>
      </c>
      <c r="F78" s="1234" t="s">
        <v>72</v>
      </c>
    </row>
    <row r="79" spans="1:10" ht="15" customHeight="1">
      <c r="A79" s="1221"/>
      <c r="B79" s="1222"/>
      <c r="C79" s="1223"/>
      <c r="D79" s="1254" t="s">
        <v>67</v>
      </c>
      <c r="E79" s="1254"/>
      <c r="F79" s="1235"/>
    </row>
    <row r="80" spans="1:10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4654.5</v>
      </c>
      <c r="E81" s="108">
        <f>+D81</f>
        <v>4654.5</v>
      </c>
      <c r="F81" s="58">
        <v>0</v>
      </c>
      <c r="G81" s="32">
        <f>+D81/2</f>
        <v>2327.25</v>
      </c>
      <c r="H81" s="32">
        <f t="shared" ref="H81:I83" si="5">+E81/2</f>
        <v>2327.25</v>
      </c>
      <c r="I81" s="32">
        <f t="shared" si="5"/>
        <v>0</v>
      </c>
    </row>
    <row r="82" spans="1:9" ht="15.75">
      <c r="A82" s="1224" t="s">
        <v>83</v>
      </c>
      <c r="B82" s="1224"/>
      <c r="C82" s="1224"/>
      <c r="D82" s="105">
        <f>+C95</f>
        <v>29.61</v>
      </c>
      <c r="E82" s="105">
        <f>+D82</f>
        <v>29.61</v>
      </c>
      <c r="F82" s="56">
        <v>0</v>
      </c>
      <c r="G82" s="32">
        <f>+D82/2</f>
        <v>14.805</v>
      </c>
      <c r="H82" s="32">
        <f t="shared" si="5"/>
        <v>14.805</v>
      </c>
      <c r="I82" s="32">
        <f t="shared" si="5"/>
        <v>0</v>
      </c>
    </row>
    <row r="83" spans="1:9" ht="15.75">
      <c r="A83" s="1215" t="s">
        <v>82</v>
      </c>
      <c r="B83" s="1215"/>
      <c r="C83" s="1215"/>
      <c r="D83" s="105">
        <f>SUM(D81-D82)</f>
        <v>4624.8900000000003</v>
      </c>
      <c r="E83" s="105">
        <f>SUM(E81-E82)</f>
        <v>4624.8900000000003</v>
      </c>
      <c r="F83" s="56">
        <v>0</v>
      </c>
      <c r="G83" s="32">
        <f>+D83/2</f>
        <v>2312.4450000000002</v>
      </c>
      <c r="H83" s="32">
        <f t="shared" si="5"/>
        <v>2312.4450000000002</v>
      </c>
      <c r="I83" s="32">
        <f t="shared" si="5"/>
        <v>0</v>
      </c>
    </row>
    <row r="85" spans="1:9">
      <c r="A85" s="402"/>
      <c r="B85" s="402"/>
      <c r="C85" s="402"/>
      <c r="D85" s="402"/>
      <c r="E85" s="402"/>
      <c r="F85" s="402"/>
    </row>
    <row r="86" spans="1:9">
      <c r="B86" s="145" t="s">
        <v>306</v>
      </c>
      <c r="C86" s="112"/>
      <c r="D86" s="112"/>
      <c r="E86" s="112"/>
    </row>
    <row r="87" spans="1:9">
      <c r="B87" s="165" t="s">
        <v>322</v>
      </c>
      <c r="C87" s="165" t="s">
        <v>67</v>
      </c>
      <c r="D87" s="165" t="s">
        <v>155</v>
      </c>
      <c r="E87" s="165" t="s">
        <v>68</v>
      </c>
    </row>
    <row r="88" spans="1:9">
      <c r="B88" s="1" t="s">
        <v>102</v>
      </c>
      <c r="C88" s="1">
        <v>29.61</v>
      </c>
      <c r="D88" s="1">
        <f t="shared" ref="D88:D94" si="6">+C88</f>
        <v>29.61</v>
      </c>
      <c r="E88" s="1">
        <v>0</v>
      </c>
    </row>
    <row r="89" spans="1:9">
      <c r="B89" s="1" t="s">
        <v>102</v>
      </c>
      <c r="C89" s="1">
        <v>0</v>
      </c>
      <c r="D89" s="1">
        <f t="shared" si="6"/>
        <v>0</v>
      </c>
      <c r="E89" s="1">
        <v>0</v>
      </c>
    </row>
    <row r="90" spans="1:9">
      <c r="B90" s="1" t="s">
        <v>102</v>
      </c>
      <c r="C90" s="1">
        <v>0</v>
      </c>
      <c r="D90" s="1">
        <f t="shared" si="6"/>
        <v>0</v>
      </c>
      <c r="E90" s="1">
        <v>0</v>
      </c>
    </row>
    <row r="91" spans="1:9">
      <c r="B91" s="1" t="s">
        <v>102</v>
      </c>
      <c r="C91" s="1">
        <v>0</v>
      </c>
      <c r="D91" s="1">
        <f t="shared" si="6"/>
        <v>0</v>
      </c>
      <c r="E91" s="1">
        <v>0</v>
      </c>
    </row>
    <row r="92" spans="1:9">
      <c r="B92" s="1" t="s">
        <v>102</v>
      </c>
      <c r="C92" s="1">
        <v>0</v>
      </c>
      <c r="D92" s="1">
        <f>+C92</f>
        <v>0</v>
      </c>
      <c r="E92" s="1">
        <v>0</v>
      </c>
    </row>
    <row r="93" spans="1:9">
      <c r="B93" s="486" t="s">
        <v>691</v>
      </c>
      <c r="C93" s="1">
        <v>0</v>
      </c>
      <c r="D93" s="1">
        <f t="shared" si="6"/>
        <v>0</v>
      </c>
      <c r="E93" s="1">
        <v>0</v>
      </c>
    </row>
    <row r="94" spans="1:9">
      <c r="B94" s="1" t="s">
        <v>440</v>
      </c>
      <c r="C94" s="1">
        <v>0</v>
      </c>
      <c r="D94" s="1">
        <f t="shared" si="6"/>
        <v>0</v>
      </c>
      <c r="E94" s="1">
        <v>0</v>
      </c>
    </row>
    <row r="95" spans="1:9" ht="15.75" thickBot="1">
      <c r="B95" s="146"/>
      <c r="C95" s="182">
        <f>SUM(C88:C94)</f>
        <v>29.61</v>
      </c>
      <c r="D95" s="182">
        <f>SUM(D88:D94)</f>
        <v>29.61</v>
      </c>
      <c r="E95" s="182">
        <f>SUM(E88:E94)</f>
        <v>0</v>
      </c>
    </row>
    <row r="96" spans="1:9" ht="15.75" thickTop="1"/>
    <row r="97" spans="1:6" ht="15" customHeight="1">
      <c r="A97" s="720"/>
      <c r="B97" s="720"/>
      <c r="C97" s="720"/>
      <c r="D97" s="720"/>
      <c r="E97" s="720"/>
      <c r="F97" s="720"/>
    </row>
    <row r="98" spans="1:6" ht="15" customHeight="1">
      <c r="A98" s="1340"/>
      <c r="B98" s="1340"/>
      <c r="C98" s="1340"/>
      <c r="D98" s="1340"/>
      <c r="E98" s="1340"/>
      <c r="F98" s="1340"/>
    </row>
  </sheetData>
  <mergeCells count="29">
    <mergeCell ref="A98:F98"/>
    <mergeCell ref="G7:G8"/>
    <mergeCell ref="H7:H8"/>
    <mergeCell ref="I7:I8"/>
    <mergeCell ref="A81:C81"/>
    <mergeCell ref="A82:C82"/>
    <mergeCell ref="A66:F66"/>
    <mergeCell ref="E69:E70"/>
    <mergeCell ref="F69:F70"/>
    <mergeCell ref="A80:C80"/>
    <mergeCell ref="A71:C71"/>
    <mergeCell ref="A74:C74"/>
    <mergeCell ref="A75:C75"/>
    <mergeCell ref="A78:C79"/>
    <mergeCell ref="D78:D79"/>
    <mergeCell ref="F78:F79"/>
    <mergeCell ref="E78:E79"/>
    <mergeCell ref="A83:C83"/>
    <mergeCell ref="A69:C70"/>
    <mergeCell ref="D69:D70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2:B34 G81:XFD1048576 A99:F1048576">
    <cfRule type="containsText" dxfId="190" priority="35" operator="containsText" text="LESS COLLECTED">
      <formula>NOT(ISERROR(SEARCH("LESS COLLECTED",A22)))</formula>
    </cfRule>
  </conditionalFormatting>
  <conditionalFormatting sqref="A28:B32">
    <cfRule type="containsText" dxfId="189" priority="34" operator="containsText" text="EXCESS COLLECTED">
      <formula>NOT(ISERROR(SEARCH("EXCESS COLLECTED",A28)))</formula>
    </cfRule>
  </conditionalFormatting>
  <conditionalFormatting sqref="A35:B61">
    <cfRule type="containsText" dxfId="188" priority="5" operator="containsText" text="LESS COLLECTED">
      <formula>NOT(ISERROR(SEARCH("LESS COLLECTED",A35)))</formula>
    </cfRule>
  </conditionalFormatting>
  <conditionalFormatting sqref="A47:B56">
    <cfRule type="containsText" dxfId="187" priority="4" operator="containsText" text="EXCESS COLLECTED">
      <formula>NOT(ISERROR(SEARCH("EXCESS COLLECTED",A47)))</formula>
    </cfRule>
  </conditionalFormatting>
  <conditionalFormatting sqref="B61">
    <cfRule type="containsText" dxfId="186" priority="38" operator="containsText" text="EXCESS COLLECTED">
      <formula>NOT(ISERROR(SEARCH("EXCESS COLLECTED",B61)))</formula>
    </cfRule>
  </conditionalFormatting>
  <conditionalFormatting sqref="C57:C61">
    <cfRule type="containsText" dxfId="185" priority="3" operator="containsText" text="LESS COLLECTED">
      <formula>NOT(ISERROR(SEARCH("LESS COLLECTED",C57)))</formula>
    </cfRule>
  </conditionalFormatting>
  <conditionalFormatting sqref="C93:E93 B94:E95 A1:XFD3 A4 G4:XFD4 A5:XFD6 A7:F8 G63:XFD63 G64:H64 K64:XFD64 H74:XFD74 G75:XFD79 B76:F84 A76:A97 H80:XFD80 F86:F96">
    <cfRule type="containsText" dxfId="184" priority="118" operator="containsText" text="LESS COLLECTED">
      <formula>NOT(ISERROR(SEARCH("LESS COLLECTED",A1)))</formula>
    </cfRule>
  </conditionalFormatting>
  <conditionalFormatting sqref="D50">
    <cfRule type="containsText" dxfId="183" priority="29" operator="containsText" text="LESS COLLECTED">
      <formula>NOT(ISERROR(SEARCH("LESS COLLECTED",D50)))</formula>
    </cfRule>
  </conditionalFormatting>
  <conditionalFormatting sqref="D48:F50 D69:E70 A72:F73 B86:B92 C87:D94 B89:D92 B94:D94">
    <cfRule type="containsText" dxfId="182" priority="106" operator="containsText" text="EXCESS COLLECTED">
      <formula>NOT(ISERROR(SEARCH("EXCESS COLLECTED",A48)))</formula>
    </cfRule>
  </conditionalFormatting>
  <conditionalFormatting sqref="D51:F56">
    <cfRule type="containsText" dxfId="181" priority="6" operator="containsText" text="EXCESS COLLECTED">
      <formula>NOT(ISERROR(SEARCH("EXCESS COLLECTED",D51)))</formula>
    </cfRule>
  </conditionalFormatting>
  <conditionalFormatting sqref="D10:I35">
    <cfRule type="containsText" dxfId="180" priority="19" operator="containsText" text="LESS COLLECTED">
      <formula>NOT(ISERROR(SEARCH("LESS COLLECTED",D10)))</formula>
    </cfRule>
  </conditionalFormatting>
  <conditionalFormatting sqref="D36:I50 A66:F75 B86:E92 C87:D94 B94:D94 D9:I9">
    <cfRule type="containsText" dxfId="179" priority="107" operator="containsText" text="LESS COLLECTED">
      <formula>NOT(ISERROR(SEARCH("LESS COLLECTED",A9)))</formula>
    </cfRule>
  </conditionalFormatting>
  <conditionalFormatting sqref="D51:I61">
    <cfRule type="containsText" dxfId="178" priority="9" operator="containsText" text="LESS COLLECTED">
      <formula>NOT(ISERROR(SEARCH("LESS COLLECTED",D51)))</formula>
    </cfRule>
  </conditionalFormatting>
  <conditionalFormatting sqref="G62:I62">
    <cfRule type="containsText" dxfId="177" priority="43" operator="containsText" text="LESS COLLECTED">
      <formula>NOT(ISERROR(SEARCH("LESS COLLECTED",G62)))</formula>
    </cfRule>
  </conditionalFormatting>
  <conditionalFormatting sqref="J7:XFD62 A9:B21">
    <cfRule type="containsText" dxfId="176" priority="30" operator="containsText" text="LESS COLLECTED">
      <formula>NOT(ISERROR(SEARCH("LESS COLLECTED",A7)))</formula>
    </cfRule>
  </conditionalFormatting>
  <conditionalFormatting sqref="C10:C56">
    <cfRule type="containsText" dxfId="175" priority="1" operator="containsText" text="LESS COLLECTED">
      <formula>NOT(ISERROR(SEARCH("LESS COLLECTED",C10)))</formula>
    </cfRule>
  </conditionalFormatting>
  <conditionalFormatting sqref="C9">
    <cfRule type="containsText" dxfId="174" priority="2" operator="containsText" text="LESS COLLECTED">
      <formula>NOT(ISERROR(SEARCH("LESS COLLECTED",C9)))</formula>
    </cfRule>
  </conditionalFormatting>
  <pageMargins left="0.90551181102362199" right="1.0905511809999999" top="0.69488189" bottom="0.74803149606299202" header="0.31496062992126" footer="0.31496062992126"/>
  <pageSetup paperSize="9" scale="47" orientation="portrait" r:id="rId1"/>
  <ignoredErrors>
    <ignoredError sqref="D51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92D050"/>
  </sheetPr>
  <dimension ref="A1:O97"/>
  <sheetViews>
    <sheetView topLeftCell="A80" workbookViewId="0">
      <selection activeCell="D74" sqref="D74"/>
    </sheetView>
  </sheetViews>
  <sheetFormatPr defaultColWidth="9.140625" defaultRowHeight="15"/>
  <cols>
    <col min="1" max="1" width="11.42578125" style="1" customWidth="1"/>
    <col min="2" max="2" width="43.85546875" style="1" customWidth="1"/>
    <col min="3" max="3" width="14.7109375" style="1" bestFit="1" customWidth="1"/>
    <col min="4" max="4" width="16" style="1" customWidth="1"/>
    <col min="5" max="5" width="16.140625" style="1" bestFit="1" customWidth="1"/>
    <col min="6" max="6" width="11.42578125" style="1" customWidth="1"/>
    <col min="7" max="7" width="17.140625" style="1" customWidth="1"/>
    <col min="8" max="8" width="10.7109375" style="32" bestFit="1" customWidth="1"/>
    <col min="9" max="9" width="9.140625" style="1"/>
    <col min="10" max="10" width="12.28515625" style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</row>
    <row r="3" spans="1:10" ht="15.75">
      <c r="A3" s="1229" t="s">
        <v>100</v>
      </c>
      <c r="B3" s="1229"/>
      <c r="C3" s="1229"/>
      <c r="D3" s="1229"/>
      <c r="E3" s="1229"/>
      <c r="F3" s="1229"/>
    </row>
    <row r="4" spans="1:10" ht="15.75">
      <c r="A4" s="1229" t="s">
        <v>372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31">
        <v>3303</v>
      </c>
      <c r="B9" s="70" t="s">
        <v>609</v>
      </c>
      <c r="C9" s="925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266">
        <v>0</v>
      </c>
      <c r="H9" s="266">
        <v>0</v>
      </c>
      <c r="I9" s="266">
        <v>0</v>
      </c>
    </row>
    <row r="10" spans="1:10" ht="15.75">
      <c r="A10" s="31" t="s">
        <v>87</v>
      </c>
      <c r="B10" s="70" t="s">
        <v>61</v>
      </c>
      <c r="C10" s="925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266">
        <v>0</v>
      </c>
      <c r="H10" s="266">
        <v>0</v>
      </c>
      <c r="I10" s="266">
        <v>0</v>
      </c>
    </row>
    <row r="11" spans="1:10" ht="15.75">
      <c r="A11" s="13" t="s">
        <v>60</v>
      </c>
      <c r="B11" s="70" t="s">
        <v>59</v>
      </c>
      <c r="C11" s="1200">
        <v>50</v>
      </c>
      <c r="D11" s="4">
        <f t="shared" si="0"/>
        <v>4.5</v>
      </c>
      <c r="E11" s="4">
        <f t="shared" ref="E11:E59" si="1">+D11</f>
        <v>4.5</v>
      </c>
      <c r="F11" s="4" t="str">
        <f t="shared" ref="F11:F59" si="2">IF(D11&gt;0," ",C11*18%)</f>
        <v xml:space="preserve"> </v>
      </c>
      <c r="G11" s="266">
        <v>0</v>
      </c>
      <c r="H11" s="266">
        <v>0</v>
      </c>
      <c r="I11" s="266">
        <v>0</v>
      </c>
    </row>
    <row r="12" spans="1:10" ht="15.75">
      <c r="A12" s="14" t="s">
        <v>58</v>
      </c>
      <c r="B12" s="70" t="s">
        <v>57</v>
      </c>
      <c r="C12" s="1200">
        <v>0</v>
      </c>
      <c r="D12" s="4">
        <f t="shared" si="0"/>
        <v>0</v>
      </c>
      <c r="E12" s="4">
        <f t="shared" si="1"/>
        <v>0</v>
      </c>
      <c r="F12" s="4">
        <f t="shared" si="2"/>
        <v>0</v>
      </c>
      <c r="G12" s="266">
        <v>0</v>
      </c>
      <c r="H12" s="266">
        <v>0</v>
      </c>
      <c r="I12" s="266">
        <v>0</v>
      </c>
    </row>
    <row r="13" spans="1:10" ht="15.75">
      <c r="A13" s="13" t="s">
        <v>56</v>
      </c>
      <c r="B13" s="70" t="s">
        <v>55</v>
      </c>
      <c r="C13" s="1200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266">
        <v>0</v>
      </c>
      <c r="H13" s="266">
        <v>0</v>
      </c>
      <c r="I13" s="266">
        <v>0</v>
      </c>
    </row>
    <row r="14" spans="1:10" ht="15.75">
      <c r="A14" s="13" t="s">
        <v>54</v>
      </c>
      <c r="B14" s="70" t="s">
        <v>53</v>
      </c>
      <c r="C14" s="1200">
        <v>0</v>
      </c>
      <c r="D14" s="4">
        <f t="shared" si="0"/>
        <v>0</v>
      </c>
      <c r="E14" s="4">
        <f t="shared" si="1"/>
        <v>0</v>
      </c>
      <c r="F14" s="4">
        <f t="shared" si="2"/>
        <v>0</v>
      </c>
      <c r="G14" s="266">
        <v>0</v>
      </c>
      <c r="H14" s="266">
        <v>0</v>
      </c>
      <c r="I14" s="266">
        <v>0</v>
      </c>
    </row>
    <row r="15" spans="1:10" ht="15.75">
      <c r="A15" s="13" t="s">
        <v>52</v>
      </c>
      <c r="B15" s="70" t="s">
        <v>51</v>
      </c>
      <c r="C15" s="1200">
        <v>0</v>
      </c>
      <c r="D15" s="4">
        <f t="shared" si="0"/>
        <v>0</v>
      </c>
      <c r="E15" s="4">
        <f t="shared" si="1"/>
        <v>0</v>
      </c>
      <c r="F15" s="4">
        <f t="shared" si="2"/>
        <v>0</v>
      </c>
      <c r="G15" s="266">
        <v>0</v>
      </c>
      <c r="H15" s="266">
        <v>0</v>
      </c>
      <c r="I15" s="266">
        <v>0</v>
      </c>
    </row>
    <row r="16" spans="1:10" ht="15.75">
      <c r="A16" s="14" t="s">
        <v>50</v>
      </c>
      <c r="B16" s="70" t="s">
        <v>49</v>
      </c>
      <c r="C16" s="1200">
        <v>0</v>
      </c>
      <c r="D16" s="4">
        <f t="shared" si="0"/>
        <v>0</v>
      </c>
      <c r="E16" s="4">
        <f t="shared" si="1"/>
        <v>0</v>
      </c>
      <c r="F16" s="4">
        <f t="shared" si="2"/>
        <v>0</v>
      </c>
      <c r="G16" s="266">
        <v>0</v>
      </c>
      <c r="H16" s="266">
        <v>0</v>
      </c>
      <c r="I16" s="266">
        <v>0</v>
      </c>
    </row>
    <row r="17" spans="1:15" ht="15.75">
      <c r="A17" s="14" t="s">
        <v>48</v>
      </c>
      <c r="B17" s="70" t="s">
        <v>47</v>
      </c>
      <c r="C17" s="1200">
        <v>0</v>
      </c>
      <c r="D17" s="4">
        <f t="shared" si="0"/>
        <v>0</v>
      </c>
      <c r="E17" s="4">
        <f t="shared" si="1"/>
        <v>0</v>
      </c>
      <c r="F17" s="4">
        <f t="shared" si="2"/>
        <v>0</v>
      </c>
      <c r="G17" s="266">
        <v>0</v>
      </c>
      <c r="H17" s="266">
        <v>0</v>
      </c>
      <c r="I17" s="266">
        <v>0</v>
      </c>
    </row>
    <row r="18" spans="1:15" ht="15.75">
      <c r="A18" s="14" t="s">
        <v>46</v>
      </c>
      <c r="B18" s="70" t="s">
        <v>45</v>
      </c>
      <c r="C18" s="1200">
        <v>0</v>
      </c>
      <c r="D18" s="4">
        <f t="shared" si="0"/>
        <v>0</v>
      </c>
      <c r="E18" s="4">
        <f t="shared" si="1"/>
        <v>0</v>
      </c>
      <c r="F18" s="4">
        <f t="shared" si="2"/>
        <v>0</v>
      </c>
      <c r="G18" s="266">
        <v>0</v>
      </c>
      <c r="H18" s="266">
        <v>0</v>
      </c>
      <c r="I18" s="266">
        <v>0</v>
      </c>
    </row>
    <row r="19" spans="1:15" ht="15.75">
      <c r="A19" s="13" t="s">
        <v>44</v>
      </c>
      <c r="B19" s="70" t="s">
        <v>43</v>
      </c>
      <c r="C19" s="1200">
        <v>67740</v>
      </c>
      <c r="D19" s="4">
        <f t="shared" si="0"/>
        <v>6096.5999999999995</v>
      </c>
      <c r="E19" s="4">
        <f t="shared" si="1"/>
        <v>6096.5999999999995</v>
      </c>
      <c r="F19" s="4" t="str">
        <f t="shared" si="2"/>
        <v xml:space="preserve"> </v>
      </c>
      <c r="G19" s="266">
        <v>0</v>
      </c>
      <c r="H19" s="266">
        <v>0</v>
      </c>
      <c r="I19" s="266">
        <v>0</v>
      </c>
    </row>
    <row r="20" spans="1:15" ht="15.75">
      <c r="A20" s="13">
        <v>3271</v>
      </c>
      <c r="B20" s="70" t="s">
        <v>533</v>
      </c>
      <c r="C20" s="1200">
        <v>1000</v>
      </c>
      <c r="D20" s="4">
        <f t="shared" si="0"/>
        <v>90</v>
      </c>
      <c r="E20" s="4">
        <f t="shared" si="1"/>
        <v>90</v>
      </c>
      <c r="F20" s="4" t="str">
        <f t="shared" si="2"/>
        <v xml:space="preserve"> </v>
      </c>
      <c r="G20" s="266">
        <v>0</v>
      </c>
      <c r="H20" s="266">
        <v>0</v>
      </c>
      <c r="I20" s="266">
        <v>0</v>
      </c>
    </row>
    <row r="21" spans="1:15" ht="15.75">
      <c r="A21" s="13">
        <v>3274</v>
      </c>
      <c r="B21" s="70" t="s">
        <v>554</v>
      </c>
      <c r="C21" s="1200">
        <v>0</v>
      </c>
      <c r="D21" s="4"/>
      <c r="E21" s="4"/>
      <c r="F21" s="4"/>
      <c r="G21" s="266">
        <v>0</v>
      </c>
      <c r="H21" s="266">
        <v>0</v>
      </c>
      <c r="I21" s="266">
        <v>0</v>
      </c>
    </row>
    <row r="22" spans="1:15" ht="15.75">
      <c r="A22" s="17" t="s">
        <v>42</v>
      </c>
      <c r="B22" s="70" t="s">
        <v>41</v>
      </c>
      <c r="C22" s="1200">
        <v>0</v>
      </c>
      <c r="D22" s="4">
        <f t="shared" ref="D22:D36" si="3">+C22*9%</f>
        <v>0</v>
      </c>
      <c r="E22" s="4">
        <f t="shared" si="1"/>
        <v>0</v>
      </c>
      <c r="F22" s="4">
        <f t="shared" si="2"/>
        <v>0</v>
      </c>
      <c r="G22" s="266">
        <v>0</v>
      </c>
      <c r="H22" s="266">
        <v>0</v>
      </c>
      <c r="I22" s="266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1200">
        <v>0</v>
      </c>
      <c r="D23" s="4">
        <f t="shared" si="3"/>
        <v>0</v>
      </c>
      <c r="E23" s="4">
        <f t="shared" si="1"/>
        <v>0</v>
      </c>
      <c r="F23" s="4">
        <f t="shared" si="2"/>
        <v>0</v>
      </c>
      <c r="G23" s="266">
        <v>0</v>
      </c>
      <c r="H23" s="266">
        <v>0</v>
      </c>
      <c r="I23" s="266">
        <v>0</v>
      </c>
    </row>
    <row r="24" spans="1:15" ht="15.75">
      <c r="A24" s="14" t="s">
        <v>38</v>
      </c>
      <c r="B24" s="70" t="s">
        <v>37</v>
      </c>
      <c r="C24" s="1200">
        <v>0</v>
      </c>
      <c r="D24" s="4">
        <f t="shared" si="3"/>
        <v>0</v>
      </c>
      <c r="E24" s="4">
        <f t="shared" si="1"/>
        <v>0</v>
      </c>
      <c r="F24" s="4">
        <f t="shared" si="2"/>
        <v>0</v>
      </c>
      <c r="G24" s="266">
        <v>0</v>
      </c>
      <c r="H24" s="266">
        <v>0</v>
      </c>
      <c r="I24" s="266">
        <v>0</v>
      </c>
    </row>
    <row r="25" spans="1:15" ht="15.75">
      <c r="A25" s="16" t="s">
        <v>36</v>
      </c>
      <c r="B25" s="70" t="s">
        <v>35</v>
      </c>
      <c r="C25" s="1200">
        <v>0</v>
      </c>
      <c r="D25" s="4">
        <f t="shared" si="3"/>
        <v>0</v>
      </c>
      <c r="E25" s="4">
        <f t="shared" si="1"/>
        <v>0</v>
      </c>
      <c r="F25" s="4">
        <f t="shared" si="2"/>
        <v>0</v>
      </c>
      <c r="G25" s="266">
        <v>0</v>
      </c>
      <c r="H25" s="266">
        <v>0</v>
      </c>
      <c r="I25" s="266">
        <v>0</v>
      </c>
    </row>
    <row r="26" spans="1:15" ht="15.75">
      <c r="A26" s="16" t="s">
        <v>34</v>
      </c>
      <c r="B26" s="70" t="s">
        <v>33</v>
      </c>
      <c r="C26" s="1200">
        <v>0</v>
      </c>
      <c r="D26" s="4">
        <f t="shared" si="3"/>
        <v>0</v>
      </c>
      <c r="E26" s="4">
        <f t="shared" si="1"/>
        <v>0</v>
      </c>
      <c r="F26" s="4">
        <f t="shared" si="2"/>
        <v>0</v>
      </c>
      <c r="G26" s="266">
        <v>0</v>
      </c>
      <c r="H26" s="266">
        <v>0</v>
      </c>
      <c r="I26" s="266">
        <v>0</v>
      </c>
    </row>
    <row r="27" spans="1:15" ht="15.75">
      <c r="A27" s="16" t="s">
        <v>32</v>
      </c>
      <c r="B27" s="70" t="s">
        <v>31</v>
      </c>
      <c r="C27" s="1200">
        <v>0</v>
      </c>
      <c r="D27" s="4">
        <f t="shared" si="3"/>
        <v>0</v>
      </c>
      <c r="E27" s="4">
        <f t="shared" si="1"/>
        <v>0</v>
      </c>
      <c r="F27" s="4">
        <f t="shared" si="2"/>
        <v>0</v>
      </c>
      <c r="G27" s="266">
        <v>0</v>
      </c>
      <c r="H27" s="266">
        <v>0</v>
      </c>
      <c r="I27" s="266">
        <v>0</v>
      </c>
    </row>
    <row r="28" spans="1:15" ht="15.75">
      <c r="A28" s="137">
        <v>3291</v>
      </c>
      <c r="B28" s="33" t="s">
        <v>325</v>
      </c>
      <c r="C28" s="1200">
        <v>0</v>
      </c>
      <c r="D28" s="4">
        <f t="shared" si="3"/>
        <v>0</v>
      </c>
      <c r="E28" s="4">
        <f t="shared" si="1"/>
        <v>0</v>
      </c>
      <c r="F28" s="4">
        <f t="shared" si="2"/>
        <v>0</v>
      </c>
      <c r="G28" s="266">
        <v>0</v>
      </c>
      <c r="H28" s="266">
        <v>0</v>
      </c>
      <c r="I28" s="266">
        <v>0</v>
      </c>
    </row>
    <row r="29" spans="1:15" ht="15.75">
      <c r="A29" s="137" t="s">
        <v>526</v>
      </c>
      <c r="B29" s="33" t="s">
        <v>523</v>
      </c>
      <c r="C29" s="1200">
        <v>725</v>
      </c>
      <c r="D29" s="4">
        <f t="shared" si="3"/>
        <v>65.25</v>
      </c>
      <c r="E29" s="4">
        <f>+D29</f>
        <v>65.25</v>
      </c>
      <c r="F29" s="4" t="str">
        <f>IF(D29&gt;0," ",C29*18%)</f>
        <v xml:space="preserve"> </v>
      </c>
      <c r="G29" s="266">
        <v>0</v>
      </c>
      <c r="H29" s="266">
        <v>0</v>
      </c>
      <c r="I29" s="266">
        <v>0</v>
      </c>
    </row>
    <row r="30" spans="1:15" ht="15.75">
      <c r="A30" s="137" t="s">
        <v>527</v>
      </c>
      <c r="B30" s="33" t="s">
        <v>524</v>
      </c>
      <c r="C30" s="1200">
        <v>2200</v>
      </c>
      <c r="D30" s="4">
        <f t="shared" si="3"/>
        <v>198</v>
      </c>
      <c r="E30" s="4">
        <f>+D30</f>
        <v>198</v>
      </c>
      <c r="F30" s="4" t="str">
        <f>IF(D30&gt;0," ",C30*18%)</f>
        <v xml:space="preserve"> </v>
      </c>
      <c r="G30" s="266">
        <v>0</v>
      </c>
      <c r="H30" s="266">
        <v>0</v>
      </c>
      <c r="I30" s="266">
        <v>0</v>
      </c>
    </row>
    <row r="31" spans="1:15" ht="15.75">
      <c r="A31" s="137" t="s">
        <v>528</v>
      </c>
      <c r="B31" s="33" t="s">
        <v>529</v>
      </c>
      <c r="C31" s="1200">
        <v>250</v>
      </c>
      <c r="D31" s="4">
        <f t="shared" si="3"/>
        <v>22.5</v>
      </c>
      <c r="E31" s="4">
        <f>+D31</f>
        <v>22.5</v>
      </c>
      <c r="F31" s="4" t="str">
        <f>IF(D31&gt;0," ",C31*18%)</f>
        <v xml:space="preserve"> </v>
      </c>
      <c r="G31" s="266">
        <v>0</v>
      </c>
      <c r="H31" s="266">
        <v>0</v>
      </c>
      <c r="I31" s="266">
        <v>0</v>
      </c>
    </row>
    <row r="32" spans="1:15" ht="15.75">
      <c r="A32" s="137" t="s">
        <v>531</v>
      </c>
      <c r="B32" s="33" t="s">
        <v>532</v>
      </c>
      <c r="C32" s="1200">
        <v>0</v>
      </c>
      <c r="D32" s="4">
        <f t="shared" si="3"/>
        <v>0</v>
      </c>
      <c r="E32" s="4">
        <f>+D32</f>
        <v>0</v>
      </c>
      <c r="F32" s="4">
        <f>IF(D32&gt;0," ",C32*18%)</f>
        <v>0</v>
      </c>
      <c r="G32" s="266">
        <v>0</v>
      </c>
      <c r="H32" s="266">
        <v>0</v>
      </c>
      <c r="I32" s="266">
        <v>0</v>
      </c>
    </row>
    <row r="33" spans="1:10" ht="15.75">
      <c r="A33" s="13" t="s">
        <v>30</v>
      </c>
      <c r="B33" s="70" t="s">
        <v>29</v>
      </c>
      <c r="C33" s="1200">
        <v>120189.7</v>
      </c>
      <c r="D33" s="4">
        <f t="shared" si="3"/>
        <v>10817.072999999999</v>
      </c>
      <c r="E33" s="4">
        <f t="shared" si="1"/>
        <v>10817.072999999999</v>
      </c>
      <c r="F33" s="4">
        <v>0</v>
      </c>
      <c r="G33" s="266">
        <v>0</v>
      </c>
      <c r="H33" s="266">
        <v>0</v>
      </c>
      <c r="I33" s="266">
        <v>0</v>
      </c>
      <c r="J33" s="269">
        <f>+C33-J34</f>
        <v>-200.30000000000291</v>
      </c>
    </row>
    <row r="34" spans="1:10" ht="15.75">
      <c r="A34" s="13">
        <v>3301</v>
      </c>
      <c r="B34" s="70" t="s">
        <v>154</v>
      </c>
      <c r="C34" s="1200">
        <v>0</v>
      </c>
      <c r="D34" s="4">
        <f t="shared" si="3"/>
        <v>0</v>
      </c>
      <c r="E34" s="4">
        <f>+D34</f>
        <v>0</v>
      </c>
      <c r="F34" s="4">
        <f t="shared" si="2"/>
        <v>0</v>
      </c>
      <c r="G34" s="266">
        <v>0</v>
      </c>
      <c r="H34" s="266">
        <v>0</v>
      </c>
      <c r="I34" s="266">
        <v>0</v>
      </c>
      <c r="J34" s="1">
        <v>120390</v>
      </c>
    </row>
    <row r="35" spans="1:10" ht="15.75">
      <c r="A35" s="13">
        <v>3302</v>
      </c>
      <c r="B35" s="70" t="s">
        <v>525</v>
      </c>
      <c r="C35" s="1200">
        <v>0</v>
      </c>
      <c r="D35" s="4">
        <f t="shared" si="3"/>
        <v>0</v>
      </c>
      <c r="E35" s="4">
        <f>+D35</f>
        <v>0</v>
      </c>
      <c r="F35" s="4">
        <f>IF(D35&gt;0," ",C35*18%)</f>
        <v>0</v>
      </c>
      <c r="G35" s="266">
        <v>0</v>
      </c>
      <c r="H35" s="266">
        <v>0</v>
      </c>
      <c r="I35" s="266">
        <v>0</v>
      </c>
    </row>
    <row r="36" spans="1:10" ht="15.75">
      <c r="A36" s="14" t="s">
        <v>28</v>
      </c>
      <c r="B36" s="70" t="s">
        <v>27</v>
      </c>
      <c r="C36" s="1200">
        <v>0</v>
      </c>
      <c r="D36" s="4">
        <f t="shared" si="3"/>
        <v>0</v>
      </c>
      <c r="E36" s="4">
        <f t="shared" si="1"/>
        <v>0</v>
      </c>
      <c r="F36" s="4">
        <f t="shared" si="2"/>
        <v>0</v>
      </c>
      <c r="G36" s="266">
        <v>0</v>
      </c>
      <c r="H36" s="266">
        <v>0</v>
      </c>
      <c r="I36" s="266">
        <v>0</v>
      </c>
    </row>
    <row r="37" spans="1:10" ht="15.75">
      <c r="A37" s="16" t="s">
        <v>114</v>
      </c>
      <c r="B37" s="70" t="s">
        <v>115</v>
      </c>
      <c r="C37" s="1200">
        <v>0</v>
      </c>
      <c r="D37" s="4">
        <f t="shared" ref="D37:D44" si="4">+C37*9%</f>
        <v>0</v>
      </c>
      <c r="E37" s="4">
        <f>+D37</f>
        <v>0</v>
      </c>
      <c r="F37" s="4">
        <f>IF(D37&gt;0," ",C37*18%)</f>
        <v>0</v>
      </c>
      <c r="G37" s="266">
        <v>0</v>
      </c>
      <c r="H37" s="266">
        <v>0</v>
      </c>
      <c r="I37" s="266">
        <v>0</v>
      </c>
    </row>
    <row r="38" spans="1:10" ht="15.75">
      <c r="A38" s="13" t="s">
        <v>26</v>
      </c>
      <c r="B38" s="70" t="s">
        <v>25</v>
      </c>
      <c r="C38" s="1200">
        <v>407.98</v>
      </c>
      <c r="D38" s="4">
        <f t="shared" si="4"/>
        <v>36.718200000000003</v>
      </c>
      <c r="E38" s="4">
        <f>+D38</f>
        <v>36.718200000000003</v>
      </c>
      <c r="F38" s="4" t="str">
        <f t="shared" si="2"/>
        <v xml:space="preserve"> </v>
      </c>
      <c r="G38" s="266">
        <v>0</v>
      </c>
      <c r="H38" s="266">
        <v>0</v>
      </c>
      <c r="I38" s="266">
        <v>0</v>
      </c>
    </row>
    <row r="39" spans="1:10" ht="15.75">
      <c r="A39" s="13" t="s">
        <v>24</v>
      </c>
      <c r="B39" s="70" t="s">
        <v>23</v>
      </c>
      <c r="C39" s="1200">
        <v>1400</v>
      </c>
      <c r="D39" s="4">
        <f t="shared" si="4"/>
        <v>126</v>
      </c>
      <c r="E39" s="4">
        <f t="shared" si="1"/>
        <v>126</v>
      </c>
      <c r="F39" s="4" t="str">
        <f t="shared" si="2"/>
        <v xml:space="preserve"> </v>
      </c>
      <c r="G39" s="266">
        <v>0</v>
      </c>
      <c r="H39" s="266">
        <v>0</v>
      </c>
      <c r="I39" s="266">
        <v>0</v>
      </c>
    </row>
    <row r="40" spans="1:10" ht="15.75">
      <c r="A40" s="13" t="s">
        <v>22</v>
      </c>
      <c r="B40" s="70" t="s">
        <v>21</v>
      </c>
      <c r="C40" s="1200">
        <v>3950</v>
      </c>
      <c r="D40" s="4">
        <f t="shared" si="4"/>
        <v>355.5</v>
      </c>
      <c r="E40" s="4">
        <f t="shared" si="1"/>
        <v>355.5</v>
      </c>
      <c r="F40" s="4" t="str">
        <f t="shared" si="2"/>
        <v xml:space="preserve"> </v>
      </c>
      <c r="G40" s="266">
        <v>0</v>
      </c>
      <c r="H40" s="266">
        <v>0</v>
      </c>
      <c r="I40" s="266">
        <v>0</v>
      </c>
    </row>
    <row r="41" spans="1:10" ht="15.75">
      <c r="A41" s="13" t="s">
        <v>20</v>
      </c>
      <c r="B41" s="70" t="s">
        <v>19</v>
      </c>
      <c r="C41" s="1200">
        <v>2350</v>
      </c>
      <c r="D41" s="4">
        <f t="shared" si="4"/>
        <v>211.5</v>
      </c>
      <c r="E41" s="4">
        <f t="shared" si="1"/>
        <v>211.5</v>
      </c>
      <c r="F41" s="4" t="str">
        <f t="shared" si="2"/>
        <v xml:space="preserve"> </v>
      </c>
      <c r="G41" s="266">
        <v>0</v>
      </c>
      <c r="H41" s="266">
        <v>0</v>
      </c>
      <c r="I41" s="266">
        <v>0</v>
      </c>
    </row>
    <row r="42" spans="1:10" ht="15.75">
      <c r="A42" s="14" t="s">
        <v>18</v>
      </c>
      <c r="B42" s="70" t="s">
        <v>17</v>
      </c>
      <c r="C42" s="1200">
        <f>5670-180</f>
        <v>5490</v>
      </c>
      <c r="D42" s="4">
        <f t="shared" si="4"/>
        <v>494.09999999999997</v>
      </c>
      <c r="E42" s="4">
        <f t="shared" si="1"/>
        <v>494.09999999999997</v>
      </c>
      <c r="F42" s="4" t="str">
        <f t="shared" si="2"/>
        <v xml:space="preserve"> </v>
      </c>
      <c r="G42" s="266">
        <v>0</v>
      </c>
      <c r="H42" s="266">
        <v>0</v>
      </c>
      <c r="I42" s="266">
        <v>0</v>
      </c>
    </row>
    <row r="43" spans="1:10" ht="15.75">
      <c r="A43" s="14" t="s">
        <v>16</v>
      </c>
      <c r="B43" s="70" t="s">
        <v>15</v>
      </c>
      <c r="C43" s="1200">
        <v>1750</v>
      </c>
      <c r="D43" s="4">
        <f t="shared" si="4"/>
        <v>157.5</v>
      </c>
      <c r="E43" s="4">
        <f t="shared" si="1"/>
        <v>157.5</v>
      </c>
      <c r="F43" s="4" t="str">
        <f t="shared" si="2"/>
        <v xml:space="preserve"> </v>
      </c>
      <c r="G43" s="266">
        <v>0</v>
      </c>
      <c r="H43" s="266">
        <v>0</v>
      </c>
      <c r="I43" s="266">
        <v>0</v>
      </c>
    </row>
    <row r="44" spans="1:10" ht="15.75">
      <c r="A44" s="14" t="s">
        <v>14</v>
      </c>
      <c r="B44" s="70" t="s">
        <v>13</v>
      </c>
      <c r="C44" s="1200">
        <v>2541</v>
      </c>
      <c r="D44" s="4">
        <f t="shared" si="4"/>
        <v>228.69</v>
      </c>
      <c r="E44" s="4">
        <f t="shared" si="1"/>
        <v>228.69</v>
      </c>
      <c r="F44" s="4" t="str">
        <f t="shared" si="2"/>
        <v xml:space="preserve"> </v>
      </c>
      <c r="G44" s="266">
        <v>0</v>
      </c>
      <c r="H44" s="266">
        <v>0</v>
      </c>
      <c r="I44" s="266">
        <v>0</v>
      </c>
    </row>
    <row r="45" spans="1:10" ht="15.75">
      <c r="A45" s="14">
        <v>3317</v>
      </c>
      <c r="B45" s="70" t="s">
        <v>286</v>
      </c>
      <c r="C45" s="1200">
        <v>0</v>
      </c>
      <c r="D45" s="4">
        <f>+C45*9%</f>
        <v>0</v>
      </c>
      <c r="E45" s="4">
        <f t="shared" si="1"/>
        <v>0</v>
      </c>
      <c r="F45" s="4">
        <f t="shared" si="2"/>
        <v>0</v>
      </c>
      <c r="G45" s="266">
        <v>0</v>
      </c>
      <c r="H45" s="266">
        <v>0</v>
      </c>
      <c r="I45" s="266">
        <v>0</v>
      </c>
    </row>
    <row r="46" spans="1:10" ht="15.75">
      <c r="A46" s="14" t="s">
        <v>12</v>
      </c>
      <c r="B46" s="70" t="s">
        <v>11</v>
      </c>
      <c r="C46" s="1198">
        <v>0</v>
      </c>
      <c r="D46" s="4">
        <f>+C46*9%</f>
        <v>0</v>
      </c>
      <c r="E46" s="4">
        <f t="shared" si="1"/>
        <v>0</v>
      </c>
      <c r="F46" s="4">
        <f t="shared" si="2"/>
        <v>0</v>
      </c>
      <c r="G46" s="266">
        <v>0</v>
      </c>
      <c r="H46" s="266">
        <v>0</v>
      </c>
      <c r="I46" s="266">
        <v>0</v>
      </c>
    </row>
    <row r="47" spans="1:10" ht="15.75">
      <c r="A47" s="14">
        <v>3320</v>
      </c>
      <c r="B47" s="70" t="s">
        <v>290</v>
      </c>
      <c r="C47" s="1198">
        <v>0</v>
      </c>
      <c r="D47" s="4">
        <f>+C47*9%</f>
        <v>0</v>
      </c>
      <c r="E47" s="4">
        <f t="shared" si="1"/>
        <v>0</v>
      </c>
      <c r="F47" s="4">
        <f t="shared" si="2"/>
        <v>0</v>
      </c>
      <c r="G47" s="266">
        <v>0</v>
      </c>
      <c r="H47" s="266">
        <v>0</v>
      </c>
      <c r="I47" s="266">
        <v>0</v>
      </c>
    </row>
    <row r="48" spans="1:10" ht="15.75">
      <c r="A48" s="14">
        <v>3321</v>
      </c>
      <c r="B48" s="70" t="s">
        <v>156</v>
      </c>
      <c r="C48" s="1198">
        <v>0</v>
      </c>
      <c r="D48" s="4">
        <f>+C48*9%</f>
        <v>0</v>
      </c>
      <c r="E48" s="4">
        <f t="shared" si="1"/>
        <v>0</v>
      </c>
      <c r="F48" s="4">
        <f t="shared" si="2"/>
        <v>0</v>
      </c>
      <c r="G48" s="266">
        <v>0</v>
      </c>
      <c r="H48" s="266">
        <v>0</v>
      </c>
      <c r="I48" s="266">
        <v>0</v>
      </c>
    </row>
    <row r="49" spans="1:11" ht="15.75">
      <c r="A49" s="14">
        <v>3322</v>
      </c>
      <c r="B49" s="70" t="s">
        <v>335</v>
      </c>
      <c r="C49" s="1198">
        <v>0</v>
      </c>
      <c r="D49" s="4">
        <f>+C49*5%</f>
        <v>0</v>
      </c>
      <c r="E49" s="4">
        <f>+D49</f>
        <v>0</v>
      </c>
      <c r="F49" s="4">
        <f t="shared" si="2"/>
        <v>0</v>
      </c>
      <c r="G49" s="266">
        <v>0</v>
      </c>
      <c r="H49" s="266">
        <v>0</v>
      </c>
      <c r="I49" s="266">
        <v>0</v>
      </c>
    </row>
    <row r="50" spans="1:11" ht="15.75">
      <c r="A50" s="14">
        <v>3324</v>
      </c>
      <c r="B50" s="70" t="s">
        <v>438</v>
      </c>
      <c r="C50" s="1198">
        <v>0</v>
      </c>
      <c r="D50" s="4">
        <f>+C50*5%</f>
        <v>0</v>
      </c>
      <c r="E50" s="4">
        <f>+D50</f>
        <v>0</v>
      </c>
      <c r="F50" s="4">
        <f t="shared" si="2"/>
        <v>0</v>
      </c>
      <c r="G50" s="266">
        <v>0</v>
      </c>
      <c r="H50" s="266">
        <v>0</v>
      </c>
      <c r="I50" s="266">
        <v>0</v>
      </c>
    </row>
    <row r="51" spans="1:11" ht="15.75">
      <c r="A51" s="161">
        <v>3325</v>
      </c>
      <c r="B51" s="70" t="s">
        <v>606</v>
      </c>
      <c r="C51" s="1198">
        <v>0</v>
      </c>
      <c r="D51" s="4">
        <f>+C51*2.5%</f>
        <v>0</v>
      </c>
      <c r="E51" s="4">
        <f>+D51</f>
        <v>0</v>
      </c>
      <c r="F51" s="4">
        <f t="shared" si="2"/>
        <v>0</v>
      </c>
      <c r="G51" s="266">
        <v>0</v>
      </c>
      <c r="H51" s="266">
        <v>0</v>
      </c>
      <c r="I51" s="266">
        <v>0</v>
      </c>
    </row>
    <row r="52" spans="1:11" ht="15.75">
      <c r="A52" s="14">
        <v>3391</v>
      </c>
      <c r="B52" s="70" t="s">
        <v>300</v>
      </c>
      <c r="C52" s="1199">
        <v>18155</v>
      </c>
      <c r="D52" s="4">
        <f>+C52*9%</f>
        <v>1633.95</v>
      </c>
      <c r="E52" s="4">
        <f t="shared" si="1"/>
        <v>1633.95</v>
      </c>
      <c r="F52" s="4" t="str">
        <f t="shared" si="2"/>
        <v xml:space="preserve"> </v>
      </c>
      <c r="G52" s="266">
        <v>0</v>
      </c>
      <c r="H52" s="266">
        <v>0</v>
      </c>
      <c r="I52" s="266">
        <v>0</v>
      </c>
    </row>
    <row r="53" spans="1:11" ht="15.75">
      <c r="A53" s="14">
        <v>3359</v>
      </c>
      <c r="B53" s="70" t="s">
        <v>683</v>
      </c>
      <c r="C53" s="1198">
        <v>0</v>
      </c>
      <c r="D53" s="4">
        <f>+C53*9%</f>
        <v>0</v>
      </c>
      <c r="E53" s="4">
        <f>+D53</f>
        <v>0</v>
      </c>
      <c r="F53" s="4">
        <v>0</v>
      </c>
      <c r="G53" s="266">
        <v>0</v>
      </c>
      <c r="H53" s="266">
        <v>0</v>
      </c>
      <c r="I53" s="266">
        <v>0</v>
      </c>
    </row>
    <row r="54" spans="1:11" ht="15.75">
      <c r="A54" s="14">
        <v>3825</v>
      </c>
      <c r="B54" s="70" t="s">
        <v>646</v>
      </c>
      <c r="C54" s="1198">
        <v>0</v>
      </c>
      <c r="D54" s="4">
        <f>+C54*9%</f>
        <v>0</v>
      </c>
      <c r="E54" s="4">
        <f>+D54</f>
        <v>0</v>
      </c>
      <c r="F54" s="4"/>
      <c r="G54" s="266">
        <v>0</v>
      </c>
      <c r="H54" s="266">
        <v>0</v>
      </c>
      <c r="I54" s="266">
        <v>0</v>
      </c>
    </row>
    <row r="55" spans="1:11" ht="15.75">
      <c r="A55" s="14">
        <v>3362</v>
      </c>
      <c r="B55" s="70" t="s">
        <v>739</v>
      </c>
      <c r="C55" s="1198">
        <v>0</v>
      </c>
      <c r="D55" s="4"/>
      <c r="E55" s="4"/>
      <c r="F55" s="4"/>
      <c r="G55" s="266">
        <v>0</v>
      </c>
      <c r="H55" s="266">
        <v>0</v>
      </c>
      <c r="I55" s="266">
        <v>0</v>
      </c>
    </row>
    <row r="56" spans="1:11" ht="15.75">
      <c r="A56" s="14">
        <v>3340</v>
      </c>
      <c r="B56" s="70" t="s">
        <v>785</v>
      </c>
      <c r="C56" s="1198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266">
        <v>0</v>
      </c>
      <c r="H56" s="266">
        <v>0</v>
      </c>
      <c r="I56" s="266">
        <v>0</v>
      </c>
    </row>
    <row r="57" spans="1:11" ht="15.75">
      <c r="A57" s="15" t="s">
        <v>10</v>
      </c>
      <c r="B57" s="70"/>
      <c r="C57" s="925"/>
      <c r="D57" s="4"/>
      <c r="E57" s="4"/>
      <c r="F57" s="4"/>
      <c r="G57" s="266">
        <v>0</v>
      </c>
      <c r="H57" s="266">
        <v>0</v>
      </c>
      <c r="I57" s="266">
        <v>0</v>
      </c>
    </row>
    <row r="58" spans="1:11" ht="15.75">
      <c r="A58" s="14" t="s">
        <v>9</v>
      </c>
      <c r="B58" s="70" t="s">
        <v>8</v>
      </c>
      <c r="C58" s="925"/>
      <c r="D58" s="4">
        <f>+C58*9%</f>
        <v>0</v>
      </c>
      <c r="E58" s="4">
        <f t="shared" si="1"/>
        <v>0</v>
      </c>
      <c r="F58" s="4">
        <f t="shared" si="2"/>
        <v>0</v>
      </c>
      <c r="G58" s="266">
        <v>0</v>
      </c>
      <c r="H58" s="266">
        <v>0</v>
      </c>
      <c r="I58" s="266">
        <v>0</v>
      </c>
    </row>
    <row r="59" spans="1:11" ht="15.75">
      <c r="A59" s="13" t="s">
        <v>7</v>
      </c>
      <c r="B59" s="70" t="s">
        <v>6</v>
      </c>
      <c r="C59" s="925"/>
      <c r="D59" s="4">
        <f>+C59*9%</f>
        <v>0</v>
      </c>
      <c r="E59" s="4">
        <f t="shared" si="1"/>
        <v>0</v>
      </c>
      <c r="F59" s="4">
        <f t="shared" si="2"/>
        <v>0</v>
      </c>
      <c r="G59" s="266">
        <v>0</v>
      </c>
      <c r="H59" s="266">
        <v>0</v>
      </c>
      <c r="I59" s="266">
        <v>0</v>
      </c>
    </row>
    <row r="60" spans="1:11" ht="15.75">
      <c r="A60" s="5" t="s">
        <v>5</v>
      </c>
      <c r="B60" s="70" t="s">
        <v>4</v>
      </c>
      <c r="C60" s="925"/>
      <c r="D60" s="4"/>
      <c r="E60" s="4"/>
      <c r="F60" s="4"/>
      <c r="G60" s="266">
        <v>0</v>
      </c>
      <c r="H60" s="266">
        <v>0</v>
      </c>
      <c r="I60" s="266">
        <v>0</v>
      </c>
    </row>
    <row r="61" spans="1:11" ht="15.75">
      <c r="A61" s="434"/>
      <c r="B61" s="432" t="s">
        <v>465</v>
      </c>
      <c r="C61" s="925"/>
      <c r="D61" s="4">
        <f>+C61*9%</f>
        <v>0</v>
      </c>
      <c r="E61" s="433">
        <f>+D61</f>
        <v>0</v>
      </c>
      <c r="F61" s="433"/>
      <c r="G61" s="266">
        <v>0</v>
      </c>
      <c r="H61" s="266">
        <v>0</v>
      </c>
      <c r="I61" s="266">
        <v>0</v>
      </c>
    </row>
    <row r="62" spans="1:11" ht="16.5" thickBot="1">
      <c r="A62" s="12"/>
      <c r="B62" s="11" t="s">
        <v>3</v>
      </c>
      <c r="C62" s="10">
        <f>SUM(C9:C61)</f>
        <v>228198.68000000002</v>
      </c>
      <c r="D62" s="10">
        <f>SUM(D9:D61)</f>
        <v>20537.881199999996</v>
      </c>
      <c r="E62" s="10">
        <f>SUM(E9:E61)</f>
        <v>20537.881199999996</v>
      </c>
      <c r="F62" s="10">
        <f>SUM(F9:F61)</f>
        <v>0</v>
      </c>
      <c r="G62" s="10">
        <f>SUM(G9:G59)</f>
        <v>0</v>
      </c>
      <c r="H62" s="10">
        <f>SUM(H9:H59)</f>
        <v>0</v>
      </c>
      <c r="I62" s="10"/>
      <c r="K62" s="1">
        <f>3853.29-D62</f>
        <v>-16684.591199999995</v>
      </c>
    </row>
    <row r="63" spans="1:11" ht="16.5" thickTop="1">
      <c r="A63" s="9" t="s">
        <v>2</v>
      </c>
      <c r="B63" s="8"/>
      <c r="C63" s="7"/>
      <c r="D63" s="7" t="s">
        <v>112</v>
      </c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359</v>
      </c>
      <c r="B65" s="43" t="s">
        <v>360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20537.8812</v>
      </c>
    </row>
    <row r="66" spans="1:10" ht="15.75">
      <c r="A66" s="1228" t="s">
        <v>75</v>
      </c>
      <c r="B66" s="1228"/>
      <c r="C66" s="1228"/>
      <c r="D66" s="1228"/>
      <c r="E66" s="1228"/>
      <c r="F66" s="1228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</row>
    <row r="70" spans="1:10">
      <c r="A70" s="1247"/>
      <c r="B70" s="1248"/>
      <c r="C70" s="1249"/>
      <c r="D70" s="1236"/>
      <c r="E70" s="1236"/>
      <c r="F70" s="1232"/>
    </row>
    <row r="71" spans="1:10" ht="15.75">
      <c r="A71" s="1241" t="s">
        <v>80</v>
      </c>
      <c r="B71" s="1242"/>
      <c r="C71" s="1243"/>
      <c r="D71" s="105">
        <f>+D62</f>
        <v>20537.881199999996</v>
      </c>
      <c r="E71" s="105">
        <f>+E62</f>
        <v>20537.881199999996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0</v>
      </c>
      <c r="D72" s="106">
        <f>+C72*9%</f>
        <v>0</v>
      </c>
      <c r="E72" s="106">
        <f>+D72</f>
        <v>0</v>
      </c>
      <c r="F72" s="105">
        <v>0</v>
      </c>
    </row>
    <row r="73" spans="1:10" ht="15.75">
      <c r="A73" s="43"/>
      <c r="B73" s="43"/>
      <c r="C73" s="43"/>
      <c r="D73" s="105">
        <f>+D71+D72</f>
        <v>20537.881199999996</v>
      </c>
      <c r="E73" s="105">
        <f>+E71+E72</f>
        <v>20537.881199999996</v>
      </c>
      <c r="F73" s="105">
        <v>0</v>
      </c>
    </row>
    <row r="74" spans="1:10" ht="15.75">
      <c r="A74" s="1241" t="s">
        <v>104</v>
      </c>
      <c r="B74" s="1242"/>
      <c r="C74" s="1243"/>
      <c r="D74" s="108">
        <v>20507.68</v>
      </c>
      <c r="E74" s="108">
        <f>+D74</f>
        <v>20507.68</v>
      </c>
      <c r="F74" s="108">
        <v>0</v>
      </c>
      <c r="J74" s="72"/>
    </row>
    <row r="75" spans="1:10" ht="15.75">
      <c r="A75" s="1250" t="s">
        <v>79</v>
      </c>
      <c r="B75" s="1251"/>
      <c r="C75" s="1252"/>
      <c r="D75" s="107">
        <f>D73-D74</f>
        <v>30.201199999995879</v>
      </c>
      <c r="E75" s="107">
        <f>+E73-E74</f>
        <v>30.201199999995879</v>
      </c>
      <c r="F75" s="108">
        <f>IF(F71&gt;F74,F71,F74)</f>
        <v>0</v>
      </c>
      <c r="G75" s="1">
        <f>+E75/9%</f>
        <v>335.56888888884311</v>
      </c>
      <c r="I75" s="1">
        <f>46.4-29.61</f>
        <v>16.79</v>
      </c>
      <c r="J75" s="1">
        <f>+I75/9%</f>
        <v>186.55555555555554</v>
      </c>
    </row>
    <row r="76" spans="1:10" ht="15.75">
      <c r="A76" s="3"/>
      <c r="B76" s="2"/>
      <c r="C76" s="3"/>
      <c r="D76" s="93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0">
      <c r="A79" s="1221"/>
      <c r="B79" s="1222"/>
      <c r="C79" s="1223"/>
      <c r="D79" s="1254" t="s">
        <v>67</v>
      </c>
      <c r="E79" s="1235"/>
      <c r="F79" s="1235"/>
    </row>
    <row r="80" spans="1:10">
      <c r="A80" s="1225"/>
      <c r="B80" s="1226"/>
      <c r="C80" s="1227"/>
      <c r="D80" s="42"/>
      <c r="E80" s="42"/>
      <c r="F80" s="42"/>
    </row>
    <row r="81" spans="1:9" ht="15.75">
      <c r="A81" s="1216" t="s">
        <v>69</v>
      </c>
      <c r="B81" s="1216"/>
      <c r="C81" s="1216"/>
      <c r="D81" s="108">
        <v>8043.75</v>
      </c>
      <c r="E81" s="108">
        <f>+D81</f>
        <v>8043.75</v>
      </c>
      <c r="F81" s="58">
        <v>0</v>
      </c>
      <c r="G81" s="32">
        <f t="shared" ref="G81:I83" si="5">+D81/2</f>
        <v>4021.875</v>
      </c>
      <c r="H81" s="32">
        <f t="shared" si="5"/>
        <v>4021.875</v>
      </c>
      <c r="I81" s="32">
        <f t="shared" si="5"/>
        <v>0</v>
      </c>
    </row>
    <row r="82" spans="1:9" ht="15.75">
      <c r="A82" s="1224" t="s">
        <v>83</v>
      </c>
      <c r="B82" s="1224"/>
      <c r="C82" s="1224"/>
      <c r="D82" s="105">
        <f>+C91</f>
        <v>0</v>
      </c>
      <c r="E82" s="105">
        <f>D82</f>
        <v>0</v>
      </c>
      <c r="F82" s="56">
        <v>0</v>
      </c>
      <c r="G82" s="32">
        <f t="shared" si="5"/>
        <v>0</v>
      </c>
      <c r="H82" s="32">
        <f t="shared" si="5"/>
        <v>0</v>
      </c>
      <c r="I82" s="32">
        <f t="shared" si="5"/>
        <v>0</v>
      </c>
    </row>
    <row r="83" spans="1:9" ht="15.75">
      <c r="A83" s="1215" t="s">
        <v>82</v>
      </c>
      <c r="B83" s="1215"/>
      <c r="C83" s="1215"/>
      <c r="D83" s="105">
        <f>+D81-D82</f>
        <v>8043.75</v>
      </c>
      <c r="E83" s="105">
        <f>+E81-E82</f>
        <v>8043.75</v>
      </c>
      <c r="F83" s="56">
        <f>+F81-F82</f>
        <v>0</v>
      </c>
      <c r="G83" s="32">
        <f t="shared" si="5"/>
        <v>4021.875</v>
      </c>
      <c r="H83" s="32">
        <f t="shared" si="5"/>
        <v>4021.875</v>
      </c>
      <c r="I83" s="32">
        <f t="shared" si="5"/>
        <v>0</v>
      </c>
    </row>
    <row r="86" spans="1:9">
      <c r="B86" s="145" t="s">
        <v>101</v>
      </c>
      <c r="C86" s="112"/>
      <c r="D86" s="112"/>
      <c r="E86" s="112"/>
    </row>
    <row r="87" spans="1:9">
      <c r="B87" s="452" t="s">
        <v>356</v>
      </c>
      <c r="C87" s="452" t="s">
        <v>67</v>
      </c>
      <c r="D87" s="452" t="s">
        <v>155</v>
      </c>
      <c r="E87" s="452" t="s">
        <v>68</v>
      </c>
    </row>
    <row r="88" spans="1:9">
      <c r="B88" s="42" t="s">
        <v>102</v>
      </c>
      <c r="C88" s="42">
        <v>0</v>
      </c>
      <c r="D88" s="42">
        <f>+C88</f>
        <v>0</v>
      </c>
      <c r="E88" s="42">
        <v>0</v>
      </c>
    </row>
    <row r="89" spans="1:9">
      <c r="B89" s="516" t="s">
        <v>440</v>
      </c>
      <c r="C89" s="42">
        <v>0</v>
      </c>
      <c r="D89" s="42">
        <f>+C89</f>
        <v>0</v>
      </c>
      <c r="E89" s="42"/>
    </row>
    <row r="90" spans="1:9">
      <c r="B90" s="516" t="s">
        <v>543</v>
      </c>
      <c r="C90" s="42">
        <v>0</v>
      </c>
      <c r="D90" s="42">
        <f>+C90</f>
        <v>0</v>
      </c>
      <c r="E90" s="42"/>
    </row>
    <row r="91" spans="1:9">
      <c r="B91" s="169" t="s">
        <v>135</v>
      </c>
      <c r="C91" s="490">
        <f>SUM(C88:C90)</f>
        <v>0</v>
      </c>
      <c r="D91" s="490">
        <f>SUM(D88:D90)</f>
        <v>0</v>
      </c>
      <c r="E91" s="490">
        <f>+SUM(E88:E88)</f>
        <v>0</v>
      </c>
    </row>
    <row r="92" spans="1:9" ht="15.75" thickBot="1">
      <c r="B92" s="40"/>
      <c r="C92" s="75"/>
      <c r="D92" s="75"/>
      <c r="E92" s="75"/>
    </row>
    <row r="93" spans="1:9">
      <c r="A93" s="1341" t="s">
        <v>943</v>
      </c>
      <c r="B93" s="1342"/>
      <c r="C93" s="1342"/>
      <c r="D93" s="1342"/>
      <c r="E93" s="1342"/>
      <c r="F93" s="1343"/>
    </row>
    <row r="94" spans="1:9" ht="15" customHeight="1" thickBot="1">
      <c r="A94" s="1344"/>
      <c r="B94" s="1345"/>
      <c r="C94" s="1345"/>
      <c r="D94" s="1345"/>
      <c r="E94" s="1345"/>
      <c r="F94" s="1346"/>
    </row>
    <row r="95" spans="1:9" ht="15.75" thickBot="1">
      <c r="A95" s="722"/>
      <c r="B95" s="722"/>
      <c r="C95" s="722"/>
      <c r="D95" s="722"/>
      <c r="E95" s="722"/>
      <c r="F95" s="722"/>
    </row>
    <row r="96" spans="1:9">
      <c r="A96" s="1276"/>
      <c r="B96" s="1277"/>
      <c r="C96" s="1277"/>
      <c r="D96" s="1277"/>
      <c r="E96" s="1277"/>
      <c r="F96" s="1278"/>
    </row>
    <row r="97" spans="1:6" ht="15.75" thickBot="1">
      <c r="A97" s="1279"/>
      <c r="B97" s="1280"/>
      <c r="C97" s="1280"/>
      <c r="D97" s="1280"/>
      <c r="E97" s="1280"/>
      <c r="F97" s="1281"/>
    </row>
  </sheetData>
  <mergeCells count="30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1:C81"/>
    <mergeCell ref="A93:F94"/>
    <mergeCell ref="A83:C83"/>
    <mergeCell ref="A74:C74"/>
    <mergeCell ref="A75:C75"/>
    <mergeCell ref="A96:F97"/>
    <mergeCell ref="G7:G8"/>
    <mergeCell ref="H7:H8"/>
    <mergeCell ref="I7:I8"/>
    <mergeCell ref="F78:F79"/>
    <mergeCell ref="A82:C82"/>
    <mergeCell ref="D78:D79"/>
    <mergeCell ref="E78:E79"/>
    <mergeCell ref="A66:F66"/>
    <mergeCell ref="A69:C70"/>
    <mergeCell ref="D69:D70"/>
    <mergeCell ref="E69:E70"/>
    <mergeCell ref="F69:F70"/>
    <mergeCell ref="A78:C79"/>
    <mergeCell ref="A71:C71"/>
    <mergeCell ref="A80:C80"/>
  </mergeCells>
  <conditionalFormatting sqref="A22:B34 F66:F86 G81:XFD1048576">
    <cfRule type="containsText" dxfId="173" priority="47" operator="containsText" text="LESS COLLECTED">
      <formula>NOT(ISERROR(SEARCH("LESS COLLECTED",A22)))</formula>
    </cfRule>
  </conditionalFormatting>
  <conditionalFormatting sqref="A28:B32">
    <cfRule type="containsText" dxfId="172" priority="46" operator="containsText" text="EXCESS COLLECTED">
      <formula>NOT(ISERROR(SEARCH("EXCESS COLLECTED",A28)))</formula>
    </cfRule>
  </conditionalFormatting>
  <conditionalFormatting sqref="A35:B56">
    <cfRule type="containsText" dxfId="171" priority="6" operator="containsText" text="LESS COLLECTED">
      <formula>NOT(ISERROR(SEARCH("LESS COLLECTED",A35)))</formula>
    </cfRule>
  </conditionalFormatting>
  <conditionalFormatting sqref="A47:B56">
    <cfRule type="containsText" dxfId="170" priority="5" operator="containsText" text="EXCESS COLLECTED">
      <formula>NOT(ISERROR(SEARCH("EXCESS COLLECTED",A47)))</formula>
    </cfRule>
  </conditionalFormatting>
  <conditionalFormatting sqref="A57:B61">
    <cfRule type="containsText" dxfId="169" priority="51" operator="containsText" text="LESS COLLECTED">
      <formula>NOT(ISERROR(SEARCH("LESS COLLECTED",A57)))</formula>
    </cfRule>
  </conditionalFormatting>
  <conditionalFormatting sqref="A66:E73 A72:F73 A75:E87 A74:C74 E74">
    <cfRule type="containsText" dxfId="168" priority="112" operator="containsText" text="LESS COLLECTED">
      <formula>NOT(ISERROR(SEARCH("LESS COLLECTED",A66)))</formula>
    </cfRule>
  </conditionalFormatting>
  <conditionalFormatting sqref="A72:F73 D69:E70 D85:D86">
    <cfRule type="containsText" dxfId="167" priority="111" operator="containsText" text="EXCESS COLLECTED">
      <formula>NOT(ISERROR(SEARCH("EXCESS COLLECTED",A69)))</formula>
    </cfRule>
  </conditionalFormatting>
  <conditionalFormatting sqref="A98:F1048576">
    <cfRule type="containsText" dxfId="166" priority="19" operator="containsText" text="LESS COLLECTED">
      <formula>NOT(ISERROR(SEARCH("LESS COLLECTED",A98)))</formula>
    </cfRule>
  </conditionalFormatting>
  <conditionalFormatting sqref="A1:XFD3 A4 G4:XFD4 A5:XFD6 A7:F8 G76:XFD79 H80:XFD80 A91:F92 A93 H74:XFD75">
    <cfRule type="containsText" dxfId="165" priority="123" operator="containsText" text="LESS COLLECTED">
      <formula>NOT(ISERROR(SEARCH("LESS COLLECTED",A1)))</formula>
    </cfRule>
  </conditionalFormatting>
  <conditionalFormatting sqref="B61">
    <cfRule type="containsText" dxfId="164" priority="50" operator="containsText" text="EXCESS COLLECTED">
      <formula>NOT(ISERROR(SEARCH("EXCESS COLLECTED",B61)))</formula>
    </cfRule>
  </conditionalFormatting>
  <conditionalFormatting sqref="B85:C90">
    <cfRule type="containsText" dxfId="163" priority="32" operator="containsText" text="EXCESS COLLECTED">
      <formula>NOT(ISERROR(SEARCH("EXCESS COLLECTED",B85)))</formula>
    </cfRule>
  </conditionalFormatting>
  <conditionalFormatting sqref="C9:F10 C57:F61 D11:F56">
    <cfRule type="containsText" dxfId="162" priority="10" operator="containsText" text="LESS COLLECTED">
      <formula>NOT(ISERROR(SEARCH("LESS COLLECTED",C9)))</formula>
    </cfRule>
  </conditionalFormatting>
  <conditionalFormatting sqref="D48:F56">
    <cfRule type="containsText" dxfId="161" priority="7" operator="containsText" text="EXCESS COLLECTED">
      <formula>NOT(ISERROR(SEARCH("EXCESS COLLECTED",D48)))</formula>
    </cfRule>
  </conditionalFormatting>
  <conditionalFormatting sqref="J7:XFD62 A9:B21">
    <cfRule type="containsText" dxfId="160" priority="40" operator="containsText" text="LESS COLLECTED">
      <formula>NOT(ISERROR(SEARCH("LESS COLLECTED",A7)))</formula>
    </cfRule>
  </conditionalFormatting>
  <conditionalFormatting sqref="A96">
    <cfRule type="containsText" dxfId="159" priority="4" operator="containsText" text="LESS COLLECTED">
      <formula>NOT(ISERROR(SEARCH("LESS COLLECTED",A96)))</formula>
    </cfRule>
  </conditionalFormatting>
  <conditionalFormatting sqref="G75">
    <cfRule type="containsText" dxfId="158" priority="3" operator="containsText" text="LESS COLLECTED">
      <formula>NOT(ISERROR(SEARCH("LESS COLLECTED",G75)))</formula>
    </cfRule>
  </conditionalFormatting>
  <conditionalFormatting sqref="D74">
    <cfRule type="containsText" dxfId="157" priority="2" operator="containsText" text="LESS COLLECTED">
      <formula>NOT(ISERROR(SEARCH("LESS COLLECTED",D74)))</formula>
    </cfRule>
  </conditionalFormatting>
  <conditionalFormatting sqref="C11:C56">
    <cfRule type="containsText" dxfId="156" priority="1" operator="containsText" text="LESS COLLECTED">
      <formula>NOT(ISERROR(SEARCH("LESS COLLECTED",C11)))</formula>
    </cfRule>
  </conditionalFormatting>
  <pageMargins left="0.90551181102362199" right="0.95866141699999996" top="0.643700787" bottom="0" header="0.31496062992126" footer="0.31496062992126"/>
  <pageSetup paperSize="9" scale="49" orientation="portrait" r:id="rId1"/>
  <ignoredErrors>
    <ignoredError sqref="E73" 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>
    <tabColor rgb="FF92D050"/>
  </sheetPr>
  <dimension ref="A1:O98"/>
  <sheetViews>
    <sheetView topLeftCell="A66" workbookViewId="0">
      <selection activeCell="D75" sqref="D75"/>
    </sheetView>
  </sheetViews>
  <sheetFormatPr defaultColWidth="9.140625" defaultRowHeight="15"/>
  <cols>
    <col min="1" max="1" width="20.7109375" style="1" bestFit="1" customWidth="1"/>
    <col min="2" max="2" width="43.7109375" style="1" bestFit="1" customWidth="1"/>
    <col min="3" max="3" width="17.140625" style="1" bestFit="1" customWidth="1"/>
    <col min="4" max="4" width="22.28515625" style="1" bestFit="1" customWidth="1"/>
    <col min="5" max="5" width="15.5703125" style="1" bestFit="1" customWidth="1"/>
    <col min="6" max="6" width="11.42578125" style="1" customWidth="1"/>
    <col min="7" max="7" width="17.5703125" style="1" customWidth="1"/>
    <col min="8" max="8" width="16.85546875" style="32" bestFit="1" customWidth="1"/>
    <col min="9" max="9" width="19.5703125" style="1" customWidth="1"/>
    <col min="10" max="10" width="9.5703125" style="1" bestFit="1" customWidth="1"/>
    <col min="11" max="16384" width="9.140625" style="1"/>
  </cols>
  <sheetData>
    <row r="1" spans="1:10" ht="15.75">
      <c r="A1" s="1228" t="s">
        <v>73</v>
      </c>
      <c r="B1" s="1228"/>
      <c r="C1" s="1228"/>
      <c r="D1" s="1228"/>
      <c r="E1" s="1228"/>
      <c r="F1" s="1228"/>
    </row>
    <row r="2" spans="1:10" ht="15.75">
      <c r="A2" s="41"/>
      <c r="B2" s="41"/>
      <c r="C2" s="41"/>
      <c r="D2" s="41"/>
      <c r="E2" s="41"/>
      <c r="F2" s="41"/>
      <c r="H2" s="902"/>
    </row>
    <row r="3" spans="1:10" ht="15.75">
      <c r="A3" s="1229" t="s">
        <v>105</v>
      </c>
      <c r="B3" s="1229"/>
      <c r="C3" s="1229"/>
      <c r="D3" s="1229"/>
      <c r="E3" s="1229"/>
      <c r="F3" s="1229"/>
    </row>
    <row r="4" spans="1:10" ht="15.75">
      <c r="A4" s="1229" t="s">
        <v>342</v>
      </c>
      <c r="B4" s="1229"/>
      <c r="C4" s="1229"/>
      <c r="D4" s="1229"/>
      <c r="E4" s="1229"/>
      <c r="F4" s="1229"/>
    </row>
    <row r="5" spans="1:10" ht="15.75">
      <c r="A5" s="1228" t="str">
        <f>+'ODHAV '!$A$5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0" ht="15.75">
      <c r="A6" s="24" t="s">
        <v>5</v>
      </c>
      <c r="B6" s="3"/>
      <c r="C6" s="23"/>
      <c r="D6" s="1230"/>
      <c r="E6" s="1230"/>
      <c r="F6" s="3"/>
    </row>
    <row r="7" spans="1:10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0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0" ht="15.75">
      <c r="A9" s="161">
        <v>3303</v>
      </c>
      <c r="B9" s="70" t="s">
        <v>609</v>
      </c>
      <c r="C9" s="925">
        <v>0</v>
      </c>
      <c r="D9" s="4">
        <f>+C9*9%</f>
        <v>0</v>
      </c>
      <c r="E9" s="4">
        <f>+D9</f>
        <v>0</v>
      </c>
      <c r="F9" s="4">
        <v>0</v>
      </c>
      <c r="G9" s="595">
        <v>0</v>
      </c>
      <c r="H9" s="595">
        <v>0</v>
      </c>
      <c r="I9" s="595">
        <v>0</v>
      </c>
    </row>
    <row r="10" spans="1:10" ht="15.75">
      <c r="A10" s="161" t="s">
        <v>87</v>
      </c>
      <c r="B10" s="70" t="s">
        <v>61</v>
      </c>
      <c r="C10" s="925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595">
        <v>0</v>
      </c>
      <c r="H10" s="595">
        <v>0</v>
      </c>
      <c r="I10" s="595">
        <v>0</v>
      </c>
    </row>
    <row r="11" spans="1:10" ht="15.75">
      <c r="A11" s="160">
        <v>3215</v>
      </c>
      <c r="B11" s="70" t="s">
        <v>59</v>
      </c>
      <c r="C11" s="1198">
        <v>200</v>
      </c>
      <c r="D11" s="4">
        <f>+C11*9%</f>
        <v>18</v>
      </c>
      <c r="E11" s="4">
        <f>+D11</f>
        <v>18</v>
      </c>
      <c r="F11" s="4" t="str">
        <f t="shared" ref="F11:F48" si="0">IF(D11&gt;0," ",C11*18%)</f>
        <v xml:space="preserve"> </v>
      </c>
      <c r="G11" s="595">
        <v>0</v>
      </c>
      <c r="H11" s="595">
        <v>0</v>
      </c>
      <c r="I11" s="595">
        <v>0</v>
      </c>
    </row>
    <row r="12" spans="1:10" ht="15.75">
      <c r="A12" s="161" t="s">
        <v>58</v>
      </c>
      <c r="B12" s="70" t="s">
        <v>57</v>
      </c>
      <c r="C12" s="1198">
        <v>0</v>
      </c>
      <c r="D12" s="4">
        <f t="shared" ref="D12:D59" si="1">+C12*9%</f>
        <v>0</v>
      </c>
      <c r="E12" s="4">
        <f t="shared" ref="E12:E61" si="2">+D12</f>
        <v>0</v>
      </c>
      <c r="F12" s="4">
        <f t="shared" si="0"/>
        <v>0</v>
      </c>
      <c r="G12" s="595">
        <v>0</v>
      </c>
      <c r="H12" s="595">
        <v>0</v>
      </c>
      <c r="I12" s="595">
        <v>0</v>
      </c>
    </row>
    <row r="13" spans="1:10" ht="15.75">
      <c r="A13" s="160" t="s">
        <v>56</v>
      </c>
      <c r="B13" s="70" t="s">
        <v>55</v>
      </c>
      <c r="C13" s="1198">
        <v>0</v>
      </c>
      <c r="D13" s="4">
        <f t="shared" si="1"/>
        <v>0</v>
      </c>
      <c r="E13" s="4">
        <f t="shared" si="2"/>
        <v>0</v>
      </c>
      <c r="F13" s="4">
        <f t="shared" si="0"/>
        <v>0</v>
      </c>
      <c r="G13" s="595">
        <v>0</v>
      </c>
      <c r="H13" s="595">
        <v>0</v>
      </c>
      <c r="I13" s="595">
        <v>0</v>
      </c>
    </row>
    <row r="14" spans="1:10" ht="15.75">
      <c r="A14" s="160" t="s">
        <v>54</v>
      </c>
      <c r="B14" s="70" t="s">
        <v>53</v>
      </c>
      <c r="C14" s="1198">
        <v>0</v>
      </c>
      <c r="D14" s="4">
        <f t="shared" si="1"/>
        <v>0</v>
      </c>
      <c r="E14" s="4">
        <f t="shared" si="2"/>
        <v>0</v>
      </c>
      <c r="F14" s="4">
        <f t="shared" si="0"/>
        <v>0</v>
      </c>
      <c r="G14" s="595">
        <v>0</v>
      </c>
      <c r="H14" s="595">
        <v>0</v>
      </c>
      <c r="I14" s="595">
        <v>0</v>
      </c>
    </row>
    <row r="15" spans="1:10" ht="15.75">
      <c r="A15" s="160" t="s">
        <v>52</v>
      </c>
      <c r="B15" s="70" t="s">
        <v>51</v>
      </c>
      <c r="C15" s="1198">
        <v>0</v>
      </c>
      <c r="D15" s="4">
        <f t="shared" si="1"/>
        <v>0</v>
      </c>
      <c r="E15" s="4">
        <f t="shared" si="2"/>
        <v>0</v>
      </c>
      <c r="F15" s="4">
        <f t="shared" si="0"/>
        <v>0</v>
      </c>
      <c r="G15" s="595">
        <v>0</v>
      </c>
      <c r="H15" s="595">
        <v>0</v>
      </c>
      <c r="I15" s="595">
        <v>0</v>
      </c>
    </row>
    <row r="16" spans="1:10" ht="15.75">
      <c r="A16" s="161" t="s">
        <v>50</v>
      </c>
      <c r="B16" s="70" t="s">
        <v>49</v>
      </c>
      <c r="C16" s="1198">
        <v>0</v>
      </c>
      <c r="D16" s="4">
        <f t="shared" si="1"/>
        <v>0</v>
      </c>
      <c r="E16" s="4">
        <f t="shared" si="2"/>
        <v>0</v>
      </c>
      <c r="F16" s="4">
        <f t="shared" si="0"/>
        <v>0</v>
      </c>
      <c r="G16" s="595">
        <v>0</v>
      </c>
      <c r="H16" s="595">
        <v>0</v>
      </c>
      <c r="I16" s="595">
        <v>0</v>
      </c>
    </row>
    <row r="17" spans="1:15" ht="15.75">
      <c r="A17" s="161" t="s">
        <v>48</v>
      </c>
      <c r="B17" s="70" t="s">
        <v>47</v>
      </c>
      <c r="C17" s="1198">
        <v>0</v>
      </c>
      <c r="D17" s="4">
        <f t="shared" si="1"/>
        <v>0</v>
      </c>
      <c r="E17" s="4">
        <f t="shared" si="2"/>
        <v>0</v>
      </c>
      <c r="F17" s="4">
        <f t="shared" si="0"/>
        <v>0</v>
      </c>
      <c r="G17" s="595">
        <v>0</v>
      </c>
      <c r="H17" s="595">
        <v>0</v>
      </c>
      <c r="I17" s="595">
        <v>0</v>
      </c>
    </row>
    <row r="18" spans="1:15" ht="15.75">
      <c r="A18" s="161" t="s">
        <v>46</v>
      </c>
      <c r="B18" s="70" t="s">
        <v>45</v>
      </c>
      <c r="C18" s="1198">
        <v>0</v>
      </c>
      <c r="D18" s="4">
        <f t="shared" si="1"/>
        <v>0</v>
      </c>
      <c r="E18" s="4">
        <f t="shared" si="2"/>
        <v>0</v>
      </c>
      <c r="F18" s="4">
        <f t="shared" si="0"/>
        <v>0</v>
      </c>
      <c r="G18" s="595">
        <v>0</v>
      </c>
      <c r="H18" s="595">
        <v>0</v>
      </c>
      <c r="I18" s="595">
        <v>0</v>
      </c>
    </row>
    <row r="19" spans="1:15" ht="15.75">
      <c r="A19" s="160" t="s">
        <v>44</v>
      </c>
      <c r="B19" s="70" t="s">
        <v>43</v>
      </c>
      <c r="C19" s="1198">
        <v>25500</v>
      </c>
      <c r="D19" s="4">
        <f t="shared" si="1"/>
        <v>2295</v>
      </c>
      <c r="E19" s="4">
        <f t="shared" si="2"/>
        <v>2295</v>
      </c>
      <c r="F19" s="4">
        <v>0</v>
      </c>
      <c r="G19" s="928">
        <v>0</v>
      </c>
      <c r="H19" s="595">
        <v>0</v>
      </c>
      <c r="I19" s="595">
        <v>0</v>
      </c>
    </row>
    <row r="20" spans="1:15" ht="15.75">
      <c r="A20" s="13">
        <v>3271</v>
      </c>
      <c r="B20" s="70" t="s">
        <v>533</v>
      </c>
      <c r="C20" s="1198">
        <v>500</v>
      </c>
      <c r="D20" s="4">
        <f t="shared" si="1"/>
        <v>45</v>
      </c>
      <c r="E20" s="4">
        <f t="shared" si="2"/>
        <v>45</v>
      </c>
      <c r="F20" s="4"/>
      <c r="G20" s="595">
        <v>0</v>
      </c>
      <c r="H20" s="595">
        <v>0</v>
      </c>
      <c r="I20" s="595">
        <v>0</v>
      </c>
    </row>
    <row r="21" spans="1:15" ht="15.75">
      <c r="A21" s="13">
        <v>3274</v>
      </c>
      <c r="B21" s="70" t="s">
        <v>554</v>
      </c>
      <c r="C21" s="1198">
        <v>0</v>
      </c>
      <c r="D21" s="4"/>
      <c r="E21" s="4"/>
      <c r="F21" s="4"/>
      <c r="G21" s="595">
        <v>0</v>
      </c>
      <c r="H21" s="595">
        <v>0</v>
      </c>
      <c r="I21" s="595">
        <v>0</v>
      </c>
    </row>
    <row r="22" spans="1:15" ht="15.75">
      <c r="A22" s="158" t="s">
        <v>42</v>
      </c>
      <c r="B22" s="70" t="s">
        <v>41</v>
      </c>
      <c r="C22" s="1198">
        <v>0</v>
      </c>
      <c r="D22" s="4">
        <f t="shared" si="1"/>
        <v>0</v>
      </c>
      <c r="E22" s="4">
        <f t="shared" si="2"/>
        <v>0</v>
      </c>
      <c r="F22" s="4">
        <f t="shared" si="0"/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1198">
        <v>0</v>
      </c>
      <c r="D23" s="4">
        <f t="shared" si="1"/>
        <v>0</v>
      </c>
      <c r="E23" s="4">
        <f t="shared" si="2"/>
        <v>0</v>
      </c>
      <c r="F23" s="4">
        <f t="shared" si="0"/>
        <v>0</v>
      </c>
      <c r="G23" s="595">
        <v>0</v>
      </c>
      <c r="H23" s="595">
        <v>0</v>
      </c>
      <c r="I23" s="595">
        <v>0</v>
      </c>
    </row>
    <row r="24" spans="1:15" ht="15.75">
      <c r="A24" s="161" t="s">
        <v>38</v>
      </c>
      <c r="B24" s="70" t="s">
        <v>37</v>
      </c>
      <c r="C24" s="1198">
        <v>50</v>
      </c>
      <c r="D24" s="4">
        <f t="shared" si="1"/>
        <v>4.5</v>
      </c>
      <c r="E24" s="4">
        <f t="shared" si="2"/>
        <v>4.5</v>
      </c>
      <c r="F24" s="4" t="str">
        <f t="shared" si="0"/>
        <v xml:space="preserve"> </v>
      </c>
      <c r="G24" s="595">
        <v>0</v>
      </c>
      <c r="H24" s="595">
        <v>0</v>
      </c>
      <c r="I24" s="595">
        <v>0</v>
      </c>
    </row>
    <row r="25" spans="1:15" ht="15.75">
      <c r="A25" s="158" t="s">
        <v>36</v>
      </c>
      <c r="B25" s="70" t="s">
        <v>35</v>
      </c>
      <c r="C25" s="1198">
        <v>0</v>
      </c>
      <c r="D25" s="4">
        <f t="shared" si="1"/>
        <v>0</v>
      </c>
      <c r="E25" s="4">
        <f t="shared" si="2"/>
        <v>0</v>
      </c>
      <c r="F25" s="4">
        <f t="shared" si="0"/>
        <v>0</v>
      </c>
      <c r="G25" s="595">
        <v>0</v>
      </c>
      <c r="H25" s="595">
        <v>0</v>
      </c>
      <c r="I25" s="595">
        <v>0</v>
      </c>
    </row>
    <row r="26" spans="1:15" ht="15.75">
      <c r="A26" s="158" t="s">
        <v>34</v>
      </c>
      <c r="B26" s="70" t="s">
        <v>33</v>
      </c>
      <c r="C26" s="1198">
        <v>0</v>
      </c>
      <c r="D26" s="4">
        <f t="shared" si="1"/>
        <v>0</v>
      </c>
      <c r="E26" s="4">
        <f t="shared" si="2"/>
        <v>0</v>
      </c>
      <c r="F26" s="4">
        <f t="shared" si="0"/>
        <v>0</v>
      </c>
      <c r="G26" s="595">
        <v>0</v>
      </c>
      <c r="H26" s="595">
        <v>0</v>
      </c>
      <c r="I26" s="595">
        <v>0</v>
      </c>
    </row>
    <row r="27" spans="1:15" ht="15.75">
      <c r="A27" s="158" t="s">
        <v>32</v>
      </c>
      <c r="B27" s="70" t="s">
        <v>31</v>
      </c>
      <c r="C27" s="1198">
        <v>0</v>
      </c>
      <c r="D27" s="4">
        <f t="shared" si="1"/>
        <v>0</v>
      </c>
      <c r="E27" s="4">
        <f t="shared" si="2"/>
        <v>0</v>
      </c>
      <c r="F27" s="4">
        <f t="shared" si="0"/>
        <v>0</v>
      </c>
      <c r="G27" s="595">
        <v>0</v>
      </c>
      <c r="H27" s="595">
        <v>0</v>
      </c>
      <c r="I27" s="595">
        <v>0</v>
      </c>
    </row>
    <row r="28" spans="1:15" ht="15.75">
      <c r="A28" s="158">
        <v>3291</v>
      </c>
      <c r="B28" s="70" t="s">
        <v>325</v>
      </c>
      <c r="C28" s="1198">
        <v>0</v>
      </c>
      <c r="D28" s="4">
        <f>+C28*9%</f>
        <v>0</v>
      </c>
      <c r="E28" s="4">
        <f>+D28</f>
        <v>0</v>
      </c>
      <c r="F28" s="4">
        <f>IF(D28&gt;0," ",C28*18%)</f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1198">
        <v>205</v>
      </c>
      <c r="D29" s="4">
        <f>+C29*9%</f>
        <v>18.45</v>
      </c>
      <c r="E29" s="4">
        <f>+D29</f>
        <v>18.45</v>
      </c>
      <c r="F29" s="4" t="str">
        <f>IF(D29&gt;0," ",C29*18%)</f>
        <v xml:space="preserve"> </v>
      </c>
      <c r="G29" s="595">
        <v>0</v>
      </c>
      <c r="H29" s="595">
        <v>0</v>
      </c>
      <c r="I29" s="595">
        <v>0</v>
      </c>
    </row>
    <row r="30" spans="1:15" ht="15.75">
      <c r="A30" s="137" t="s">
        <v>527</v>
      </c>
      <c r="B30" s="33" t="s">
        <v>524</v>
      </c>
      <c r="C30" s="1198">
        <v>310</v>
      </c>
      <c r="D30" s="4">
        <f>+C30*9%</f>
        <v>27.9</v>
      </c>
      <c r="E30" s="4">
        <f>+D30</f>
        <v>27.9</v>
      </c>
      <c r="F30" s="4" t="str">
        <f>IF(D30&gt;0," ",C30*18%)</f>
        <v xml:space="preserve"> </v>
      </c>
      <c r="G30" s="595"/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1198">
        <v>100</v>
      </c>
      <c r="D31" s="4">
        <f>+C31*9%</f>
        <v>9</v>
      </c>
      <c r="E31" s="4">
        <f>+D31</f>
        <v>9</v>
      </c>
      <c r="F31" s="4" t="str">
        <f>IF(D31&gt;0," ",C31*18%)</f>
        <v xml:space="preserve"> 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1198">
        <v>0</v>
      </c>
      <c r="D32" s="4">
        <f>+C32*9%</f>
        <v>0</v>
      </c>
      <c r="E32" s="4">
        <f>+D32</f>
        <v>0</v>
      </c>
      <c r="F32" s="4">
        <f>IF(D32&gt;0," ",C32*18%)</f>
        <v>0</v>
      </c>
      <c r="G32" s="595">
        <v>0</v>
      </c>
      <c r="H32" s="595">
        <v>0</v>
      </c>
      <c r="I32" s="595">
        <v>0</v>
      </c>
    </row>
    <row r="33" spans="1:9" ht="15.75">
      <c r="A33" s="160" t="s">
        <v>30</v>
      </c>
      <c r="B33" s="70" t="s">
        <v>29</v>
      </c>
      <c r="C33" s="1198">
        <v>51600.800000000003</v>
      </c>
      <c r="D33" s="4">
        <f t="shared" si="1"/>
        <v>4644.0720000000001</v>
      </c>
      <c r="E33" s="4">
        <f t="shared" si="2"/>
        <v>4644.0720000000001</v>
      </c>
      <c r="F33" s="4" t="str">
        <f t="shared" si="0"/>
        <v xml:space="preserve"> </v>
      </c>
      <c r="G33" s="266">
        <v>0</v>
      </c>
      <c r="H33" s="266">
        <v>0</v>
      </c>
      <c r="I33" s="266">
        <v>0</v>
      </c>
    </row>
    <row r="34" spans="1:9" ht="15.75">
      <c r="A34" s="160">
        <v>3301</v>
      </c>
      <c r="B34" s="70" t="s">
        <v>154</v>
      </c>
      <c r="C34" s="1198">
        <v>0</v>
      </c>
      <c r="D34" s="4">
        <f t="shared" si="1"/>
        <v>0</v>
      </c>
      <c r="E34" s="4">
        <f t="shared" si="2"/>
        <v>0</v>
      </c>
      <c r="F34" s="4">
        <f t="shared" si="0"/>
        <v>0</v>
      </c>
      <c r="G34" s="595">
        <v>0</v>
      </c>
      <c r="H34" s="595">
        <v>0</v>
      </c>
      <c r="I34" s="595">
        <v>0</v>
      </c>
    </row>
    <row r="35" spans="1:9" ht="15.75">
      <c r="A35" s="13">
        <v>3302</v>
      </c>
      <c r="B35" s="70" t="s">
        <v>525</v>
      </c>
      <c r="C35" s="1198">
        <v>0</v>
      </c>
      <c r="D35" s="4">
        <f>+C35*9%</f>
        <v>0</v>
      </c>
      <c r="E35" s="4">
        <f>+D35</f>
        <v>0</v>
      </c>
      <c r="F35" s="4">
        <f>IF(D35&gt;0," ",C35*18%)</f>
        <v>0</v>
      </c>
      <c r="G35" s="595">
        <v>0</v>
      </c>
      <c r="H35" s="595">
        <v>0</v>
      </c>
      <c r="I35" s="595">
        <v>0</v>
      </c>
    </row>
    <row r="36" spans="1:9" ht="15.75">
      <c r="A36" s="161" t="s">
        <v>28</v>
      </c>
      <c r="B36" s="70" t="s">
        <v>27</v>
      </c>
      <c r="C36" s="1198">
        <v>0</v>
      </c>
      <c r="D36" s="4">
        <f t="shared" si="1"/>
        <v>0</v>
      </c>
      <c r="E36" s="4">
        <f t="shared" si="2"/>
        <v>0</v>
      </c>
      <c r="F36" s="4">
        <f t="shared" si="0"/>
        <v>0</v>
      </c>
      <c r="G36" s="595">
        <v>0</v>
      </c>
      <c r="H36" s="595">
        <v>0</v>
      </c>
      <c r="I36" s="595">
        <v>0</v>
      </c>
    </row>
    <row r="37" spans="1:9" ht="15.75">
      <c r="A37" s="158" t="s">
        <v>114</v>
      </c>
      <c r="B37" s="70" t="s">
        <v>115</v>
      </c>
      <c r="C37" s="1198">
        <v>0</v>
      </c>
      <c r="D37" s="4">
        <f>+C37*9%</f>
        <v>0</v>
      </c>
      <c r="E37" s="4">
        <f>+D37</f>
        <v>0</v>
      </c>
      <c r="F37" s="4">
        <f>IF(D37&gt;0," ",C37*18%)</f>
        <v>0</v>
      </c>
      <c r="G37" s="595">
        <v>0</v>
      </c>
      <c r="H37" s="595">
        <v>0</v>
      </c>
      <c r="I37" s="595">
        <v>0</v>
      </c>
    </row>
    <row r="38" spans="1:9" ht="15.75">
      <c r="A38" s="160" t="s">
        <v>26</v>
      </c>
      <c r="B38" s="177" t="s">
        <v>394</v>
      </c>
      <c r="C38" s="1198">
        <v>1277.74</v>
      </c>
      <c r="D38" s="4">
        <f>+C38*9%</f>
        <v>114.9966</v>
      </c>
      <c r="E38" s="4">
        <f>+D38</f>
        <v>114.9966</v>
      </c>
      <c r="F38" s="4">
        <v>0</v>
      </c>
      <c r="G38" s="595">
        <v>0</v>
      </c>
      <c r="H38" s="595">
        <v>0</v>
      </c>
      <c r="I38" s="595">
        <v>0</v>
      </c>
    </row>
    <row r="39" spans="1:9" ht="15.75">
      <c r="A39" s="160" t="s">
        <v>24</v>
      </c>
      <c r="B39" s="70" t="s">
        <v>23</v>
      </c>
      <c r="C39" s="1198">
        <v>1200</v>
      </c>
      <c r="D39" s="4">
        <f t="shared" si="1"/>
        <v>108</v>
      </c>
      <c r="E39" s="4">
        <f t="shared" si="2"/>
        <v>108</v>
      </c>
      <c r="F39" s="4" t="str">
        <f t="shared" si="0"/>
        <v xml:space="preserve"> </v>
      </c>
      <c r="G39" s="595">
        <v>0</v>
      </c>
      <c r="H39" s="595">
        <v>0</v>
      </c>
      <c r="I39" s="595">
        <v>0</v>
      </c>
    </row>
    <row r="40" spans="1:9" ht="15.75">
      <c r="A40" s="160" t="s">
        <v>22</v>
      </c>
      <c r="B40" s="70" t="s">
        <v>21</v>
      </c>
      <c r="C40" s="1198">
        <v>2100</v>
      </c>
      <c r="D40" s="4">
        <f t="shared" si="1"/>
        <v>189</v>
      </c>
      <c r="E40" s="4">
        <f t="shared" si="2"/>
        <v>189</v>
      </c>
      <c r="F40" s="4" t="str">
        <f t="shared" si="0"/>
        <v xml:space="preserve"> </v>
      </c>
      <c r="G40" s="595">
        <v>0</v>
      </c>
      <c r="H40" s="595">
        <v>0</v>
      </c>
      <c r="I40" s="595">
        <v>0</v>
      </c>
    </row>
    <row r="41" spans="1:9" ht="15.75">
      <c r="A41" s="160" t="s">
        <v>20</v>
      </c>
      <c r="B41" s="70" t="s">
        <v>19</v>
      </c>
      <c r="C41" s="1198">
        <v>400</v>
      </c>
      <c r="D41" s="4">
        <f t="shared" si="1"/>
        <v>36</v>
      </c>
      <c r="E41" s="4">
        <f t="shared" si="2"/>
        <v>36</v>
      </c>
      <c r="F41" s="4" t="str">
        <f t="shared" si="0"/>
        <v xml:space="preserve"> </v>
      </c>
      <c r="G41" s="595">
        <v>0</v>
      </c>
      <c r="H41" s="595">
        <v>0</v>
      </c>
      <c r="I41" s="595">
        <v>0</v>
      </c>
    </row>
    <row r="42" spans="1:9" ht="15.75">
      <c r="A42" s="161" t="s">
        <v>18</v>
      </c>
      <c r="B42" s="70" t="s">
        <v>17</v>
      </c>
      <c r="C42" s="1198">
        <v>2280</v>
      </c>
      <c r="D42" s="4">
        <f t="shared" si="1"/>
        <v>205.2</v>
      </c>
      <c r="E42" s="4">
        <f t="shared" si="2"/>
        <v>205.2</v>
      </c>
      <c r="F42" s="4" t="str">
        <f t="shared" si="0"/>
        <v xml:space="preserve"> </v>
      </c>
      <c r="G42" s="595">
        <v>0</v>
      </c>
      <c r="H42" s="595">
        <v>0</v>
      </c>
      <c r="I42" s="595">
        <v>0</v>
      </c>
    </row>
    <row r="43" spans="1:9" ht="15.75">
      <c r="A43" s="161" t="s">
        <v>16</v>
      </c>
      <c r="B43" s="70" t="s">
        <v>15</v>
      </c>
      <c r="C43" s="1198">
        <v>1400</v>
      </c>
      <c r="D43" s="4">
        <f t="shared" si="1"/>
        <v>126</v>
      </c>
      <c r="E43" s="4">
        <f t="shared" si="2"/>
        <v>126</v>
      </c>
      <c r="F43" s="4" t="str">
        <f t="shared" si="0"/>
        <v xml:space="preserve"> </v>
      </c>
      <c r="G43" s="595">
        <v>0</v>
      </c>
      <c r="H43" s="595">
        <v>0</v>
      </c>
      <c r="I43" s="595">
        <v>0</v>
      </c>
    </row>
    <row r="44" spans="1:9" ht="15.75">
      <c r="A44" s="161" t="s">
        <v>14</v>
      </c>
      <c r="B44" s="70" t="s">
        <v>13</v>
      </c>
      <c r="C44" s="1198">
        <v>782</v>
      </c>
      <c r="D44" s="4">
        <f t="shared" si="1"/>
        <v>70.38</v>
      </c>
      <c r="E44" s="4">
        <f t="shared" si="2"/>
        <v>70.38</v>
      </c>
      <c r="F44" s="4" t="str">
        <f t="shared" si="0"/>
        <v xml:space="preserve"> </v>
      </c>
      <c r="G44" s="595">
        <v>0</v>
      </c>
      <c r="H44" s="595">
        <v>0</v>
      </c>
      <c r="I44" s="595">
        <v>0</v>
      </c>
    </row>
    <row r="45" spans="1:9" ht="15.75">
      <c r="A45" s="161">
        <v>3317</v>
      </c>
      <c r="B45" s="70" t="s">
        <v>286</v>
      </c>
      <c r="C45" s="1198">
        <v>0</v>
      </c>
      <c r="D45" s="4">
        <f t="shared" si="1"/>
        <v>0</v>
      </c>
      <c r="E45" s="4">
        <f t="shared" si="2"/>
        <v>0</v>
      </c>
      <c r="F45" s="4">
        <f t="shared" si="0"/>
        <v>0</v>
      </c>
      <c r="G45" s="595">
        <v>0</v>
      </c>
      <c r="H45" s="595">
        <v>0</v>
      </c>
      <c r="I45" s="595">
        <v>0</v>
      </c>
    </row>
    <row r="46" spans="1:9" ht="15.75">
      <c r="A46" s="161" t="s">
        <v>12</v>
      </c>
      <c r="B46" s="70" t="s">
        <v>11</v>
      </c>
      <c r="C46" s="1198">
        <v>0</v>
      </c>
      <c r="D46" s="4">
        <f t="shared" si="1"/>
        <v>0</v>
      </c>
      <c r="E46" s="4">
        <f t="shared" si="2"/>
        <v>0</v>
      </c>
      <c r="F46" s="4">
        <f t="shared" si="0"/>
        <v>0</v>
      </c>
      <c r="G46" s="595">
        <v>0</v>
      </c>
      <c r="H46" s="595">
        <v>0</v>
      </c>
      <c r="I46" s="595">
        <v>0</v>
      </c>
    </row>
    <row r="47" spans="1:9" ht="15.75">
      <c r="A47" s="161">
        <v>3320</v>
      </c>
      <c r="B47" s="70" t="s">
        <v>290</v>
      </c>
      <c r="C47" s="1198">
        <f>963040-963040</f>
        <v>0</v>
      </c>
      <c r="D47" s="4">
        <f t="shared" si="1"/>
        <v>0</v>
      </c>
      <c r="E47" s="4">
        <f t="shared" si="2"/>
        <v>0</v>
      </c>
      <c r="F47" s="4">
        <f t="shared" si="0"/>
        <v>0</v>
      </c>
      <c r="G47" s="595">
        <v>0</v>
      </c>
      <c r="H47" s="595">
        <v>0</v>
      </c>
      <c r="I47" s="595">
        <v>0</v>
      </c>
    </row>
    <row r="48" spans="1:9" ht="15.75">
      <c r="A48" s="161">
        <v>3321</v>
      </c>
      <c r="B48" s="70" t="s">
        <v>156</v>
      </c>
      <c r="C48" s="1198">
        <v>0</v>
      </c>
      <c r="D48" s="4">
        <f t="shared" si="1"/>
        <v>0</v>
      </c>
      <c r="E48" s="4">
        <f t="shared" si="2"/>
        <v>0</v>
      </c>
      <c r="F48" s="4">
        <f t="shared" si="0"/>
        <v>0</v>
      </c>
      <c r="G48" s="595">
        <v>0</v>
      </c>
      <c r="H48" s="595">
        <v>0</v>
      </c>
      <c r="I48" s="595">
        <v>0</v>
      </c>
    </row>
    <row r="49" spans="1:9" ht="15.75">
      <c r="A49" s="161">
        <v>3322</v>
      </c>
      <c r="B49" s="70" t="s">
        <v>335</v>
      </c>
      <c r="C49" s="1198">
        <v>0</v>
      </c>
      <c r="D49" s="4">
        <f>+C49*5%</f>
        <v>0</v>
      </c>
      <c r="E49" s="4">
        <f t="shared" ref="E49:E57" si="3">+D49</f>
        <v>0</v>
      </c>
      <c r="F49" s="4"/>
      <c r="G49" s="595">
        <v>0</v>
      </c>
      <c r="H49" s="595">
        <v>0</v>
      </c>
      <c r="I49" s="595">
        <v>0</v>
      </c>
    </row>
    <row r="50" spans="1:9" ht="15.75">
      <c r="A50" s="161">
        <v>3324</v>
      </c>
      <c r="B50" s="70" t="s">
        <v>438</v>
      </c>
      <c r="C50" s="1198">
        <v>191.14</v>
      </c>
      <c r="D50" s="4">
        <f t="shared" ref="D50:D57" si="4">+C50*9%</f>
        <v>17.202599999999997</v>
      </c>
      <c r="E50" s="4">
        <f t="shared" si="3"/>
        <v>17.202599999999997</v>
      </c>
      <c r="F50" s="4"/>
      <c r="G50" s="595">
        <v>0</v>
      </c>
      <c r="H50" s="595">
        <v>0</v>
      </c>
      <c r="I50" s="595">
        <v>0</v>
      </c>
    </row>
    <row r="51" spans="1:9" ht="15.75">
      <c r="A51" s="14">
        <v>3325</v>
      </c>
      <c r="B51" s="70" t="s">
        <v>605</v>
      </c>
      <c r="C51" s="1198">
        <v>0</v>
      </c>
      <c r="D51" s="4">
        <f t="shared" si="4"/>
        <v>0</v>
      </c>
      <c r="E51" s="4">
        <f t="shared" si="3"/>
        <v>0</v>
      </c>
      <c r="F51" s="4"/>
      <c r="G51" s="595">
        <v>0</v>
      </c>
      <c r="H51" s="595">
        <v>0</v>
      </c>
      <c r="I51" s="595">
        <v>0</v>
      </c>
    </row>
    <row r="52" spans="1:9" ht="15.75">
      <c r="A52" s="161">
        <v>3380</v>
      </c>
      <c r="B52" s="70" t="s">
        <v>130</v>
      </c>
      <c r="C52" s="1198">
        <v>0</v>
      </c>
      <c r="D52" s="4">
        <f t="shared" si="4"/>
        <v>0</v>
      </c>
      <c r="E52" s="4">
        <f t="shared" si="3"/>
        <v>0</v>
      </c>
      <c r="F52" s="4"/>
      <c r="G52" s="595">
        <v>0</v>
      </c>
      <c r="H52" s="595">
        <v>0</v>
      </c>
      <c r="I52" s="595">
        <v>0</v>
      </c>
    </row>
    <row r="53" spans="1:9" ht="15.75">
      <c r="A53" s="161">
        <v>3391</v>
      </c>
      <c r="B53" s="70" t="s">
        <v>300</v>
      </c>
      <c r="C53" s="1198">
        <v>11021</v>
      </c>
      <c r="D53" s="4">
        <f t="shared" si="4"/>
        <v>991.89</v>
      </c>
      <c r="E53" s="4">
        <f t="shared" si="3"/>
        <v>991.89</v>
      </c>
      <c r="F53" s="4" t="str">
        <f>IF(D53&gt;0," ",C53*18%)</f>
        <v xml:space="preserve"> </v>
      </c>
      <c r="G53" s="595">
        <v>0</v>
      </c>
      <c r="H53" s="595">
        <v>0</v>
      </c>
      <c r="I53" s="595">
        <v>0</v>
      </c>
    </row>
    <row r="54" spans="1:9" ht="15.75">
      <c r="A54" s="14">
        <v>3359</v>
      </c>
      <c r="B54" s="70" t="s">
        <v>683</v>
      </c>
      <c r="C54" s="1198">
        <v>0</v>
      </c>
      <c r="D54" s="4">
        <f>+C54*9%</f>
        <v>0</v>
      </c>
      <c r="E54" s="4">
        <f>+D54</f>
        <v>0</v>
      </c>
      <c r="F54" s="4">
        <v>0</v>
      </c>
      <c r="G54" s="266">
        <v>0</v>
      </c>
      <c r="H54" s="266">
        <v>0</v>
      </c>
      <c r="I54" s="266">
        <v>0</v>
      </c>
    </row>
    <row r="55" spans="1:9" ht="15.75">
      <c r="A55" s="161">
        <v>3825</v>
      </c>
      <c r="B55" s="70" t="s">
        <v>646</v>
      </c>
      <c r="C55" s="1198">
        <v>0</v>
      </c>
      <c r="D55" s="4">
        <f t="shared" si="4"/>
        <v>0</v>
      </c>
      <c r="E55" s="4">
        <f t="shared" si="3"/>
        <v>0</v>
      </c>
      <c r="F55" s="4"/>
      <c r="G55" s="595">
        <v>0</v>
      </c>
      <c r="H55" s="595">
        <v>0</v>
      </c>
      <c r="I55" s="595">
        <v>0</v>
      </c>
    </row>
    <row r="56" spans="1:9" ht="15.75">
      <c r="A56" s="161">
        <v>3362</v>
      </c>
      <c r="B56" s="70" t="s">
        <v>739</v>
      </c>
      <c r="C56" s="1198">
        <v>0</v>
      </c>
      <c r="D56" s="4">
        <f t="shared" si="4"/>
        <v>0</v>
      </c>
      <c r="E56" s="4">
        <f t="shared" si="3"/>
        <v>0</v>
      </c>
      <c r="F56" s="4"/>
      <c r="G56" s="266">
        <v>0</v>
      </c>
      <c r="H56" s="266">
        <v>0</v>
      </c>
      <c r="I56" s="266">
        <v>0</v>
      </c>
    </row>
    <row r="57" spans="1:9" ht="15.75">
      <c r="A57" s="14">
        <v>3340</v>
      </c>
      <c r="B57" s="70" t="s">
        <v>785</v>
      </c>
      <c r="C57" s="1198">
        <v>0</v>
      </c>
      <c r="D57" s="4">
        <f t="shared" si="4"/>
        <v>0</v>
      </c>
      <c r="E57" s="4">
        <f t="shared" si="3"/>
        <v>0</v>
      </c>
      <c r="F57" s="4">
        <f>IF(D57&gt;0," ",C57*18%)</f>
        <v>0</v>
      </c>
      <c r="G57" s="595">
        <v>0</v>
      </c>
      <c r="H57" s="595">
        <v>0</v>
      </c>
      <c r="I57" s="595">
        <v>0</v>
      </c>
    </row>
    <row r="58" spans="1:9" ht="15.75">
      <c r="A58" s="162" t="s">
        <v>10</v>
      </c>
      <c r="B58" s="70"/>
      <c r="C58" s="1198"/>
      <c r="D58" s="4">
        <f t="shared" si="1"/>
        <v>0</v>
      </c>
      <c r="E58" s="4">
        <f t="shared" si="2"/>
        <v>0</v>
      </c>
      <c r="F58" s="4"/>
      <c r="G58" s="595">
        <v>0</v>
      </c>
      <c r="H58" s="595">
        <v>0</v>
      </c>
      <c r="I58" s="595">
        <v>0</v>
      </c>
    </row>
    <row r="59" spans="1:9" ht="15.75">
      <c r="A59" s="161" t="s">
        <v>9</v>
      </c>
      <c r="B59" s="70" t="s">
        <v>8</v>
      </c>
      <c r="C59" s="1198">
        <v>0</v>
      </c>
      <c r="D59" s="4">
        <f t="shared" si="1"/>
        <v>0</v>
      </c>
      <c r="E59" s="4">
        <f t="shared" si="2"/>
        <v>0</v>
      </c>
      <c r="F59" s="4"/>
      <c r="G59" s="595">
        <v>0</v>
      </c>
      <c r="H59" s="595">
        <v>0</v>
      </c>
      <c r="I59" s="595">
        <v>0</v>
      </c>
    </row>
    <row r="60" spans="1:9" ht="15.75">
      <c r="A60" s="160" t="s">
        <v>7</v>
      </c>
      <c r="B60" s="70" t="s">
        <v>6</v>
      </c>
      <c r="C60" s="1198">
        <f>116200-7815</f>
        <v>108385</v>
      </c>
      <c r="D60" s="4">
        <f>+C60*9%</f>
        <v>9754.65</v>
      </c>
      <c r="E60" s="4">
        <f t="shared" si="2"/>
        <v>9754.65</v>
      </c>
      <c r="F60" s="4" t="str">
        <f>IF(D60&gt;0," ",C60*18%)</f>
        <v xml:space="preserve"> </v>
      </c>
      <c r="G60" s="925">
        <v>7815</v>
      </c>
      <c r="H60" s="595">
        <v>0</v>
      </c>
      <c r="I60" s="595">
        <v>0</v>
      </c>
    </row>
    <row r="61" spans="1:9" ht="15.75">
      <c r="A61" s="163" t="s">
        <v>5</v>
      </c>
      <c r="B61" s="70" t="s">
        <v>4</v>
      </c>
      <c r="C61" s="925">
        <v>0</v>
      </c>
      <c r="D61" s="4">
        <f>+C61*9%</f>
        <v>0</v>
      </c>
      <c r="E61" s="4">
        <f t="shared" si="2"/>
        <v>0</v>
      </c>
      <c r="F61" s="4"/>
      <c r="G61" s="595">
        <v>0</v>
      </c>
      <c r="H61" s="595">
        <v>0</v>
      </c>
      <c r="I61" s="595">
        <v>0</v>
      </c>
    </row>
    <row r="62" spans="1:9" ht="15.75">
      <c r="A62" s="431"/>
      <c r="B62" s="432" t="s">
        <v>465</v>
      </c>
      <c r="C62" s="925">
        <v>0</v>
      </c>
      <c r="D62" s="4">
        <f>+C62*9%</f>
        <v>0</v>
      </c>
      <c r="E62" s="433">
        <f>+D62</f>
        <v>0</v>
      </c>
      <c r="F62" s="433"/>
      <c r="G62" s="595">
        <v>0</v>
      </c>
      <c r="H62" s="595">
        <v>0</v>
      </c>
      <c r="I62" s="595">
        <v>0</v>
      </c>
    </row>
    <row r="63" spans="1:9" ht="16.5" thickBot="1">
      <c r="A63" s="12"/>
      <c r="B63" s="11" t="s">
        <v>3</v>
      </c>
      <c r="C63" s="10">
        <f>SUM(C9:C62)</f>
        <v>207502.68</v>
      </c>
      <c r="D63" s="10">
        <f>SUM(D9:D62)</f>
        <v>18675.2412</v>
      </c>
      <c r="E63" s="10">
        <f>SUM(E9:E62)</f>
        <v>18675.2412</v>
      </c>
      <c r="F63" s="10">
        <f>SUM(F9:F62)</f>
        <v>0</v>
      </c>
      <c r="G63" s="200">
        <f>+SUM(G9:G61)</f>
        <v>7815</v>
      </c>
      <c r="H63" s="200">
        <f>+SUM(H9:H61)</f>
        <v>0</v>
      </c>
      <c r="I63" s="200">
        <f>+SUM(I9:I61)</f>
        <v>0</v>
      </c>
    </row>
    <row r="64" spans="1:9" ht="16.5" thickTop="1">
      <c r="A64" s="9" t="s">
        <v>2</v>
      </c>
      <c r="B64" s="8"/>
      <c r="C64" s="7"/>
      <c r="D64" s="7" t="s">
        <v>112</v>
      </c>
      <c r="E64" s="7"/>
      <c r="F64" s="6"/>
    </row>
    <row r="65" spans="1:10" ht="15.75">
      <c r="A65" s="5" t="s">
        <v>1</v>
      </c>
      <c r="B65" s="43" t="s">
        <v>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H65" s="468"/>
    </row>
    <row r="66" spans="1:10" ht="15.75">
      <c r="A66" s="5" t="s">
        <v>359</v>
      </c>
      <c r="B66" s="43" t="s">
        <v>360</v>
      </c>
      <c r="C66" s="4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18675.2412</v>
      </c>
      <c r="H66" s="32">
        <f>+C63*0.09</f>
        <v>18675.2412</v>
      </c>
    </row>
    <row r="67" spans="1:10" ht="15.75">
      <c r="A67" s="1228" t="s">
        <v>75</v>
      </c>
      <c r="B67" s="1228"/>
      <c r="C67" s="1228"/>
      <c r="D67" s="1228"/>
      <c r="E67" s="1228"/>
      <c r="F67" s="1228"/>
    </row>
    <row r="68" spans="1:10" ht="15.75">
      <c r="A68" s="28"/>
      <c r="B68" s="28"/>
      <c r="C68" s="28"/>
      <c r="D68" s="28"/>
      <c r="E68" s="28"/>
      <c r="F68" s="28"/>
      <c r="G68" s="1">
        <f>C59*9%</f>
        <v>0</v>
      </c>
    </row>
    <row r="69" spans="1:10" ht="15.75">
      <c r="A69" s="29" t="s">
        <v>76</v>
      </c>
      <c r="B69" s="29"/>
      <c r="C69" s="3"/>
      <c r="D69" s="3"/>
      <c r="E69" s="3"/>
      <c r="F69" s="3"/>
    </row>
    <row r="70" spans="1:10">
      <c r="A70" s="1244" t="s">
        <v>65</v>
      </c>
      <c r="B70" s="1245"/>
      <c r="C70" s="1246"/>
      <c r="D70" s="1236" t="s">
        <v>89</v>
      </c>
      <c r="E70" s="1236" t="s">
        <v>67</v>
      </c>
      <c r="F70" s="1231" t="s">
        <v>68</v>
      </c>
    </row>
    <row r="71" spans="1:10">
      <c r="A71" s="1247"/>
      <c r="B71" s="1248"/>
      <c r="C71" s="1249"/>
      <c r="D71" s="1236"/>
      <c r="E71" s="1236"/>
      <c r="F71" s="1232"/>
    </row>
    <row r="72" spans="1:10" ht="15.75">
      <c r="A72" s="1241" t="s">
        <v>80</v>
      </c>
      <c r="B72" s="1242"/>
      <c r="C72" s="1243"/>
      <c r="D72" s="105">
        <f>+D63</f>
        <v>18675.2412</v>
      </c>
      <c r="E72" s="105">
        <f>+E63</f>
        <v>18675.2412</v>
      </c>
      <c r="F72" s="30">
        <v>0</v>
      </c>
    </row>
    <row r="73" spans="1:10" ht="15.75">
      <c r="A73" s="43" t="s">
        <v>103</v>
      </c>
      <c r="B73" s="43"/>
      <c r="C73" s="43">
        <f>G63</f>
        <v>7815</v>
      </c>
      <c r="D73" s="106">
        <f>+C73*9%</f>
        <v>703.35</v>
      </c>
      <c r="E73" s="106">
        <f>+D73</f>
        <v>703.35</v>
      </c>
      <c r="F73" s="30">
        <v>0</v>
      </c>
    </row>
    <row r="74" spans="1:10" ht="15.75">
      <c r="A74" s="43"/>
      <c r="B74" s="43"/>
      <c r="C74" s="43"/>
      <c r="D74" s="105">
        <f>+D72+D73</f>
        <v>19378.591199999999</v>
      </c>
      <c r="E74" s="105">
        <f>+E72+E73</f>
        <v>19378.591199999999</v>
      </c>
      <c r="F74" s="30">
        <v>0</v>
      </c>
    </row>
    <row r="75" spans="1:10" ht="15.75">
      <c r="A75" s="1241" t="s">
        <v>104</v>
      </c>
      <c r="B75" s="1242"/>
      <c r="C75" s="1243"/>
      <c r="D75" s="108">
        <v>19379.03</v>
      </c>
      <c r="E75" s="108">
        <f>+D75</f>
        <v>19379.03</v>
      </c>
      <c r="F75" s="26">
        <v>0</v>
      </c>
      <c r="H75" s="625"/>
      <c r="J75" s="72"/>
    </row>
    <row r="76" spans="1:10" ht="15.75">
      <c r="A76" s="1250" t="s">
        <v>79</v>
      </c>
      <c r="B76" s="1251"/>
      <c r="C76" s="1252"/>
      <c r="D76" s="107">
        <f>D74-D75</f>
        <v>-0.43879999999990105</v>
      </c>
      <c r="E76" s="107">
        <f>+E74-E75</f>
        <v>-0.43879999999990105</v>
      </c>
      <c r="F76" s="26">
        <f>IF(F72&gt;F75,F72,F75)</f>
        <v>0</v>
      </c>
      <c r="G76" s="1">
        <f>+D76/9%</f>
        <v>-4.8755555555544561</v>
      </c>
    </row>
    <row r="77" spans="1:10" ht="15.75">
      <c r="A77" s="3"/>
      <c r="B77" s="2"/>
      <c r="C77" s="3"/>
      <c r="D77" s="3"/>
      <c r="E77" s="3"/>
      <c r="F77" s="3"/>
    </row>
    <row r="78" spans="1:10" ht="15.75">
      <c r="A78" s="27" t="s">
        <v>77</v>
      </c>
      <c r="B78" s="2"/>
      <c r="C78" s="3"/>
      <c r="D78" s="3"/>
      <c r="E78" s="3"/>
      <c r="F78" s="3"/>
    </row>
    <row r="79" spans="1:10">
      <c r="A79" s="1218" t="s">
        <v>65</v>
      </c>
      <c r="B79" s="1219"/>
      <c r="C79" s="1220"/>
      <c r="D79" s="1253" t="s">
        <v>70</v>
      </c>
      <c r="E79" s="1234" t="s">
        <v>71</v>
      </c>
      <c r="F79" s="1234" t="s">
        <v>72</v>
      </c>
    </row>
    <row r="80" spans="1:10">
      <c r="A80" s="1221"/>
      <c r="B80" s="1222"/>
      <c r="C80" s="1223"/>
      <c r="D80" s="1254" t="s">
        <v>67</v>
      </c>
      <c r="E80" s="1235"/>
      <c r="F80" s="1235"/>
      <c r="G80" s="32"/>
    </row>
    <row r="81" spans="1:9">
      <c r="A81" s="1225"/>
      <c r="B81" s="1226"/>
      <c r="C81" s="1227"/>
      <c r="D81" s="42"/>
      <c r="E81" s="42"/>
      <c r="F81" s="42"/>
      <c r="G81" s="32"/>
    </row>
    <row r="82" spans="1:9" ht="15.75">
      <c r="A82" s="1216" t="s">
        <v>69</v>
      </c>
      <c r="B82" s="1216"/>
      <c r="C82" s="1216"/>
      <c r="D82" s="108">
        <v>9260.5</v>
      </c>
      <c r="E82" s="108">
        <f>+D82</f>
        <v>9260.5</v>
      </c>
      <c r="F82" s="108">
        <v>0</v>
      </c>
      <c r="G82" s="32">
        <f>+E82/2</f>
        <v>4630.25</v>
      </c>
      <c r="H82" s="32">
        <f>+G82</f>
        <v>4630.25</v>
      </c>
      <c r="I82" s="32">
        <f>+F82/2</f>
        <v>0</v>
      </c>
    </row>
    <row r="83" spans="1:9" ht="15.75">
      <c r="A83" s="1224" t="s">
        <v>83</v>
      </c>
      <c r="B83" s="1224"/>
      <c r="C83" s="1224"/>
      <c r="D83" s="578">
        <f>+C93</f>
        <v>37.71</v>
      </c>
      <c r="E83" s="105">
        <f>D83</f>
        <v>37.71</v>
      </c>
      <c r="F83" s="105">
        <f>+E93</f>
        <v>0</v>
      </c>
      <c r="G83" s="32">
        <f>+E83/2</f>
        <v>18.855</v>
      </c>
      <c r="H83" s="32">
        <f>+G83</f>
        <v>18.855</v>
      </c>
      <c r="I83" s="32">
        <f>+F83/2</f>
        <v>0</v>
      </c>
    </row>
    <row r="84" spans="1:9" ht="16.5" thickBot="1">
      <c r="A84" s="1215" t="s">
        <v>82</v>
      </c>
      <c r="B84" s="1215"/>
      <c r="C84" s="1215"/>
      <c r="D84" s="108">
        <f>+D82-D83</f>
        <v>9222.7900000000009</v>
      </c>
      <c r="E84" s="108">
        <f>+E82-E83</f>
        <v>9222.7900000000009</v>
      </c>
      <c r="F84" s="58">
        <f>+F82-F83</f>
        <v>0</v>
      </c>
      <c r="G84" s="32">
        <f>+E84/2</f>
        <v>4611.3950000000004</v>
      </c>
      <c r="H84" s="32">
        <f>+G84</f>
        <v>4611.3950000000004</v>
      </c>
      <c r="I84" s="32">
        <f>+F84/2</f>
        <v>0</v>
      </c>
    </row>
    <row r="85" spans="1:9">
      <c r="A85" s="968"/>
      <c r="B85" s="969"/>
      <c r="C85" s="969"/>
      <c r="D85" s="969"/>
      <c r="E85" s="969"/>
      <c r="F85" s="970"/>
    </row>
    <row r="86" spans="1:9" ht="15.75" thickBot="1">
      <c r="A86" s="971"/>
      <c r="B86" s="972"/>
      <c r="C86" s="972"/>
      <c r="D86" s="972"/>
      <c r="E86" s="972"/>
      <c r="F86" s="973"/>
    </row>
    <row r="87" spans="1:9">
      <c r="B87" s="40"/>
    </row>
    <row r="88" spans="1:9">
      <c r="B88" s="145" t="s">
        <v>101</v>
      </c>
      <c r="C88" s="112"/>
      <c r="D88" s="112"/>
      <c r="E88" s="112" t="s">
        <v>5</v>
      </c>
    </row>
    <row r="89" spans="1:9">
      <c r="B89" s="252" t="s">
        <v>322</v>
      </c>
      <c r="C89" s="141" t="s">
        <v>67</v>
      </c>
      <c r="D89" s="141" t="s">
        <v>155</v>
      </c>
      <c r="E89" s="171" t="s">
        <v>68</v>
      </c>
    </row>
    <row r="90" spans="1:9">
      <c r="B90" s="42" t="s">
        <v>102</v>
      </c>
      <c r="C90" s="42">
        <v>37.71</v>
      </c>
      <c r="D90" s="42">
        <f>+C90</f>
        <v>37.71</v>
      </c>
      <c r="E90" s="169">
        <v>0</v>
      </c>
    </row>
    <row r="91" spans="1:9">
      <c r="B91" s="516" t="s">
        <v>440</v>
      </c>
      <c r="C91" s="42">
        <v>0</v>
      </c>
      <c r="D91" s="42">
        <f>+C91</f>
        <v>0</v>
      </c>
      <c r="E91" s="169"/>
    </row>
    <row r="92" spans="1:9">
      <c r="B92" s="42" t="s">
        <v>689</v>
      </c>
      <c r="C92" s="42">
        <v>0</v>
      </c>
      <c r="D92" s="42">
        <f>+C92</f>
        <v>0</v>
      </c>
      <c r="E92" s="169">
        <v>0</v>
      </c>
    </row>
    <row r="93" spans="1:9" ht="15.75">
      <c r="A93" s="126"/>
      <c r="B93" s="42"/>
      <c r="C93" s="42">
        <f>+SUM(C90:C92)</f>
        <v>37.71</v>
      </c>
      <c r="D93" s="42">
        <f>+SUM(D90:D92)</f>
        <v>37.71</v>
      </c>
      <c r="E93" s="42">
        <f>+SUM(E90:E92)</f>
        <v>0</v>
      </c>
      <c r="G93" s="1">
        <f>+C93/2</f>
        <v>18.855</v>
      </c>
      <c r="H93" s="32">
        <f>+E93/2</f>
        <v>0</v>
      </c>
    </row>
    <row r="94" spans="1:9" ht="15.75">
      <c r="A94" s="126"/>
    </row>
    <row r="96" spans="1:9">
      <c r="A96" s="204"/>
      <c r="B96" s="204"/>
      <c r="C96" s="204"/>
      <c r="D96" s="204"/>
      <c r="E96" s="204"/>
      <c r="F96" s="204"/>
    </row>
    <row r="97" spans="1:6">
      <c r="A97" s="204"/>
      <c r="B97" s="204"/>
      <c r="C97" s="204"/>
      <c r="D97" s="204"/>
      <c r="E97" s="204"/>
      <c r="F97" s="204"/>
    </row>
    <row r="98" spans="1:6">
      <c r="A98" s="204"/>
      <c r="B98" s="204"/>
      <c r="C98" s="204"/>
      <c r="D98" s="204"/>
      <c r="E98" s="204"/>
      <c r="F98" s="204"/>
    </row>
  </sheetData>
  <mergeCells count="28">
    <mergeCell ref="I7:I8"/>
    <mergeCell ref="G7:G8"/>
    <mergeCell ref="H7:H8"/>
    <mergeCell ref="A81:C81"/>
    <mergeCell ref="A82:C82"/>
    <mergeCell ref="A75:C75"/>
    <mergeCell ref="A76:C76"/>
    <mergeCell ref="A79:C80"/>
    <mergeCell ref="D79:D80"/>
    <mergeCell ref="F79:F80"/>
    <mergeCell ref="E79:E80"/>
    <mergeCell ref="A67:F67"/>
    <mergeCell ref="A70:C71"/>
    <mergeCell ref="D70:D71"/>
    <mergeCell ref="E70:E71"/>
    <mergeCell ref="F70:F71"/>
    <mergeCell ref="A83:C83"/>
    <mergeCell ref="A84:C84"/>
    <mergeCell ref="A72:C72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9:A30 A31:B34 A36:B53 F53 D55:F56 G82:XFD1048576">
    <cfRule type="containsText" dxfId="155" priority="56" operator="containsText" text="LESS COLLECTED">
      <formula>NOT(ISERROR(SEARCH("LESS COLLECTED",A29)))</formula>
    </cfRule>
  </conditionalFormatting>
  <conditionalFormatting sqref="A9:B21">
    <cfRule type="containsText" dxfId="154" priority="47" operator="containsText" text="LESS COLLECTED">
      <formula>NOT(ISERROR(SEARCH("LESS COLLECTED",A9)))</formula>
    </cfRule>
  </conditionalFormatting>
  <conditionalFormatting sqref="A35:B35">
    <cfRule type="containsText" dxfId="153" priority="33" operator="containsText" text="LESS COLLECTED">
      <formula>NOT(ISERROR(SEARCH("LESS COLLECTED",A35)))</formula>
    </cfRule>
  </conditionalFormatting>
  <conditionalFormatting sqref="A51:B51">
    <cfRule type="containsText" dxfId="152" priority="38" operator="containsText" text="LESS COLLECTED">
      <formula>NOT(ISERROR(SEARCH("LESS COLLECTED",A51)))</formula>
    </cfRule>
  </conditionalFormatting>
  <conditionalFormatting sqref="A55:B57">
    <cfRule type="containsText" dxfId="151" priority="10" operator="containsText" text="EXCESS COLLECTED">
      <formula>NOT(ISERROR(SEARCH("EXCESS COLLECTED",A55)))</formula>
    </cfRule>
    <cfRule type="containsText" dxfId="150" priority="11" operator="containsText" text="LESS COLLECTED">
      <formula>NOT(ISERROR(SEARCH("LESS COLLECTED",A55)))</formula>
    </cfRule>
  </conditionalFormatting>
  <conditionalFormatting sqref="A58:B62">
    <cfRule type="containsText" dxfId="149" priority="58" operator="containsText" text="LESS COLLECTED">
      <formula>NOT(ISERROR(SEARCH("LESS COLLECTED",A58)))</formula>
    </cfRule>
  </conditionalFormatting>
  <conditionalFormatting sqref="A1:XFD3 A4 G4:XFD4 A5:XFD7 A8:F8 J8:XFD8 D9:XFD9 H75:XFD75 G76:XFD80 H81:XFD81 F87:F88 A93 C93:E93 F93:F94 A94:E94 A95:F95 A99:F1048576">
    <cfRule type="containsText" dxfId="148" priority="93" operator="containsText" text="LESS COLLECTED">
      <formula>NOT(ISERROR(SEARCH("LESS COLLECTED",A1)))</formula>
    </cfRule>
  </conditionalFormatting>
  <conditionalFormatting sqref="B29:B30">
    <cfRule type="containsText" dxfId="147" priority="53" operator="containsText" text="EXCESS COLLECTED">
      <formula>NOT(ISERROR(SEARCH("EXCESS COLLECTED",B29)))</formula>
    </cfRule>
    <cfRule type="containsText" dxfId="146" priority="54" operator="containsText" text="LESS COLLECTED">
      <formula>NOT(ISERROR(SEARCH("LESS COLLECTED",B29)))</formula>
    </cfRule>
  </conditionalFormatting>
  <conditionalFormatting sqref="B62">
    <cfRule type="containsText" dxfId="145" priority="57" operator="containsText" text="EXCESS COLLECTED">
      <formula>NOT(ISERROR(SEARCH("EXCESS COLLECTED",B62)))</formula>
    </cfRule>
  </conditionalFormatting>
  <conditionalFormatting sqref="C9:C10 C61:C62">
    <cfRule type="containsText" dxfId="144" priority="23" operator="containsText" text="EXCESS COLLECTED">
      <formula>NOT(ISERROR(SEARCH("EXCESS COLLECTED",C9)))</formula>
    </cfRule>
    <cfRule type="containsText" dxfId="143" priority="24" operator="containsText" text="LESS COLLECTED">
      <formula>NOT(ISERROR(SEARCH("LESS COLLECTED",C9)))</formula>
    </cfRule>
  </conditionalFormatting>
  <conditionalFormatting sqref="D48 F48 D70:E71 A73:F74 D87:D88 B87:C92 D90:D92 C91:D91">
    <cfRule type="containsText" dxfId="142" priority="85" operator="containsText" text="EXCESS COLLECTED">
      <formula>NOT(ISERROR(SEARCH("EXCESS COLLECTED",A48)))</formula>
    </cfRule>
  </conditionalFormatting>
  <conditionalFormatting sqref="D36:F53 A63:F74 A87:E92 A22:B28">
    <cfRule type="containsText" dxfId="141" priority="86" operator="containsText" text="LESS COLLECTED">
      <formula>NOT(ISERROR(SEARCH("LESS COLLECTED",A22)))</formula>
    </cfRule>
  </conditionalFormatting>
  <conditionalFormatting sqref="D49:F53 A47:B53 A28:A30 A31:B32">
    <cfRule type="containsText" dxfId="140" priority="55" operator="containsText" text="EXCESS COLLECTED">
      <formula>NOT(ISERROR(SEARCH("EXCESS COLLECTED",A28)))</formula>
    </cfRule>
  </conditionalFormatting>
  <conditionalFormatting sqref="D51:F51">
    <cfRule type="containsText" dxfId="139" priority="43" operator="containsText" text="EXCESS COLLECTED">
      <formula>NOT(ISERROR(SEARCH("EXCESS COLLECTED",D51)))</formula>
    </cfRule>
    <cfRule type="containsText" dxfId="138" priority="44" operator="containsText" text="LESS COLLECTED">
      <formula>NOT(ISERROR(SEARCH("LESS COLLECTED",D51)))</formula>
    </cfRule>
  </conditionalFormatting>
  <conditionalFormatting sqref="D55:F57">
    <cfRule type="containsText" dxfId="137" priority="12" operator="containsText" text="EXCESS COLLECTED">
      <formula>NOT(ISERROR(SEARCH("EXCESS COLLECTED",D55)))</formula>
    </cfRule>
  </conditionalFormatting>
  <conditionalFormatting sqref="G60">
    <cfRule type="containsText" dxfId="136" priority="8" operator="containsText" text="EXCESS COLLECTED">
      <formula>NOT(ISERROR(SEARCH("EXCESS COLLECTED",G60)))</formula>
    </cfRule>
    <cfRule type="containsText" dxfId="135" priority="9" operator="containsText" text="LESS COLLECTED">
      <formula>NOT(ISERROR(SEARCH("LESS COLLECTED",G60)))</formula>
    </cfRule>
  </conditionalFormatting>
  <conditionalFormatting sqref="C11:C53 C55:C60">
    <cfRule type="containsText" dxfId="134" priority="1" operator="containsText" text="EXCESS COLLECTED">
      <formula>NOT(ISERROR(SEARCH("EXCESS COLLECTED",C11)))</formula>
    </cfRule>
    <cfRule type="containsText" dxfId="133" priority="2" operator="containsText" text="LESS COLLECTED">
      <formula>NOT(ISERROR(SEARCH("LESS COLLECTED",C11)))</formula>
    </cfRule>
  </conditionalFormatting>
  <pageMargins left="0.7" right="0.7" top="0.75" bottom="0.75" header="0.3" footer="0.3"/>
  <pageSetup paperSize="9" scale="47" orientation="portrait" r:id="rId1"/>
  <ignoredErrors>
    <ignoredError sqref="E74 E8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text="EXCESS COLLECTED" id="{4B8D8E9B-0823-4F8B-9B85-CBB4A0DEAD2B}">
            <xm:f>NOT(ISERROR(SEARCH("EXCESS COLLECTED",BAPUNAGAR!A54)))</xm:f>
            <x14:dxf>
              <font>
                <condense val="0"/>
                <extend val="0"/>
                <color rgb="FF006100"/>
              </font>
              <fill>
                <patternFill>
                  <bgColor rgb="FFC6EFCE"/>
                </patternFill>
              </fill>
            </x14:dxf>
          </x14:cfRule>
          <xm:sqref>A54:B54 D54:F54</xm:sqref>
        </x14:conditionalFormatting>
        <x14:conditionalFormatting xmlns:xm="http://schemas.microsoft.com/office/excel/2006/main">
          <x14:cfRule type="containsText" priority="4" operator="containsText" text="LESS COLLECTED" id="{E2638ACC-9894-492F-BE6E-1A0C251C713C}">
            <xm:f>NOT(ISERROR(SEARCH("LESS COLLECTED",BAPUNAGAR!A54)))</xm:f>
            <x14:dxf>
              <font>
                <condense val="0"/>
                <extend val="0"/>
                <color rgb="FF9C0006"/>
              </font>
            </x14:dxf>
          </x14:cfRule>
          <xm:sqref>A54:B54 J54:XFD54 D54:F54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00B0F0"/>
  </sheetPr>
  <dimension ref="A1:O101"/>
  <sheetViews>
    <sheetView topLeftCell="A72" workbookViewId="0">
      <selection activeCell="D75" sqref="D75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7.28515625" style="1" customWidth="1"/>
    <col min="4" max="5" width="14.7109375" style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28" t="s">
        <v>73</v>
      </c>
      <c r="B1" s="1228"/>
      <c r="C1" s="1228"/>
      <c r="D1" s="1228"/>
      <c r="E1" s="1228"/>
      <c r="F1" s="1228"/>
    </row>
    <row r="2" spans="1:11" ht="15.75">
      <c r="A2" s="41"/>
      <c r="B2" s="41"/>
      <c r="C2" s="41"/>
      <c r="D2" s="41"/>
      <c r="E2" s="41"/>
      <c r="F2" s="41"/>
    </row>
    <row r="3" spans="1:11" ht="15.75">
      <c r="A3" s="1229" t="s">
        <v>106</v>
      </c>
      <c r="B3" s="1229"/>
      <c r="C3" s="1229"/>
      <c r="D3" s="1229"/>
      <c r="E3" s="1229"/>
      <c r="F3" s="1229"/>
    </row>
    <row r="4" spans="1:11" ht="15.75">
      <c r="A4" s="1229" t="s">
        <v>371</v>
      </c>
      <c r="B4" s="1229"/>
      <c r="C4" s="1229"/>
      <c r="D4" s="1229"/>
      <c r="E4" s="1229"/>
      <c r="F4" s="1229"/>
    </row>
    <row r="5" spans="1:11" ht="15.75">
      <c r="A5" s="1228" t="str">
        <f>+BOPAL!A5</f>
        <v>SUMMARY OF INCOME FOR THE MONTH OF SEP 2026</v>
      </c>
      <c r="B5" s="1228"/>
      <c r="C5" s="1228"/>
      <c r="D5" s="1228"/>
      <c r="E5" s="1228"/>
      <c r="F5" s="1228"/>
    </row>
    <row r="6" spans="1:11" ht="15.75">
      <c r="A6" s="24" t="s">
        <v>5</v>
      </c>
      <c r="B6" s="3"/>
      <c r="C6" s="23"/>
      <c r="D6" s="1230"/>
      <c r="E6" s="1230"/>
      <c r="F6" s="3"/>
    </row>
    <row r="7" spans="1:11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1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1" ht="15.75">
      <c r="A9" s="161">
        <v>3303</v>
      </c>
      <c r="B9" s="70" t="s">
        <v>609</v>
      </c>
      <c r="C9" s="925">
        <v>0</v>
      </c>
      <c r="D9" s="367">
        <f t="shared" ref="D9:D22" si="0">+C9*9%</f>
        <v>0</v>
      </c>
      <c r="E9" s="367">
        <f>+D9</f>
        <v>0</v>
      </c>
      <c r="F9" s="367">
        <f>IF(D9&gt;0," ",C9*18%)</f>
        <v>0</v>
      </c>
      <c r="G9" s="595">
        <v>0</v>
      </c>
      <c r="H9" s="595">
        <v>0</v>
      </c>
      <c r="I9" s="595">
        <v>0</v>
      </c>
    </row>
    <row r="10" spans="1:11" ht="15.75">
      <c r="A10" s="161" t="s">
        <v>87</v>
      </c>
      <c r="B10" s="70" t="s">
        <v>61</v>
      </c>
      <c r="C10" s="925">
        <v>0</v>
      </c>
      <c r="D10" s="367">
        <f t="shared" si="0"/>
        <v>0</v>
      </c>
      <c r="E10" s="367">
        <f>+D10</f>
        <v>0</v>
      </c>
      <c r="F10" s="367">
        <f>IF(D10&gt;0," ",C10*18%)</f>
        <v>0</v>
      </c>
      <c r="G10" s="595">
        <v>0</v>
      </c>
      <c r="H10" s="595">
        <v>0</v>
      </c>
      <c r="I10" s="595">
        <v>0</v>
      </c>
    </row>
    <row r="11" spans="1:11" ht="15.75">
      <c r="A11" s="160">
        <v>3215</v>
      </c>
      <c r="B11" s="70" t="s">
        <v>59</v>
      </c>
      <c r="C11" s="925">
        <v>75</v>
      </c>
      <c r="D11" s="367">
        <f t="shared" si="0"/>
        <v>6.75</v>
      </c>
      <c r="E11" s="367">
        <f t="shared" ref="E11:E59" si="1">+D11</f>
        <v>6.75</v>
      </c>
      <c r="F11" s="367">
        <v>0</v>
      </c>
      <c r="G11" s="595">
        <v>0</v>
      </c>
      <c r="H11" s="595">
        <v>0</v>
      </c>
      <c r="I11" s="595">
        <v>0</v>
      </c>
    </row>
    <row r="12" spans="1:11" ht="15.75">
      <c r="A12" s="161" t="s">
        <v>58</v>
      </c>
      <c r="B12" s="70" t="s">
        <v>57</v>
      </c>
      <c r="C12" s="925">
        <v>0</v>
      </c>
      <c r="D12" s="367">
        <f t="shared" si="0"/>
        <v>0</v>
      </c>
      <c r="E12" s="367">
        <f t="shared" si="1"/>
        <v>0</v>
      </c>
      <c r="F12" s="367">
        <f t="shared" ref="F12:F48" si="2">IF(D12&gt;0," ",C12*18%)</f>
        <v>0</v>
      </c>
      <c r="G12" s="595">
        <v>0</v>
      </c>
      <c r="H12" s="595">
        <v>0</v>
      </c>
      <c r="I12" s="595">
        <v>0</v>
      </c>
    </row>
    <row r="13" spans="1:11" ht="15.75">
      <c r="A13" s="160" t="s">
        <v>56</v>
      </c>
      <c r="B13" s="70" t="s">
        <v>55</v>
      </c>
      <c r="C13" s="925">
        <v>0</v>
      </c>
      <c r="D13" s="367">
        <f t="shared" si="0"/>
        <v>0</v>
      </c>
      <c r="E13" s="367">
        <f t="shared" si="1"/>
        <v>0</v>
      </c>
      <c r="F13" s="367">
        <f t="shared" si="2"/>
        <v>0</v>
      </c>
      <c r="G13" s="595">
        <v>0</v>
      </c>
      <c r="H13" s="595">
        <v>0</v>
      </c>
      <c r="I13" s="595">
        <v>0</v>
      </c>
      <c r="K13" s="792"/>
    </row>
    <row r="14" spans="1:11" ht="15.75">
      <c r="A14" s="160" t="s">
        <v>54</v>
      </c>
      <c r="B14" s="70" t="s">
        <v>53</v>
      </c>
      <c r="C14" s="925">
        <f>39711-39711</f>
        <v>0</v>
      </c>
      <c r="D14" s="367">
        <f t="shared" si="0"/>
        <v>0</v>
      </c>
      <c r="E14" s="367">
        <f t="shared" si="1"/>
        <v>0</v>
      </c>
      <c r="F14" s="367">
        <f t="shared" si="2"/>
        <v>0</v>
      </c>
      <c r="G14" s="595">
        <v>0</v>
      </c>
      <c r="H14" s="595">
        <v>0</v>
      </c>
      <c r="I14" s="595">
        <v>0</v>
      </c>
    </row>
    <row r="15" spans="1:11" ht="15.75">
      <c r="A15" s="160">
        <v>3235</v>
      </c>
      <c r="B15" s="70" t="s">
        <v>51</v>
      </c>
      <c r="C15" s="925">
        <v>50</v>
      </c>
      <c r="D15" s="367">
        <f t="shared" si="0"/>
        <v>4.5</v>
      </c>
      <c r="E15" s="367">
        <f t="shared" si="1"/>
        <v>4.5</v>
      </c>
      <c r="F15" s="367" t="str">
        <f t="shared" si="2"/>
        <v xml:space="preserve"> </v>
      </c>
      <c r="G15" s="595">
        <v>0</v>
      </c>
      <c r="H15" s="595">
        <v>0</v>
      </c>
      <c r="I15" s="595">
        <v>0</v>
      </c>
    </row>
    <row r="16" spans="1:11" ht="15.75">
      <c r="A16" s="161" t="s">
        <v>50</v>
      </c>
      <c r="B16" s="70" t="s">
        <v>49</v>
      </c>
      <c r="C16" s="925">
        <v>0</v>
      </c>
      <c r="D16" s="367">
        <f t="shared" si="0"/>
        <v>0</v>
      </c>
      <c r="E16" s="367">
        <f t="shared" si="1"/>
        <v>0</v>
      </c>
      <c r="F16" s="367">
        <f t="shared" si="2"/>
        <v>0</v>
      </c>
      <c r="G16" s="595">
        <v>0</v>
      </c>
      <c r="H16" s="595">
        <v>0</v>
      </c>
      <c r="I16" s="595">
        <v>0</v>
      </c>
    </row>
    <row r="17" spans="1:15" ht="15.75">
      <c r="A17" s="161" t="s">
        <v>48</v>
      </c>
      <c r="B17" s="70" t="s">
        <v>47</v>
      </c>
      <c r="C17" s="925">
        <v>0</v>
      </c>
      <c r="D17" s="367">
        <f t="shared" si="0"/>
        <v>0</v>
      </c>
      <c r="E17" s="367">
        <f t="shared" si="1"/>
        <v>0</v>
      </c>
      <c r="F17" s="367">
        <f t="shared" si="2"/>
        <v>0</v>
      </c>
      <c r="G17" s="595">
        <v>0</v>
      </c>
      <c r="H17" s="595">
        <v>0</v>
      </c>
      <c r="I17" s="595">
        <v>0</v>
      </c>
    </row>
    <row r="18" spans="1:15" ht="15.75">
      <c r="A18" s="161" t="s">
        <v>46</v>
      </c>
      <c r="B18" s="70" t="s">
        <v>45</v>
      </c>
      <c r="C18" s="925">
        <v>0</v>
      </c>
      <c r="D18" s="367">
        <f t="shared" si="0"/>
        <v>0</v>
      </c>
      <c r="E18" s="367">
        <f t="shared" si="1"/>
        <v>0</v>
      </c>
      <c r="F18" s="367">
        <f t="shared" si="2"/>
        <v>0</v>
      </c>
      <c r="G18" s="595">
        <v>0</v>
      </c>
      <c r="H18" s="595">
        <v>0</v>
      </c>
      <c r="I18" s="595">
        <v>0</v>
      </c>
    </row>
    <row r="19" spans="1:15" ht="15.75">
      <c r="A19" s="161">
        <v>3270</v>
      </c>
      <c r="B19" s="70" t="s">
        <v>43</v>
      </c>
      <c r="C19" s="925">
        <v>55000</v>
      </c>
      <c r="D19" s="367">
        <f t="shared" si="0"/>
        <v>4950</v>
      </c>
      <c r="E19" s="367">
        <f t="shared" si="1"/>
        <v>4950</v>
      </c>
      <c r="F19" s="367">
        <v>0</v>
      </c>
      <c r="G19" s="595"/>
      <c r="H19" s="595"/>
      <c r="I19" s="595">
        <v>0</v>
      </c>
    </row>
    <row r="20" spans="1:15" ht="15.75">
      <c r="A20" s="13">
        <v>3271</v>
      </c>
      <c r="B20" s="70" t="s">
        <v>533</v>
      </c>
      <c r="C20" s="925">
        <v>2480</v>
      </c>
      <c r="D20" s="367">
        <f t="shared" si="0"/>
        <v>223.2</v>
      </c>
      <c r="E20" s="367">
        <f t="shared" si="1"/>
        <v>223.2</v>
      </c>
      <c r="F20" s="367"/>
      <c r="G20" s="595">
        <v>0</v>
      </c>
      <c r="H20" s="595">
        <v>0</v>
      </c>
      <c r="I20" s="595">
        <v>0</v>
      </c>
    </row>
    <row r="21" spans="1:15" ht="15.75">
      <c r="A21" s="13">
        <v>3274</v>
      </c>
      <c r="B21" s="70" t="s">
        <v>554</v>
      </c>
      <c r="C21" s="925">
        <v>0</v>
      </c>
      <c r="D21" s="367"/>
      <c r="E21" s="367"/>
      <c r="F21" s="367"/>
      <c r="G21" s="595">
        <v>0</v>
      </c>
      <c r="H21" s="595">
        <v>0</v>
      </c>
      <c r="I21" s="595">
        <v>0</v>
      </c>
    </row>
    <row r="22" spans="1:15" ht="15.75">
      <c r="A22" s="158" t="s">
        <v>42</v>
      </c>
      <c r="B22" s="70" t="s">
        <v>41</v>
      </c>
      <c r="C22" s="925">
        <v>0</v>
      </c>
      <c r="D22" s="367">
        <f t="shared" si="0"/>
        <v>0</v>
      </c>
      <c r="E22" s="367">
        <f t="shared" si="1"/>
        <v>0</v>
      </c>
      <c r="F22" s="367">
        <f t="shared" si="2"/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25">
        <v>0</v>
      </c>
      <c r="D23" s="367">
        <f t="shared" ref="D23:D36" si="3">+C23*9%</f>
        <v>0</v>
      </c>
      <c r="E23" s="367">
        <f t="shared" si="1"/>
        <v>0</v>
      </c>
      <c r="F23" s="367">
        <f t="shared" si="2"/>
        <v>0</v>
      </c>
      <c r="G23" s="595">
        <v>0</v>
      </c>
      <c r="H23" s="595">
        <v>0</v>
      </c>
      <c r="I23" s="595">
        <v>0</v>
      </c>
    </row>
    <row r="24" spans="1:15" ht="15.75">
      <c r="A24" s="161" t="s">
        <v>38</v>
      </c>
      <c r="B24" s="70" t="s">
        <v>37</v>
      </c>
      <c r="C24" s="925">
        <v>0</v>
      </c>
      <c r="D24" s="367">
        <f t="shared" si="3"/>
        <v>0</v>
      </c>
      <c r="E24" s="367">
        <f t="shared" si="1"/>
        <v>0</v>
      </c>
      <c r="F24" s="367">
        <f t="shared" si="2"/>
        <v>0</v>
      </c>
      <c r="G24" s="595">
        <v>0</v>
      </c>
      <c r="H24" s="595">
        <v>0</v>
      </c>
      <c r="I24" s="595">
        <v>0</v>
      </c>
    </row>
    <row r="25" spans="1:15" ht="15.75">
      <c r="A25" s="158" t="s">
        <v>36</v>
      </c>
      <c r="B25" s="70" t="s">
        <v>35</v>
      </c>
      <c r="C25" s="925">
        <v>0</v>
      </c>
      <c r="D25" s="367">
        <f t="shared" si="3"/>
        <v>0</v>
      </c>
      <c r="E25" s="367">
        <f t="shared" si="1"/>
        <v>0</v>
      </c>
      <c r="F25" s="367">
        <f t="shared" si="2"/>
        <v>0</v>
      </c>
      <c r="G25" s="595">
        <v>0</v>
      </c>
      <c r="H25" s="595">
        <v>0</v>
      </c>
      <c r="I25" s="595">
        <v>0</v>
      </c>
    </row>
    <row r="26" spans="1:15" ht="15.75">
      <c r="A26" s="158" t="s">
        <v>34</v>
      </c>
      <c r="B26" s="70" t="s">
        <v>33</v>
      </c>
      <c r="C26" s="925">
        <v>0</v>
      </c>
      <c r="D26" s="367">
        <f t="shared" si="3"/>
        <v>0</v>
      </c>
      <c r="E26" s="367">
        <f t="shared" si="1"/>
        <v>0</v>
      </c>
      <c r="F26" s="367">
        <f t="shared" si="2"/>
        <v>0</v>
      </c>
      <c r="G26" s="595">
        <v>0</v>
      </c>
      <c r="H26" s="595">
        <v>0</v>
      </c>
      <c r="I26" s="595">
        <v>0</v>
      </c>
    </row>
    <row r="27" spans="1:15" ht="15.75">
      <c r="A27" s="158" t="s">
        <v>32</v>
      </c>
      <c r="B27" s="70" t="s">
        <v>31</v>
      </c>
      <c r="C27" s="925">
        <v>0</v>
      </c>
      <c r="D27" s="367">
        <f t="shared" si="3"/>
        <v>0</v>
      </c>
      <c r="E27" s="367">
        <f t="shared" si="1"/>
        <v>0</v>
      </c>
      <c r="F27" s="367">
        <f t="shared" si="2"/>
        <v>0</v>
      </c>
      <c r="G27" s="595">
        <v>0</v>
      </c>
      <c r="H27" s="595">
        <v>0</v>
      </c>
      <c r="I27" s="595">
        <v>0</v>
      </c>
    </row>
    <row r="28" spans="1:15" ht="15.75">
      <c r="A28" s="158">
        <v>3291</v>
      </c>
      <c r="B28" s="33" t="s">
        <v>325</v>
      </c>
      <c r="C28" s="925">
        <v>0</v>
      </c>
      <c r="D28" s="367">
        <f t="shared" si="3"/>
        <v>0</v>
      </c>
      <c r="E28" s="367">
        <f>+D28</f>
        <v>0</v>
      </c>
      <c r="F28" s="367">
        <f>IF(D28&gt;0," ",C28*18%)</f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925">
        <v>630</v>
      </c>
      <c r="D29" s="367">
        <f t="shared" si="3"/>
        <v>56.699999999999996</v>
      </c>
      <c r="E29" s="367">
        <f>+D29</f>
        <v>56.699999999999996</v>
      </c>
      <c r="F29" s="367" t="str">
        <f>IF(D29&gt;0," ",C29*18%)</f>
        <v xml:space="preserve"> </v>
      </c>
      <c r="G29" s="595">
        <v>0</v>
      </c>
      <c r="H29" s="595">
        <v>0</v>
      </c>
      <c r="I29" s="595">
        <v>0</v>
      </c>
    </row>
    <row r="30" spans="1:15" ht="15.75">
      <c r="A30" s="137" t="s">
        <v>527</v>
      </c>
      <c r="B30" s="33" t="s">
        <v>524</v>
      </c>
      <c r="C30" s="925">
        <v>620</v>
      </c>
      <c r="D30" s="367">
        <f t="shared" si="3"/>
        <v>55.8</v>
      </c>
      <c r="E30" s="367">
        <f>+D30</f>
        <v>55.8</v>
      </c>
      <c r="F30" s="367" t="str">
        <f>IF(D30&gt;0," ",C30*18%)</f>
        <v xml:space="preserve"> </v>
      </c>
      <c r="G30" s="595">
        <v>0</v>
      </c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925">
        <v>450</v>
      </c>
      <c r="D31" s="367">
        <f t="shared" si="3"/>
        <v>40.5</v>
      </c>
      <c r="E31" s="367">
        <f>+D31</f>
        <v>40.5</v>
      </c>
      <c r="F31" s="367" t="str">
        <f>IF(D31&gt;0," ",C31*18%)</f>
        <v xml:space="preserve"> 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925">
        <v>0</v>
      </c>
      <c r="D32" s="367">
        <f t="shared" si="3"/>
        <v>0</v>
      </c>
      <c r="E32" s="367">
        <f>+D32</f>
        <v>0</v>
      </c>
      <c r="F32" s="367">
        <f>IF(D32&gt;0," ",C32*18%)</f>
        <v>0</v>
      </c>
      <c r="G32" s="595">
        <v>0</v>
      </c>
      <c r="H32" s="595">
        <v>0</v>
      </c>
      <c r="I32" s="595">
        <v>0</v>
      </c>
    </row>
    <row r="33" spans="1:11" ht="15.75">
      <c r="A33" s="160">
        <v>3300</v>
      </c>
      <c r="B33" s="70" t="s">
        <v>29</v>
      </c>
      <c r="C33" s="925">
        <v>57971.199999999997</v>
      </c>
      <c r="D33" s="367">
        <f t="shared" si="3"/>
        <v>5217.4079999999994</v>
      </c>
      <c r="E33" s="367">
        <f t="shared" si="1"/>
        <v>5217.4079999999994</v>
      </c>
      <c r="F33" s="901">
        <v>0</v>
      </c>
      <c r="G33" s="595">
        <v>0</v>
      </c>
      <c r="H33" s="595">
        <v>0</v>
      </c>
      <c r="I33" s="595">
        <v>0</v>
      </c>
    </row>
    <row r="34" spans="1:11" ht="15.75">
      <c r="A34" s="160">
        <v>3301</v>
      </c>
      <c r="B34" s="70" t="s">
        <v>154</v>
      </c>
      <c r="C34" s="925">
        <v>0</v>
      </c>
      <c r="D34" s="367">
        <f t="shared" si="3"/>
        <v>0</v>
      </c>
      <c r="E34" s="367">
        <f t="shared" si="1"/>
        <v>0</v>
      </c>
      <c r="F34" s="367">
        <f t="shared" si="2"/>
        <v>0</v>
      </c>
      <c r="G34" s="595">
        <v>0</v>
      </c>
      <c r="H34" s="595">
        <v>0</v>
      </c>
      <c r="I34" s="595">
        <v>0</v>
      </c>
    </row>
    <row r="35" spans="1:11" ht="15.75">
      <c r="A35" s="13">
        <v>3302</v>
      </c>
      <c r="B35" s="70" t="s">
        <v>525</v>
      </c>
      <c r="C35" s="925">
        <v>0</v>
      </c>
      <c r="D35" s="367">
        <f>+C35*9%</f>
        <v>0</v>
      </c>
      <c r="E35" s="367">
        <f>+D35</f>
        <v>0</v>
      </c>
      <c r="F35" s="367">
        <f>IF(D35&gt;0," ",C35*18%)</f>
        <v>0</v>
      </c>
      <c r="G35" s="595">
        <v>0</v>
      </c>
      <c r="H35" s="595">
        <v>0</v>
      </c>
      <c r="I35" s="595">
        <v>0</v>
      </c>
    </row>
    <row r="36" spans="1:11" ht="15.75">
      <c r="A36" s="160">
        <v>3305</v>
      </c>
      <c r="B36" s="70" t="s">
        <v>27</v>
      </c>
      <c r="C36" s="925">
        <v>0</v>
      </c>
      <c r="D36" s="367">
        <f t="shared" si="3"/>
        <v>0</v>
      </c>
      <c r="E36" s="367">
        <f t="shared" si="1"/>
        <v>0</v>
      </c>
      <c r="F36" s="367">
        <f t="shared" si="2"/>
        <v>0</v>
      </c>
      <c r="G36" s="595">
        <v>0</v>
      </c>
      <c r="H36" s="595">
        <v>0</v>
      </c>
      <c r="I36" s="595">
        <v>0</v>
      </c>
    </row>
    <row r="37" spans="1:11" ht="15.75">
      <c r="A37" s="158" t="s">
        <v>114</v>
      </c>
      <c r="B37" s="70" t="s">
        <v>115</v>
      </c>
      <c r="C37" s="925">
        <v>0</v>
      </c>
      <c r="D37" s="367">
        <f t="shared" ref="D37:D42" si="4">+C37*9%</f>
        <v>0</v>
      </c>
      <c r="E37" s="367">
        <f t="shared" si="1"/>
        <v>0</v>
      </c>
      <c r="F37" s="367">
        <f t="shared" si="2"/>
        <v>0</v>
      </c>
      <c r="G37" s="595">
        <v>0</v>
      </c>
      <c r="H37" s="595">
        <v>0</v>
      </c>
      <c r="I37" s="595">
        <v>0</v>
      </c>
    </row>
    <row r="38" spans="1:11" ht="15.75">
      <c r="A38" s="160" t="s">
        <v>26</v>
      </c>
      <c r="B38" s="70" t="s">
        <v>25</v>
      </c>
      <c r="C38" s="925">
        <v>94.16</v>
      </c>
      <c r="D38" s="367">
        <f t="shared" si="4"/>
        <v>8.4743999999999993</v>
      </c>
      <c r="E38" s="367">
        <f t="shared" si="1"/>
        <v>8.4743999999999993</v>
      </c>
      <c r="F38" s="367" t="str">
        <f t="shared" si="2"/>
        <v xml:space="preserve"> </v>
      </c>
      <c r="G38" s="595">
        <v>0</v>
      </c>
      <c r="H38" s="595">
        <v>0</v>
      </c>
      <c r="I38" s="595">
        <v>0</v>
      </c>
      <c r="J38" s="32"/>
    </row>
    <row r="39" spans="1:11" ht="15.75">
      <c r="A39" s="160" t="s">
        <v>24</v>
      </c>
      <c r="B39" s="70" t="s">
        <v>23</v>
      </c>
      <c r="C39" s="925">
        <v>2400</v>
      </c>
      <c r="D39" s="367">
        <f t="shared" si="4"/>
        <v>216</v>
      </c>
      <c r="E39" s="367">
        <f t="shared" si="1"/>
        <v>216</v>
      </c>
      <c r="F39" s="367" t="str">
        <f t="shared" si="2"/>
        <v xml:space="preserve"> </v>
      </c>
      <c r="G39" s="595">
        <v>0</v>
      </c>
      <c r="H39" s="595">
        <v>0</v>
      </c>
      <c r="I39" s="595">
        <v>0</v>
      </c>
    </row>
    <row r="40" spans="1:11" ht="15.75">
      <c r="A40" s="160">
        <v>3312</v>
      </c>
      <c r="B40" s="70" t="s">
        <v>21</v>
      </c>
      <c r="C40" s="925">
        <v>1450</v>
      </c>
      <c r="D40" s="367">
        <f t="shared" si="4"/>
        <v>130.5</v>
      </c>
      <c r="E40" s="367">
        <f t="shared" si="1"/>
        <v>130.5</v>
      </c>
      <c r="F40" s="367" t="str">
        <f t="shared" si="2"/>
        <v xml:space="preserve"> </v>
      </c>
      <c r="G40" s="595">
        <v>0</v>
      </c>
      <c r="H40" s="595">
        <v>0</v>
      </c>
      <c r="I40" s="595">
        <v>0</v>
      </c>
    </row>
    <row r="41" spans="1:11" ht="15.75">
      <c r="A41" s="160" t="s">
        <v>20</v>
      </c>
      <c r="B41" s="70" t="s">
        <v>19</v>
      </c>
      <c r="C41" s="925">
        <v>2550</v>
      </c>
      <c r="D41" s="367">
        <f t="shared" si="4"/>
        <v>229.5</v>
      </c>
      <c r="E41" s="367">
        <f t="shared" si="1"/>
        <v>229.5</v>
      </c>
      <c r="F41" s="367" t="str">
        <f t="shared" si="2"/>
        <v xml:space="preserve"> </v>
      </c>
      <c r="G41" s="595">
        <v>0</v>
      </c>
      <c r="H41" s="595">
        <v>0</v>
      </c>
      <c r="I41" s="595">
        <v>0</v>
      </c>
    </row>
    <row r="42" spans="1:11" ht="15.75">
      <c r="A42" s="161" t="s">
        <v>18</v>
      </c>
      <c r="B42" s="70" t="s">
        <v>17</v>
      </c>
      <c r="C42" s="925">
        <v>1290</v>
      </c>
      <c r="D42" s="367">
        <f t="shared" si="4"/>
        <v>116.1</v>
      </c>
      <c r="E42" s="367">
        <f t="shared" si="1"/>
        <v>116.1</v>
      </c>
      <c r="F42" s="367" t="str">
        <f t="shared" si="2"/>
        <v xml:space="preserve"> </v>
      </c>
      <c r="G42" s="595">
        <v>0</v>
      </c>
      <c r="H42" s="595">
        <v>0</v>
      </c>
      <c r="I42" s="595">
        <v>0</v>
      </c>
      <c r="J42" s="1">
        <f>1420-C42</f>
        <v>130</v>
      </c>
    </row>
    <row r="43" spans="1:11" ht="15.75">
      <c r="A43" s="161" t="s">
        <v>16</v>
      </c>
      <c r="B43" s="70" t="s">
        <v>15</v>
      </c>
      <c r="C43" s="925">
        <v>250</v>
      </c>
      <c r="D43" s="367">
        <f t="shared" ref="D43:D54" si="5">+C43*9%</f>
        <v>22.5</v>
      </c>
      <c r="E43" s="367">
        <f t="shared" si="1"/>
        <v>22.5</v>
      </c>
      <c r="F43" s="367" t="str">
        <f t="shared" si="2"/>
        <v xml:space="preserve"> </v>
      </c>
      <c r="G43" s="595">
        <v>0</v>
      </c>
      <c r="H43" s="595">
        <v>0</v>
      </c>
      <c r="I43" s="595">
        <v>0</v>
      </c>
      <c r="J43" s="1">
        <v>1170</v>
      </c>
      <c r="K43" s="1">
        <f>+C42-J43</f>
        <v>120</v>
      </c>
    </row>
    <row r="44" spans="1:11" ht="15.75">
      <c r="A44" s="161" t="s">
        <v>14</v>
      </c>
      <c r="B44" s="70" t="s">
        <v>13</v>
      </c>
      <c r="C44" s="925">
        <v>2529</v>
      </c>
      <c r="D44" s="367">
        <f t="shared" si="5"/>
        <v>227.60999999999999</v>
      </c>
      <c r="E44" s="367">
        <f t="shared" si="1"/>
        <v>227.60999999999999</v>
      </c>
      <c r="F44" s="367">
        <v>0</v>
      </c>
      <c r="G44" s="595">
        <v>0</v>
      </c>
      <c r="H44" s="595">
        <v>0</v>
      </c>
      <c r="I44" s="595">
        <v>0</v>
      </c>
    </row>
    <row r="45" spans="1:11" ht="15.75">
      <c r="A45" s="161">
        <v>3317</v>
      </c>
      <c r="B45" s="70" t="s">
        <v>286</v>
      </c>
      <c r="C45" s="925">
        <v>0</v>
      </c>
      <c r="D45" s="367">
        <f t="shared" si="5"/>
        <v>0</v>
      </c>
      <c r="E45" s="367">
        <f t="shared" si="1"/>
        <v>0</v>
      </c>
      <c r="F45" s="367">
        <f t="shared" si="2"/>
        <v>0</v>
      </c>
      <c r="G45" s="595">
        <v>0</v>
      </c>
      <c r="H45" s="595">
        <v>0</v>
      </c>
      <c r="I45" s="595">
        <v>0</v>
      </c>
    </row>
    <row r="46" spans="1:11" ht="15.75">
      <c r="A46" s="161" t="s">
        <v>12</v>
      </c>
      <c r="B46" s="70" t="s">
        <v>11</v>
      </c>
      <c r="C46" s="925">
        <v>0</v>
      </c>
      <c r="D46" s="367">
        <f t="shared" si="5"/>
        <v>0</v>
      </c>
      <c r="E46" s="367">
        <f t="shared" si="1"/>
        <v>0</v>
      </c>
      <c r="F46" s="367">
        <f t="shared" si="2"/>
        <v>0</v>
      </c>
      <c r="G46" s="595">
        <v>0</v>
      </c>
      <c r="H46" s="595">
        <v>0</v>
      </c>
      <c r="I46" s="595">
        <v>0</v>
      </c>
    </row>
    <row r="47" spans="1:11" ht="15.75">
      <c r="A47" s="161">
        <v>3320</v>
      </c>
      <c r="B47" s="70" t="s">
        <v>290</v>
      </c>
      <c r="C47" s="925">
        <f>1086004-1085782</f>
        <v>222</v>
      </c>
      <c r="D47" s="367">
        <f t="shared" si="5"/>
        <v>19.98</v>
      </c>
      <c r="E47" s="367">
        <f t="shared" si="1"/>
        <v>19.98</v>
      </c>
      <c r="F47" s="367">
        <v>0</v>
      </c>
      <c r="G47" s="266">
        <v>0</v>
      </c>
      <c r="H47" s="266">
        <v>0</v>
      </c>
      <c r="I47" s="266">
        <v>0</v>
      </c>
    </row>
    <row r="48" spans="1:11" ht="15.75">
      <c r="A48" s="161">
        <v>3321</v>
      </c>
      <c r="B48" s="70" t="s">
        <v>156</v>
      </c>
      <c r="C48" s="925">
        <v>0</v>
      </c>
      <c r="D48" s="367">
        <f t="shared" si="5"/>
        <v>0</v>
      </c>
      <c r="E48" s="367">
        <f t="shared" si="1"/>
        <v>0</v>
      </c>
      <c r="F48" s="367">
        <f t="shared" si="2"/>
        <v>0</v>
      </c>
      <c r="G48" s="595">
        <v>0</v>
      </c>
      <c r="H48" s="595">
        <v>0</v>
      </c>
      <c r="I48" s="595">
        <v>0</v>
      </c>
    </row>
    <row r="49" spans="1:12" ht="15.75">
      <c r="A49" s="161">
        <v>3322</v>
      </c>
      <c r="B49" s="70" t="s">
        <v>335</v>
      </c>
      <c r="C49" s="925">
        <v>0</v>
      </c>
      <c r="D49" s="367">
        <f t="shared" si="5"/>
        <v>0</v>
      </c>
      <c r="E49" s="367">
        <f>+D49</f>
        <v>0</v>
      </c>
      <c r="F49" s="367"/>
      <c r="G49" s="595">
        <v>0</v>
      </c>
      <c r="H49" s="595">
        <v>0</v>
      </c>
      <c r="I49" s="595">
        <v>0</v>
      </c>
    </row>
    <row r="50" spans="1:12" ht="15.75">
      <c r="A50" s="161">
        <v>3324</v>
      </c>
      <c r="B50" s="70" t="s">
        <v>438</v>
      </c>
      <c r="C50" s="925">
        <v>1347</v>
      </c>
      <c r="D50" s="367">
        <f t="shared" si="5"/>
        <v>121.22999999999999</v>
      </c>
      <c r="E50" s="367">
        <f>+D50</f>
        <v>121.22999999999999</v>
      </c>
      <c r="F50" s="367"/>
      <c r="G50" s="595">
        <v>0</v>
      </c>
      <c r="H50" s="595">
        <v>0</v>
      </c>
      <c r="I50" s="595">
        <v>0</v>
      </c>
      <c r="L50" s="1">
        <v>0</v>
      </c>
    </row>
    <row r="51" spans="1:12" ht="15.75">
      <c r="A51" s="14">
        <v>3325</v>
      </c>
      <c r="B51" s="70" t="s">
        <v>605</v>
      </c>
      <c r="C51" s="925">
        <v>0</v>
      </c>
      <c r="D51" s="367">
        <f>+C51*9%</f>
        <v>0</v>
      </c>
      <c r="E51" s="367">
        <f>+D51</f>
        <v>0</v>
      </c>
      <c r="F51" s="367"/>
      <c r="G51" s="595">
        <v>0</v>
      </c>
      <c r="H51" s="595">
        <v>0</v>
      </c>
      <c r="I51" s="595">
        <v>0</v>
      </c>
    </row>
    <row r="52" spans="1:12" ht="15.75">
      <c r="A52" s="161">
        <v>3391</v>
      </c>
      <c r="B52" s="70" t="s">
        <v>300</v>
      </c>
      <c r="C52" s="925">
        <v>9333</v>
      </c>
      <c r="D52" s="367">
        <f t="shared" si="5"/>
        <v>839.96999999999991</v>
      </c>
      <c r="E52" s="367">
        <f t="shared" si="1"/>
        <v>839.96999999999991</v>
      </c>
      <c r="F52" s="367">
        <v>0</v>
      </c>
      <c r="G52" s="595">
        <v>0</v>
      </c>
      <c r="H52" s="595">
        <v>0</v>
      </c>
      <c r="I52" s="595">
        <v>0</v>
      </c>
      <c r="L52" s="1">
        <v>0</v>
      </c>
    </row>
    <row r="53" spans="1:12" ht="15.75">
      <c r="A53" s="14">
        <v>3359</v>
      </c>
      <c r="B53" s="70" t="s">
        <v>683</v>
      </c>
      <c r="C53" s="925">
        <v>0</v>
      </c>
      <c r="D53" s="367">
        <f t="shared" si="5"/>
        <v>0</v>
      </c>
      <c r="E53" s="367">
        <f t="shared" si="1"/>
        <v>0</v>
      </c>
      <c r="F53" s="367">
        <v>0</v>
      </c>
      <c r="G53" s="266">
        <v>0</v>
      </c>
      <c r="H53" s="266">
        <v>0</v>
      </c>
      <c r="I53" s="266">
        <v>0</v>
      </c>
    </row>
    <row r="54" spans="1:12" ht="15.75">
      <c r="A54" s="14">
        <v>3825</v>
      </c>
      <c r="B54" s="70" t="s">
        <v>646</v>
      </c>
      <c r="C54" s="925">
        <v>0</v>
      </c>
      <c r="D54" s="367">
        <f t="shared" si="5"/>
        <v>0</v>
      </c>
      <c r="E54" s="367">
        <f t="shared" si="1"/>
        <v>0</v>
      </c>
      <c r="F54" s="367">
        <v>0</v>
      </c>
      <c r="G54" s="595">
        <v>0</v>
      </c>
      <c r="H54" s="595">
        <v>0</v>
      </c>
      <c r="I54" s="595">
        <v>0</v>
      </c>
    </row>
    <row r="55" spans="1:12" ht="15.75">
      <c r="A55" s="14">
        <v>3362</v>
      </c>
      <c r="B55" s="70" t="s">
        <v>739</v>
      </c>
      <c r="C55" s="925">
        <v>0</v>
      </c>
      <c r="D55" s="367"/>
      <c r="E55" s="367"/>
      <c r="F55" s="367"/>
      <c r="G55" s="595">
        <v>0</v>
      </c>
      <c r="H55" s="595">
        <v>0</v>
      </c>
      <c r="I55" s="595">
        <v>0</v>
      </c>
    </row>
    <row r="56" spans="1:12" ht="15.75">
      <c r="A56" s="14">
        <v>3340</v>
      </c>
      <c r="B56" s="70" t="s">
        <v>785</v>
      </c>
      <c r="C56" s="925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12" ht="15.75">
      <c r="A57" s="162" t="s">
        <v>10</v>
      </c>
      <c r="B57" s="70"/>
      <c r="C57" s="925"/>
      <c r="D57" s="367"/>
      <c r="E57" s="367"/>
      <c r="F57" s="367"/>
      <c r="G57" s="595">
        <v>0</v>
      </c>
      <c r="H57" s="595">
        <v>0</v>
      </c>
      <c r="I57" s="595">
        <v>0</v>
      </c>
    </row>
    <row r="58" spans="1:12" ht="15.75">
      <c r="A58" s="161" t="s">
        <v>9</v>
      </c>
      <c r="B58" s="70" t="s">
        <v>8</v>
      </c>
      <c r="C58" s="925">
        <v>-28365</v>
      </c>
      <c r="D58" s="367">
        <f>+C58*9%</f>
        <v>-2552.85</v>
      </c>
      <c r="E58" s="367">
        <f t="shared" si="1"/>
        <v>-2552.85</v>
      </c>
      <c r="F58" s="367">
        <v>0</v>
      </c>
      <c r="G58" s="595">
        <v>28365</v>
      </c>
      <c r="H58" s="595">
        <v>0</v>
      </c>
      <c r="I58" s="595">
        <v>0</v>
      </c>
    </row>
    <row r="59" spans="1:12" ht="15.75">
      <c r="A59" s="160" t="s">
        <v>7</v>
      </c>
      <c r="B59" s="70" t="s">
        <v>6</v>
      </c>
      <c r="C59" s="925">
        <f>252000-274</f>
        <v>251726</v>
      </c>
      <c r="D59" s="367">
        <f>+C59*9%</f>
        <v>22655.34</v>
      </c>
      <c r="E59" s="367">
        <f t="shared" si="1"/>
        <v>22655.34</v>
      </c>
      <c r="F59" s="367">
        <v>0</v>
      </c>
      <c r="G59" s="266">
        <v>274</v>
      </c>
      <c r="H59" s="595">
        <v>0</v>
      </c>
      <c r="I59" s="595">
        <v>0</v>
      </c>
    </row>
    <row r="60" spans="1:12" ht="15.75">
      <c r="A60" s="163" t="s">
        <v>5</v>
      </c>
      <c r="B60" s="70" t="s">
        <v>4</v>
      </c>
      <c r="C60" s="925">
        <v>0</v>
      </c>
      <c r="D60" s="367"/>
      <c r="E60" s="367"/>
      <c r="F60" s="367"/>
      <c r="G60" s="595">
        <v>0</v>
      </c>
      <c r="H60" s="595">
        <v>0</v>
      </c>
      <c r="I60" s="595">
        <v>0</v>
      </c>
    </row>
    <row r="61" spans="1:12" ht="15.75">
      <c r="A61" s="431"/>
      <c r="B61" s="432" t="s">
        <v>465</v>
      </c>
      <c r="C61" s="925">
        <v>0</v>
      </c>
      <c r="D61" s="367">
        <f>+C61*9%</f>
        <v>0</v>
      </c>
      <c r="E61" s="899">
        <f>+D61</f>
        <v>0</v>
      </c>
      <c r="F61" s="899"/>
      <c r="G61" s="595">
        <v>0</v>
      </c>
      <c r="H61" s="595">
        <v>0</v>
      </c>
      <c r="I61" s="595">
        <v>0</v>
      </c>
    </row>
    <row r="62" spans="1:12" ht="16.5" thickBot="1">
      <c r="A62" s="12"/>
      <c r="B62" s="11" t="s">
        <v>3</v>
      </c>
      <c r="C62" s="900">
        <f>SUM(C9:C61)</f>
        <v>362102.36</v>
      </c>
      <c r="D62" s="900">
        <f>SUM(D9:D61)</f>
        <v>32589.212399999997</v>
      </c>
      <c r="E62" s="900">
        <f>SUM(E9:E61)</f>
        <v>32589.212399999997</v>
      </c>
      <c r="F62" s="900">
        <f>SUM(F9:F61)</f>
        <v>0</v>
      </c>
      <c r="G62" s="10">
        <f>SUM(G9:G59)</f>
        <v>28639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1033" t="s">
        <v>857</v>
      </c>
      <c r="B64" s="43" t="s">
        <v>858</v>
      </c>
      <c r="C64" s="17">
        <v>0</v>
      </c>
      <c r="D64" s="367">
        <f>+C64*0.09</f>
        <v>0</v>
      </c>
      <c r="E64" s="367">
        <f>+D64</f>
        <v>0</v>
      </c>
      <c r="F64" s="6"/>
    </row>
    <row r="65" spans="1:12" ht="15.75">
      <c r="A65" s="5" t="s">
        <v>1</v>
      </c>
      <c r="B65" s="43" t="s">
        <v>0</v>
      </c>
      <c r="C65" s="16"/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5" t="s">
        <v>359</v>
      </c>
      <c r="B66" s="43" t="s">
        <v>360</v>
      </c>
      <c r="C66" s="16">
        <v>0</v>
      </c>
      <c r="D66" s="25">
        <f>+C66*9%</f>
        <v>0</v>
      </c>
      <c r="E66" s="25">
        <f>+D66</f>
        <v>0</v>
      </c>
      <c r="F66" s="25">
        <f>IF(D66&gt;0," ",C66*18%)</f>
        <v>0</v>
      </c>
    </row>
    <row r="67" spans="1:12" ht="15.75">
      <c r="A67" s="1228" t="s">
        <v>75</v>
      </c>
      <c r="B67" s="1228"/>
      <c r="C67" s="1228"/>
      <c r="D67" s="1228"/>
      <c r="E67" s="1228"/>
      <c r="F67" s="1228"/>
      <c r="G67" s="1">
        <f>+C62*0.09</f>
        <v>32589.212399999997</v>
      </c>
      <c r="I67" s="1" t="s">
        <v>5</v>
      </c>
    </row>
    <row r="68" spans="1:12" ht="15.75">
      <c r="A68" s="28"/>
      <c r="B68" s="28"/>
      <c r="C68" s="28"/>
      <c r="D68" s="28"/>
      <c r="E68" s="28"/>
      <c r="F68" s="28"/>
    </row>
    <row r="69" spans="1:12" ht="15.75">
      <c r="A69" s="29" t="s">
        <v>76</v>
      </c>
      <c r="B69" s="29"/>
      <c r="C69" s="3"/>
      <c r="D69" s="3"/>
      <c r="E69" s="3"/>
      <c r="F69" s="3"/>
      <c r="H69" s="32" t="s">
        <v>5</v>
      </c>
      <c r="J69" s="1" t="s">
        <v>5</v>
      </c>
      <c r="K69" s="1" t="s">
        <v>5</v>
      </c>
      <c r="L69" s="1" t="s">
        <v>5</v>
      </c>
    </row>
    <row r="70" spans="1:12">
      <c r="A70" s="1244" t="s">
        <v>65</v>
      </c>
      <c r="B70" s="1245"/>
      <c r="C70" s="1246"/>
      <c r="D70" s="1236" t="s">
        <v>89</v>
      </c>
      <c r="E70" s="1236" t="s">
        <v>67</v>
      </c>
      <c r="F70" s="1231" t="s">
        <v>68</v>
      </c>
      <c r="H70" s="32" t="s">
        <v>5</v>
      </c>
      <c r="L70" s="1" t="s">
        <v>5</v>
      </c>
    </row>
    <row r="71" spans="1:12">
      <c r="A71" s="1247"/>
      <c r="B71" s="1248"/>
      <c r="C71" s="1249"/>
      <c r="D71" s="1236"/>
      <c r="E71" s="1236"/>
      <c r="F71" s="1232"/>
    </row>
    <row r="72" spans="1:12" ht="15.75">
      <c r="A72" s="1241" t="s">
        <v>80</v>
      </c>
      <c r="B72" s="1242"/>
      <c r="C72" s="1243"/>
      <c r="D72" s="105">
        <f>+D62+D64</f>
        <v>32589.212399999997</v>
      </c>
      <c r="E72" s="105">
        <f>+D72</f>
        <v>32589.212399999997</v>
      </c>
      <c r="F72" s="105">
        <f>+F62</f>
        <v>0</v>
      </c>
    </row>
    <row r="73" spans="1:12" ht="15.75">
      <c r="A73" s="43" t="s">
        <v>103</v>
      </c>
      <c r="B73" s="43"/>
      <c r="C73" s="43">
        <f>G62</f>
        <v>28639</v>
      </c>
      <c r="D73" s="106">
        <f>+C73*0.09</f>
        <v>2577.5099999999998</v>
      </c>
      <c r="E73" s="106">
        <f>+D73</f>
        <v>2577.5099999999998</v>
      </c>
      <c r="F73" s="105">
        <v>0</v>
      </c>
    </row>
    <row r="74" spans="1:12" ht="15.75">
      <c r="A74" s="43"/>
      <c r="B74" s="43"/>
      <c r="C74" s="43"/>
      <c r="D74" s="105">
        <f>+D72+D73</f>
        <v>35166.722399999999</v>
      </c>
      <c r="E74" s="105">
        <f>+E72+E73</f>
        <v>35166.722399999999</v>
      </c>
      <c r="F74" s="105">
        <v>0</v>
      </c>
    </row>
    <row r="75" spans="1:12" ht="15.75">
      <c r="A75" s="1241" t="s">
        <v>104</v>
      </c>
      <c r="B75" s="1242"/>
      <c r="C75" s="1243"/>
      <c r="D75" s="108">
        <v>35156.68</v>
      </c>
      <c r="E75" s="108">
        <f>+D75</f>
        <v>35156.68</v>
      </c>
      <c r="F75" s="108">
        <v>0</v>
      </c>
      <c r="J75" s="72"/>
    </row>
    <row r="76" spans="1:12" ht="15.75">
      <c r="A76" s="1250" t="s">
        <v>79</v>
      </c>
      <c r="B76" s="1251"/>
      <c r="C76" s="1252"/>
      <c r="D76" s="641">
        <f>+D74-D75</f>
        <v>10.042399999998452</v>
      </c>
      <c r="E76" s="641">
        <f>+E74-E75</f>
        <v>10.042399999998452</v>
      </c>
      <c r="F76" s="108">
        <f>IF(F72&gt;F75,F72,F75)</f>
        <v>0</v>
      </c>
      <c r="G76" s="1">
        <f>D76/9%</f>
        <v>111.58222222220502</v>
      </c>
    </row>
    <row r="77" spans="1:12" ht="15.75">
      <c r="A77" s="3"/>
      <c r="B77" s="2"/>
      <c r="C77" s="3"/>
      <c r="D77" s="3"/>
      <c r="E77" s="3"/>
      <c r="F77" s="3"/>
    </row>
    <row r="78" spans="1:12" ht="15.75">
      <c r="A78" s="27" t="s">
        <v>77</v>
      </c>
      <c r="B78" s="2"/>
      <c r="C78" s="3"/>
      <c r="D78" s="3"/>
      <c r="E78" s="3"/>
      <c r="F78" s="3"/>
    </row>
    <row r="79" spans="1:12">
      <c r="A79" s="1218" t="s">
        <v>65</v>
      </c>
      <c r="B79" s="1219"/>
      <c r="C79" s="1220"/>
      <c r="D79" s="1253" t="s">
        <v>70</v>
      </c>
      <c r="E79" s="1234" t="s">
        <v>71</v>
      </c>
      <c r="F79" s="1234" t="s">
        <v>72</v>
      </c>
    </row>
    <row r="80" spans="1:12">
      <c r="A80" s="1221"/>
      <c r="B80" s="1222"/>
      <c r="C80" s="1223"/>
      <c r="D80" s="1254" t="s">
        <v>67</v>
      </c>
      <c r="E80" s="1235"/>
      <c r="F80" s="1235"/>
    </row>
    <row r="81" spans="1:9">
      <c r="A81" s="1225"/>
      <c r="B81" s="1226"/>
      <c r="C81" s="1227"/>
      <c r="D81" s="42"/>
      <c r="E81" s="42"/>
      <c r="F81" s="42"/>
      <c r="G81" s="32"/>
    </row>
    <row r="82" spans="1:9" ht="15.75">
      <c r="A82" s="1216" t="s">
        <v>69</v>
      </c>
      <c r="B82" s="1216"/>
      <c r="C82" s="1216"/>
      <c r="D82" s="108">
        <v>3340.51</v>
      </c>
      <c r="E82" s="108">
        <f>+D82</f>
        <v>3340.51</v>
      </c>
      <c r="F82" s="108">
        <v>0</v>
      </c>
      <c r="G82" s="32">
        <f>++D82/2</f>
        <v>1670.2550000000001</v>
      </c>
      <c r="H82" s="32">
        <f t="shared" ref="G82:I84" si="6">++E82/2</f>
        <v>1670.2550000000001</v>
      </c>
      <c r="I82" s="32">
        <f t="shared" si="6"/>
        <v>0</v>
      </c>
    </row>
    <row r="83" spans="1:9" ht="15.75">
      <c r="A83" s="1216" t="s">
        <v>83</v>
      </c>
      <c r="B83" s="1216"/>
      <c r="C83" s="1216"/>
      <c r="D83" s="56">
        <f>+C94</f>
        <v>0</v>
      </c>
      <c r="E83" s="56">
        <f>+D83</f>
        <v>0</v>
      </c>
      <c r="F83" s="56">
        <v>0</v>
      </c>
      <c r="G83" s="32">
        <f t="shared" si="6"/>
        <v>0</v>
      </c>
      <c r="H83" s="32">
        <f t="shared" si="6"/>
        <v>0</v>
      </c>
      <c r="I83" s="32">
        <f t="shared" si="6"/>
        <v>0</v>
      </c>
    </row>
    <row r="84" spans="1:9" ht="15.75">
      <c r="A84" s="1215" t="s">
        <v>82</v>
      </c>
      <c r="B84" s="1215"/>
      <c r="C84" s="1215"/>
      <c r="D84" s="105">
        <f>+D82-D83</f>
        <v>3340.51</v>
      </c>
      <c r="E84" s="105">
        <f>+E82-E810</f>
        <v>3340.51</v>
      </c>
      <c r="F84" s="105">
        <f>+F82-F83</f>
        <v>0</v>
      </c>
      <c r="G84" s="32">
        <f>++D84/2</f>
        <v>1670.2550000000001</v>
      </c>
      <c r="H84" s="32">
        <f t="shared" si="6"/>
        <v>1670.2550000000001</v>
      </c>
      <c r="I84" s="32">
        <f t="shared" si="6"/>
        <v>0</v>
      </c>
    </row>
    <row r="85" spans="1:9" ht="15.75" customHeight="1" thickBot="1">
      <c r="A85" s="1347"/>
      <c r="B85" s="1347"/>
      <c r="C85" s="1347"/>
      <c r="D85" s="1347"/>
      <c r="E85" s="1347"/>
      <c r="F85" s="1347"/>
      <c r="G85" s="32"/>
      <c r="I85" s="32"/>
    </row>
    <row r="86" spans="1:9">
      <c r="A86" s="1276" t="s">
        <v>944</v>
      </c>
      <c r="B86" s="1277"/>
      <c r="C86" s="1277"/>
      <c r="D86" s="1277"/>
      <c r="E86" s="1277"/>
      <c r="F86" s="1278"/>
      <c r="G86" s="32"/>
      <c r="I86" s="32"/>
    </row>
    <row r="87" spans="1:9" ht="15.75" thickBot="1">
      <c r="A87" s="1279"/>
      <c r="B87" s="1280"/>
      <c r="C87" s="1280"/>
      <c r="D87" s="1280"/>
      <c r="E87" s="1280"/>
      <c r="F87" s="1281"/>
      <c r="G87" s="32"/>
      <c r="I87" s="32"/>
    </row>
    <row r="90" spans="1:9">
      <c r="B90" s="145" t="s">
        <v>380</v>
      </c>
      <c r="C90" s="145"/>
      <c r="D90" s="145"/>
      <c r="E90" s="145"/>
    </row>
    <row r="91" spans="1:9">
      <c r="B91" s="144" t="s">
        <v>322</v>
      </c>
      <c r="C91" s="144" t="s">
        <v>89</v>
      </c>
      <c r="D91" s="144" t="s">
        <v>67</v>
      </c>
      <c r="E91" s="144" t="s">
        <v>68</v>
      </c>
      <c r="F91" s="40"/>
    </row>
    <row r="92" spans="1:9">
      <c r="A92" s="68"/>
      <c r="B92" s="1" t="s">
        <v>440</v>
      </c>
      <c r="C92" s="1">
        <v>0</v>
      </c>
      <c r="D92" s="1">
        <f>+C92</f>
        <v>0</v>
      </c>
      <c r="E92" s="1">
        <v>0</v>
      </c>
      <c r="F92" s="71"/>
    </row>
    <row r="93" spans="1:9">
      <c r="A93" s="68"/>
      <c r="B93" s="486" t="s">
        <v>720</v>
      </c>
      <c r="C93" s="1">
        <v>0</v>
      </c>
      <c r="D93" s="1">
        <v>0</v>
      </c>
      <c r="F93" s="71"/>
    </row>
    <row r="94" spans="1:9" ht="15.75" thickBot="1">
      <c r="A94" s="214"/>
      <c r="B94" s="141" t="s">
        <v>135</v>
      </c>
      <c r="C94" s="183">
        <f>+SUM(C92:C93)</f>
        <v>0</v>
      </c>
      <c r="D94" s="183">
        <f>+SUM(D92:D93)</f>
        <v>0</v>
      </c>
      <c r="E94" s="183">
        <f>+SUM(E92:E93)</f>
        <v>0</v>
      </c>
      <c r="F94" s="71"/>
    </row>
    <row r="95" spans="1:9" ht="15.75" thickTop="1"/>
    <row r="96" spans="1:9">
      <c r="G96" s="1">
        <f>+C94/2</f>
        <v>0</v>
      </c>
    </row>
    <row r="97" spans="1:6" ht="15" customHeight="1">
      <c r="A97"/>
      <c r="B97"/>
      <c r="C97"/>
      <c r="D97"/>
      <c r="E97"/>
      <c r="F97"/>
    </row>
    <row r="98" spans="1:6" ht="15.75" customHeight="1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1" spans="1:6">
      <c r="D101" s="1" t="s">
        <v>5</v>
      </c>
    </row>
  </sheetData>
  <mergeCells count="30">
    <mergeCell ref="A85:F85"/>
    <mergeCell ref="A86:F87"/>
    <mergeCell ref="A84:C84"/>
    <mergeCell ref="A75:C75"/>
    <mergeCell ref="A76:C76"/>
    <mergeCell ref="A79:C80"/>
    <mergeCell ref="E79:E80"/>
    <mergeCell ref="F79:F8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2:C72"/>
    <mergeCell ref="A81:C81"/>
    <mergeCell ref="A82:C82"/>
    <mergeCell ref="A83:C83"/>
    <mergeCell ref="D79:D80"/>
    <mergeCell ref="I7:I8"/>
    <mergeCell ref="A67:F67"/>
    <mergeCell ref="A70:C71"/>
    <mergeCell ref="D70:D71"/>
    <mergeCell ref="E70:E71"/>
    <mergeCell ref="F70:F71"/>
    <mergeCell ref="G7:G8"/>
    <mergeCell ref="H7:H8"/>
  </mergeCells>
  <conditionalFormatting sqref="A86">
    <cfRule type="containsText" dxfId="130" priority="11" operator="containsText" text="LESS COLLECTED">
      <formula>NOT(ISERROR(SEARCH("LESS COLLECTED",A86)))</formula>
    </cfRule>
    <cfRule type="containsText" dxfId="129" priority="12" operator="containsText" text="LESS COLLECTED">
      <formula>NOT(ISERROR(SEARCH("LESS COLLECTED",A86)))</formula>
    </cfRule>
  </conditionalFormatting>
  <conditionalFormatting sqref="A92:A94 D70:E71 A73:F74">
    <cfRule type="containsText" dxfId="128" priority="113" operator="containsText" text="EXCESS COLLECTED">
      <formula>NOT(ISERROR(SEARCH("EXCESS COLLECTED",A70)))</formula>
    </cfRule>
  </conditionalFormatting>
  <conditionalFormatting sqref="A9:B21 B90:E94 F90:F95 A92:A95 B100:XFD101 A100:A1048576 G90:XFD99">
    <cfRule type="containsText" dxfId="127" priority="51" operator="containsText" text="LESS COLLECTED">
      <formula>NOT(ISERROR(SEARCH("LESS COLLECTED",A9)))</formula>
    </cfRule>
  </conditionalFormatting>
  <conditionalFormatting sqref="A22:B34">
    <cfRule type="containsText" dxfId="126" priority="58" operator="containsText" text="LESS COLLECTED">
      <formula>NOT(ISERROR(SEARCH("LESS COLLECTED",A22)))</formula>
    </cfRule>
  </conditionalFormatting>
  <conditionalFormatting sqref="A35:B56">
    <cfRule type="containsText" dxfId="125" priority="5" operator="containsText" text="LESS COLLECTED">
      <formula>NOT(ISERROR(SEARCH("LESS COLLECTED",A35)))</formula>
    </cfRule>
  </conditionalFormatting>
  <conditionalFormatting sqref="A47:B56">
    <cfRule type="containsText" dxfId="124" priority="4" operator="containsText" text="EXCESS COLLECTED">
      <formula>NOT(ISERROR(SEARCH("EXCESS COLLECTED",A47)))</formula>
    </cfRule>
  </conditionalFormatting>
  <conditionalFormatting sqref="A57:B66">
    <cfRule type="containsText" dxfId="123" priority="62" operator="containsText" text="LESS COLLECTED">
      <formula>NOT(ISERROR(SEARCH("LESS COLLECTED",A57)))</formula>
    </cfRule>
  </conditionalFormatting>
  <conditionalFormatting sqref="B61">
    <cfRule type="containsText" dxfId="122" priority="61" operator="containsText" text="EXCESS COLLECTED">
      <formula>NOT(ISERROR(SEARCH("EXCESS COLLECTED",B61)))</formula>
    </cfRule>
  </conditionalFormatting>
  <conditionalFormatting sqref="B90:E90 F91 B91:D94 D94:E94 A28:B32">
    <cfRule type="containsText" dxfId="121" priority="57" operator="containsText" text="EXCESS COLLECTED">
      <formula>NOT(ISERROR(SEARCH("EXCESS COLLECTED",A28)))</formula>
    </cfRule>
  </conditionalFormatting>
  <conditionalFormatting sqref="B67:XFD74 A67:A82 A1:XFD3 A4 G4:XFD4 A5:XFD6 A7:F8 J7:XFD62 H75:XFD75 B76:XFD80 B81:F81 H81:XFD81 G85:XFD87 B88:XFD89 A88:A90 G102:XFD102 B103:XFD1048576 B75:F75 B82:XFD82 B84:XFD84 D83:XFD83 A84:A85">
    <cfRule type="containsText" dxfId="120" priority="121" operator="containsText" text="LESS COLLECTED">
      <formula>NOT(ISERROR(SEARCH("LESS COLLECTED",A1)))</formula>
    </cfRule>
  </conditionalFormatting>
  <conditionalFormatting sqref="C9:C37 C63:C66 C45">
    <cfRule type="containsText" dxfId="119" priority="69" operator="containsText" text="EXCESS COLLECTED">
      <formula>NOT(ISERROR(SEARCH("EXCESS COLLECTED",C9)))</formula>
    </cfRule>
  </conditionalFormatting>
  <conditionalFormatting sqref="C9:C37 C63:XFD65 C66:F66 C45">
    <cfRule type="containsText" dxfId="118" priority="70" operator="containsText" text="LESS COLLECTED">
      <formula>NOT(ISERROR(SEARCH("LESS COLLECTED",C9)))</formula>
    </cfRule>
  </conditionalFormatting>
  <conditionalFormatting sqref="D70:E71 A73:F74">
    <cfRule type="containsText" dxfId="117" priority="114" operator="containsText" text="LESS COLLECTED">
      <formula>NOT(ISERROR(SEARCH("LESS COLLECTED",A70)))</formula>
    </cfRule>
  </conditionalFormatting>
  <conditionalFormatting sqref="D48:F55">
    <cfRule type="containsText" dxfId="116" priority="34" operator="containsText" text="EXCESS COLLECTED">
      <formula>NOT(ISERROR(SEARCH("EXCESS COLLECTED",D48)))</formula>
    </cfRule>
  </conditionalFormatting>
  <conditionalFormatting sqref="D51:F51">
    <cfRule type="containsText" dxfId="115" priority="26" operator="containsText" text="EXCESS COLLECTED">
      <formula>NOT(ISERROR(SEARCH("EXCESS COLLECTED",D51)))</formula>
    </cfRule>
    <cfRule type="containsText" dxfId="114" priority="27" operator="containsText" text="LESS COLLECTED">
      <formula>NOT(ISERROR(SEARCH("LESS COLLECTED",D51)))</formula>
    </cfRule>
  </conditionalFormatting>
  <conditionalFormatting sqref="D56:F56">
    <cfRule type="containsText" dxfId="113" priority="6" operator="containsText" text="EXCESS COLLECTED">
      <formula>NOT(ISERROR(SEARCH("EXCESS COLLECTED",D56)))</formula>
    </cfRule>
  </conditionalFormatting>
  <conditionalFormatting sqref="D9:I35">
    <cfRule type="containsText" dxfId="112" priority="21" operator="containsText" text="LESS COLLECTED">
      <formula>NOT(ISERROR(SEARCH("LESS COLLECTED",D9)))</formula>
    </cfRule>
  </conditionalFormatting>
  <conditionalFormatting sqref="D36:I55">
    <cfRule type="containsText" dxfId="111" priority="35" operator="containsText" text="LESS COLLECTED">
      <formula>NOT(ISERROR(SEARCH("LESS COLLECTED",D36)))</formula>
    </cfRule>
  </conditionalFormatting>
  <conditionalFormatting sqref="D56:I62">
    <cfRule type="containsText" dxfId="110" priority="9" operator="containsText" text="LESS COLLECTED">
      <formula>NOT(ISERROR(SEARCH("LESS COLLECTED",D56)))</formula>
    </cfRule>
  </conditionalFormatting>
  <conditionalFormatting sqref="E94">
    <cfRule type="containsText" dxfId="109" priority="80" operator="containsText" text="LESS COLLECTED">
      <formula>NOT(ISERROR(SEARCH("LESS COLLECTED",E94)))</formula>
    </cfRule>
  </conditionalFormatting>
  <conditionalFormatting sqref="G66:XFD66">
    <cfRule type="containsText" dxfId="108" priority="18" operator="containsText" text="LESS COLLECTED">
      <formula>NOT(ISERROR(SEARCH("LESS COLLECTED",G66)))</formula>
    </cfRule>
  </conditionalFormatting>
  <conditionalFormatting sqref="C46:C61">
    <cfRule type="containsText" dxfId="107" priority="2" operator="containsText" text="LESS COLLECTED">
      <formula>NOT(ISERROR(SEARCH("LESS COLLECTED",C46)))</formula>
    </cfRule>
  </conditionalFormatting>
  <conditionalFormatting sqref="C38:C44">
    <cfRule type="containsText" dxfId="106" priority="3" operator="containsText" text="LESS COLLECTED">
      <formula>NOT(ISERROR(SEARCH("LESS COLLECTED",C38)))</formula>
    </cfRule>
  </conditionalFormatting>
  <conditionalFormatting sqref="A83:C83">
    <cfRule type="containsText" dxfId="105" priority="1" operator="containsText" text="LESS COLLECTED">
      <formula>NOT(ISERROR(SEARCH("LESS COLLECTED",A83)))</formula>
    </cfRule>
  </conditionalFormatting>
  <pageMargins left="0.95866141699999996" right="0.86811023600000004" top="0.65748031500000004" bottom="0.5" header="0.31496062992126" footer="0.31496062992126"/>
  <pageSetup paperSize="9" scale="50" orientation="portrait" r:id="rId1"/>
  <rowBreaks count="1" manualBreakCount="1">
    <brk id="99" max="5" man="1"/>
  </rowBreaks>
  <ignoredErrors>
    <ignoredError sqref="E74 E84" formula="1"/>
    <ignoredError sqref="G62 H62:I62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3">
    <tabColor rgb="FF92D050"/>
  </sheetPr>
  <dimension ref="A1:O100"/>
  <sheetViews>
    <sheetView topLeftCell="A74" workbookViewId="0">
      <selection activeCell="D74" sqref="D74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4.85546875" style="1" bestFit="1" customWidth="1"/>
    <col min="4" max="5" width="14.1406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28" t="s">
        <v>73</v>
      </c>
      <c r="B1" s="1228"/>
      <c r="C1" s="1228"/>
      <c r="D1" s="1228"/>
      <c r="E1" s="1228"/>
      <c r="F1" s="1228"/>
    </row>
    <row r="2" spans="1:11" ht="15.75">
      <c r="A2" s="41"/>
      <c r="B2" s="41"/>
      <c r="C2" s="41"/>
      <c r="D2" s="41"/>
      <c r="E2" s="41"/>
      <c r="F2" s="41"/>
    </row>
    <row r="3" spans="1:11" ht="15.75">
      <c r="A3" s="1229" t="s">
        <v>806</v>
      </c>
      <c r="B3" s="1229"/>
      <c r="C3" s="1229"/>
      <c r="D3" s="1229"/>
      <c r="E3" s="1229"/>
      <c r="F3" s="1229"/>
    </row>
    <row r="4" spans="1:11" ht="15.75">
      <c r="A4" s="1229" t="s">
        <v>805</v>
      </c>
      <c r="B4" s="1229"/>
      <c r="C4" s="1229"/>
      <c r="D4" s="1229"/>
      <c r="E4" s="1229"/>
      <c r="F4" s="1229"/>
    </row>
    <row r="5" spans="1:11" ht="15.75">
      <c r="A5" s="1228" t="str">
        <f>+BOPAL!A5</f>
        <v>SUMMARY OF INCOME FOR THE MONTH OF SEP 2026</v>
      </c>
      <c r="B5" s="1228"/>
      <c r="C5" s="1228"/>
      <c r="D5" s="1228"/>
      <c r="E5" s="1228"/>
      <c r="F5" s="1228"/>
    </row>
    <row r="6" spans="1:11" ht="15.75">
      <c r="A6" s="24" t="s">
        <v>5</v>
      </c>
      <c r="B6" s="3"/>
      <c r="C6" s="23"/>
      <c r="D6" s="1230"/>
      <c r="E6" s="1230"/>
      <c r="F6" s="3"/>
    </row>
    <row r="7" spans="1:11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1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1" ht="15.75">
      <c r="A9" s="161">
        <v>3303</v>
      </c>
      <c r="B9" s="70" t="s">
        <v>609</v>
      </c>
      <c r="C9" s="925">
        <v>0</v>
      </c>
      <c r="D9" s="367">
        <f t="shared" ref="D9:D54" si="0">+C9*9%</f>
        <v>0</v>
      </c>
      <c r="E9" s="367">
        <f>+D9</f>
        <v>0</v>
      </c>
      <c r="F9" s="367">
        <f>IF(D9&gt;0," ",C9*18%)</f>
        <v>0</v>
      </c>
      <c r="G9" s="595">
        <v>0</v>
      </c>
      <c r="H9" s="595">
        <v>0</v>
      </c>
      <c r="I9" s="595">
        <v>0</v>
      </c>
    </row>
    <row r="10" spans="1:11" ht="15.75">
      <c r="A10" s="161" t="s">
        <v>87</v>
      </c>
      <c r="B10" s="70" t="s">
        <v>61</v>
      </c>
      <c r="C10" s="925">
        <v>0</v>
      </c>
      <c r="D10" s="367">
        <f t="shared" si="0"/>
        <v>0</v>
      </c>
      <c r="E10" s="367">
        <f>+D10</f>
        <v>0</v>
      </c>
      <c r="F10" s="367">
        <f>IF(D10&gt;0," ",C10*18%)</f>
        <v>0</v>
      </c>
      <c r="G10" s="595">
        <v>0</v>
      </c>
      <c r="H10" s="595">
        <v>0</v>
      </c>
      <c r="I10" s="595">
        <v>0</v>
      </c>
    </row>
    <row r="11" spans="1:11" ht="15.75">
      <c r="A11" s="160">
        <v>3215</v>
      </c>
      <c r="B11" s="70" t="s">
        <v>59</v>
      </c>
      <c r="C11" s="925">
        <v>0</v>
      </c>
      <c r="D11" s="367">
        <f t="shared" si="0"/>
        <v>0</v>
      </c>
      <c r="E11" s="367">
        <f t="shared" ref="E11:E59" si="1">+D11</f>
        <v>0</v>
      </c>
      <c r="F11" s="367">
        <v>0</v>
      </c>
      <c r="G11" s="595">
        <v>0</v>
      </c>
      <c r="H11" s="595">
        <v>0</v>
      </c>
      <c r="I11" s="595">
        <v>0</v>
      </c>
    </row>
    <row r="12" spans="1:11" ht="15.75">
      <c r="A12" s="161" t="s">
        <v>58</v>
      </c>
      <c r="B12" s="70" t="s">
        <v>57</v>
      </c>
      <c r="C12" s="925">
        <v>0</v>
      </c>
      <c r="D12" s="367">
        <f t="shared" si="0"/>
        <v>0</v>
      </c>
      <c r="E12" s="367">
        <f t="shared" si="1"/>
        <v>0</v>
      </c>
      <c r="F12" s="367">
        <f t="shared" ref="F12:F48" si="2">IF(D12&gt;0," ",C12*18%)</f>
        <v>0</v>
      </c>
      <c r="G12" s="595">
        <v>0</v>
      </c>
      <c r="H12" s="595">
        <v>0</v>
      </c>
      <c r="I12" s="595">
        <v>0</v>
      </c>
    </row>
    <row r="13" spans="1:11" ht="15.75">
      <c r="A13" s="160" t="s">
        <v>56</v>
      </c>
      <c r="B13" s="70" t="s">
        <v>55</v>
      </c>
      <c r="C13" s="925">
        <v>0</v>
      </c>
      <c r="D13" s="367">
        <f t="shared" si="0"/>
        <v>0</v>
      </c>
      <c r="E13" s="367">
        <f t="shared" si="1"/>
        <v>0</v>
      </c>
      <c r="F13" s="367">
        <f t="shared" si="2"/>
        <v>0</v>
      </c>
      <c r="G13" s="595">
        <v>0</v>
      </c>
      <c r="H13" s="595">
        <v>0</v>
      </c>
      <c r="I13" s="595">
        <v>0</v>
      </c>
      <c r="K13" s="792"/>
    </row>
    <row r="14" spans="1:11" ht="15.75">
      <c r="A14" s="160" t="s">
        <v>54</v>
      </c>
      <c r="B14" s="70" t="s">
        <v>53</v>
      </c>
      <c r="C14" s="925">
        <v>0</v>
      </c>
      <c r="D14" s="367">
        <f t="shared" si="0"/>
        <v>0</v>
      </c>
      <c r="E14" s="367">
        <f t="shared" si="1"/>
        <v>0</v>
      </c>
      <c r="F14" s="367">
        <f t="shared" si="2"/>
        <v>0</v>
      </c>
      <c r="G14" s="595">
        <v>0</v>
      </c>
      <c r="H14" s="595">
        <v>0</v>
      </c>
      <c r="I14" s="595">
        <v>0</v>
      </c>
    </row>
    <row r="15" spans="1:11" ht="15.75">
      <c r="A15" s="160">
        <v>3235</v>
      </c>
      <c r="B15" s="70" t="s">
        <v>51</v>
      </c>
      <c r="C15" s="925"/>
      <c r="D15" s="367">
        <f t="shared" si="0"/>
        <v>0</v>
      </c>
      <c r="E15" s="367">
        <f t="shared" si="1"/>
        <v>0</v>
      </c>
      <c r="F15" s="367">
        <f t="shared" si="2"/>
        <v>0</v>
      </c>
      <c r="G15" s="595">
        <v>0</v>
      </c>
      <c r="H15" s="595">
        <v>0</v>
      </c>
      <c r="I15" s="595">
        <v>0</v>
      </c>
    </row>
    <row r="16" spans="1:11" ht="15.75">
      <c r="A16" s="161" t="s">
        <v>50</v>
      </c>
      <c r="B16" s="70" t="s">
        <v>49</v>
      </c>
      <c r="C16" s="925"/>
      <c r="D16" s="367">
        <f t="shared" si="0"/>
        <v>0</v>
      </c>
      <c r="E16" s="367">
        <f t="shared" si="1"/>
        <v>0</v>
      </c>
      <c r="F16" s="367">
        <f t="shared" si="2"/>
        <v>0</v>
      </c>
      <c r="G16" s="595">
        <v>0</v>
      </c>
      <c r="H16" s="595">
        <v>0</v>
      </c>
      <c r="I16" s="595">
        <v>0</v>
      </c>
    </row>
    <row r="17" spans="1:15" ht="15.75">
      <c r="A17" s="161" t="s">
        <v>48</v>
      </c>
      <c r="B17" s="70" t="s">
        <v>47</v>
      </c>
      <c r="C17" s="925"/>
      <c r="D17" s="367">
        <f t="shared" si="0"/>
        <v>0</v>
      </c>
      <c r="E17" s="367">
        <f t="shared" si="1"/>
        <v>0</v>
      </c>
      <c r="F17" s="367">
        <f t="shared" si="2"/>
        <v>0</v>
      </c>
      <c r="G17" s="595">
        <v>0</v>
      </c>
      <c r="H17" s="595">
        <v>0</v>
      </c>
      <c r="I17" s="595">
        <v>0</v>
      </c>
    </row>
    <row r="18" spans="1:15" ht="15.75">
      <c r="A18" s="161" t="s">
        <v>46</v>
      </c>
      <c r="B18" s="70" t="s">
        <v>45</v>
      </c>
      <c r="C18" s="925"/>
      <c r="D18" s="367">
        <f t="shared" si="0"/>
        <v>0</v>
      </c>
      <c r="E18" s="367">
        <f t="shared" si="1"/>
        <v>0</v>
      </c>
      <c r="F18" s="367">
        <f t="shared" si="2"/>
        <v>0</v>
      </c>
      <c r="G18" s="595">
        <v>0</v>
      </c>
      <c r="H18" s="595">
        <v>0</v>
      </c>
      <c r="I18" s="595">
        <v>0</v>
      </c>
    </row>
    <row r="19" spans="1:15" ht="15.75">
      <c r="A19" s="161">
        <v>3270</v>
      </c>
      <c r="B19" s="70" t="s">
        <v>43</v>
      </c>
      <c r="C19" s="925">
        <v>17000</v>
      </c>
      <c r="D19" s="367">
        <f t="shared" si="0"/>
        <v>1530</v>
      </c>
      <c r="E19" s="367">
        <f t="shared" si="1"/>
        <v>1530</v>
      </c>
      <c r="F19" s="367">
        <v>0</v>
      </c>
      <c r="G19" s="595">
        <v>0</v>
      </c>
      <c r="H19" s="595"/>
      <c r="I19" s="595">
        <v>0</v>
      </c>
      <c r="J19" s="1">
        <v>0</v>
      </c>
    </row>
    <row r="20" spans="1:15" ht="15.75">
      <c r="A20" s="13">
        <v>3271</v>
      </c>
      <c r="B20" s="70" t="s">
        <v>533</v>
      </c>
      <c r="C20" s="925"/>
      <c r="D20" s="367">
        <f t="shared" si="0"/>
        <v>0</v>
      </c>
      <c r="E20" s="367">
        <f t="shared" si="1"/>
        <v>0</v>
      </c>
      <c r="F20" s="367"/>
      <c r="G20" s="595">
        <v>0</v>
      </c>
      <c r="H20" s="595">
        <v>0</v>
      </c>
      <c r="I20" s="595">
        <v>0</v>
      </c>
    </row>
    <row r="21" spans="1:15" ht="15.75">
      <c r="A21" s="13">
        <v>3274</v>
      </c>
      <c r="B21" s="70" t="s">
        <v>554</v>
      </c>
      <c r="C21" s="925"/>
      <c r="D21" s="367"/>
      <c r="E21" s="367"/>
      <c r="F21" s="367"/>
      <c r="G21" s="595">
        <v>0</v>
      </c>
      <c r="H21" s="595">
        <v>0</v>
      </c>
      <c r="I21" s="595">
        <v>0</v>
      </c>
    </row>
    <row r="22" spans="1:15" ht="15.75">
      <c r="A22" s="158" t="s">
        <v>42</v>
      </c>
      <c r="B22" s="70" t="s">
        <v>41</v>
      </c>
      <c r="C22" s="925"/>
      <c r="D22" s="367">
        <f t="shared" si="0"/>
        <v>0</v>
      </c>
      <c r="E22" s="367">
        <f t="shared" si="1"/>
        <v>0</v>
      </c>
      <c r="F22" s="367">
        <f t="shared" si="2"/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25"/>
      <c r="D23" s="367">
        <f t="shared" si="0"/>
        <v>0</v>
      </c>
      <c r="E23" s="367">
        <f t="shared" si="1"/>
        <v>0</v>
      </c>
      <c r="F23" s="367">
        <f t="shared" si="2"/>
        <v>0</v>
      </c>
      <c r="G23" s="595">
        <v>0</v>
      </c>
      <c r="H23" s="595">
        <v>0</v>
      </c>
      <c r="I23" s="595">
        <v>0</v>
      </c>
    </row>
    <row r="24" spans="1:15" ht="15.75">
      <c r="A24" s="161" t="s">
        <v>38</v>
      </c>
      <c r="B24" s="70" t="s">
        <v>37</v>
      </c>
      <c r="C24" s="925"/>
      <c r="D24" s="367">
        <f t="shared" si="0"/>
        <v>0</v>
      </c>
      <c r="E24" s="367">
        <f t="shared" si="1"/>
        <v>0</v>
      </c>
      <c r="F24" s="367">
        <f t="shared" si="2"/>
        <v>0</v>
      </c>
      <c r="G24" s="595">
        <v>0</v>
      </c>
      <c r="H24" s="595">
        <v>0</v>
      </c>
      <c r="I24" s="595">
        <v>0</v>
      </c>
    </row>
    <row r="25" spans="1:15" ht="15.75">
      <c r="A25" s="158" t="s">
        <v>36</v>
      </c>
      <c r="B25" s="70" t="s">
        <v>35</v>
      </c>
      <c r="C25" s="925"/>
      <c r="D25" s="367">
        <f t="shared" si="0"/>
        <v>0</v>
      </c>
      <c r="E25" s="367">
        <f t="shared" si="1"/>
        <v>0</v>
      </c>
      <c r="F25" s="367">
        <f t="shared" si="2"/>
        <v>0</v>
      </c>
      <c r="G25" s="595">
        <v>0</v>
      </c>
      <c r="H25" s="595">
        <v>0</v>
      </c>
      <c r="I25" s="595">
        <v>0</v>
      </c>
    </row>
    <row r="26" spans="1:15" ht="15.75">
      <c r="A26" s="158" t="s">
        <v>34</v>
      </c>
      <c r="B26" s="70" t="s">
        <v>33</v>
      </c>
      <c r="C26" s="925"/>
      <c r="D26" s="367">
        <f t="shared" si="0"/>
        <v>0</v>
      </c>
      <c r="E26" s="367">
        <f t="shared" si="1"/>
        <v>0</v>
      </c>
      <c r="F26" s="367">
        <f t="shared" si="2"/>
        <v>0</v>
      </c>
      <c r="G26" s="595">
        <v>0</v>
      </c>
      <c r="H26" s="595">
        <v>0</v>
      </c>
      <c r="I26" s="595">
        <v>0</v>
      </c>
    </row>
    <row r="27" spans="1:15" ht="15.75">
      <c r="A27" s="158" t="s">
        <v>32</v>
      </c>
      <c r="B27" s="70" t="s">
        <v>31</v>
      </c>
      <c r="C27" s="925"/>
      <c r="D27" s="367">
        <f t="shared" si="0"/>
        <v>0</v>
      </c>
      <c r="E27" s="367">
        <f t="shared" si="1"/>
        <v>0</v>
      </c>
      <c r="F27" s="367">
        <f t="shared" si="2"/>
        <v>0</v>
      </c>
      <c r="G27" s="595">
        <v>0</v>
      </c>
      <c r="H27" s="595">
        <v>0</v>
      </c>
      <c r="I27" s="595">
        <v>0</v>
      </c>
    </row>
    <row r="28" spans="1:15" ht="15.75">
      <c r="A28" s="158">
        <v>3291</v>
      </c>
      <c r="B28" s="33" t="s">
        <v>325</v>
      </c>
      <c r="C28" s="925"/>
      <c r="D28" s="367">
        <f t="shared" si="0"/>
        <v>0</v>
      </c>
      <c r="E28" s="367">
        <f>+D28</f>
        <v>0</v>
      </c>
      <c r="F28" s="367">
        <f>IF(D28&gt;0," ",C28*18%)</f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925"/>
      <c r="D29" s="367">
        <f t="shared" si="0"/>
        <v>0</v>
      </c>
      <c r="E29" s="367">
        <f>+D29</f>
        <v>0</v>
      </c>
      <c r="F29" s="367">
        <f>IF(D29&gt;0," ",C29*18%)</f>
        <v>0</v>
      </c>
      <c r="G29" s="595">
        <v>0</v>
      </c>
      <c r="H29" s="595">
        <v>0</v>
      </c>
      <c r="I29" s="595">
        <v>0</v>
      </c>
    </row>
    <row r="30" spans="1:15" ht="15.75">
      <c r="A30" s="137" t="s">
        <v>527</v>
      </c>
      <c r="B30" s="33" t="s">
        <v>524</v>
      </c>
      <c r="C30" s="925"/>
      <c r="D30" s="367">
        <f t="shared" si="0"/>
        <v>0</v>
      </c>
      <c r="E30" s="367">
        <f>+D30</f>
        <v>0</v>
      </c>
      <c r="F30" s="367">
        <f>IF(D30&gt;0," ",C30*18%)</f>
        <v>0</v>
      </c>
      <c r="G30" s="595">
        <v>0</v>
      </c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925"/>
      <c r="D31" s="367">
        <f t="shared" si="0"/>
        <v>0</v>
      </c>
      <c r="E31" s="367">
        <f>+D31</f>
        <v>0</v>
      </c>
      <c r="F31" s="367">
        <f>IF(D31&gt;0," ",C31*18%)</f>
        <v>0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925"/>
      <c r="D32" s="367">
        <f t="shared" si="0"/>
        <v>0</v>
      </c>
      <c r="E32" s="367">
        <f>+D32</f>
        <v>0</v>
      </c>
      <c r="F32" s="367">
        <f>IF(D32&gt;0," ",C32*18%)</f>
        <v>0</v>
      </c>
      <c r="G32" s="595">
        <v>0</v>
      </c>
      <c r="H32" s="595">
        <v>0</v>
      </c>
      <c r="I32" s="595">
        <v>0</v>
      </c>
    </row>
    <row r="33" spans="1:10" ht="15.75">
      <c r="A33" s="160">
        <v>3300</v>
      </c>
      <c r="B33" s="70" t="s">
        <v>29</v>
      </c>
      <c r="C33" s="925">
        <v>1873.2</v>
      </c>
      <c r="D33" s="367">
        <f t="shared" si="0"/>
        <v>168.58799999999999</v>
      </c>
      <c r="E33" s="367">
        <f t="shared" si="1"/>
        <v>168.58799999999999</v>
      </c>
      <c r="F33" s="901">
        <v>0</v>
      </c>
      <c r="G33" s="595">
        <v>0</v>
      </c>
      <c r="H33" s="595">
        <v>0</v>
      </c>
      <c r="I33" s="595">
        <v>0</v>
      </c>
    </row>
    <row r="34" spans="1:10" ht="15.75">
      <c r="A34" s="160">
        <v>3301</v>
      </c>
      <c r="B34" s="70" t="s">
        <v>154</v>
      </c>
      <c r="C34" s="925"/>
      <c r="D34" s="367">
        <f t="shared" si="0"/>
        <v>0</v>
      </c>
      <c r="E34" s="367">
        <f t="shared" si="1"/>
        <v>0</v>
      </c>
      <c r="F34" s="367">
        <f t="shared" si="2"/>
        <v>0</v>
      </c>
      <c r="G34" s="595">
        <v>0</v>
      </c>
      <c r="H34" s="595">
        <v>0</v>
      </c>
      <c r="I34" s="595">
        <v>0</v>
      </c>
    </row>
    <row r="35" spans="1:10" ht="15.75">
      <c r="A35" s="13">
        <v>3302</v>
      </c>
      <c r="B35" s="70" t="s">
        <v>525</v>
      </c>
      <c r="C35" s="925"/>
      <c r="D35" s="367">
        <f>+C35*9%</f>
        <v>0</v>
      </c>
      <c r="E35" s="367">
        <f>+D35</f>
        <v>0</v>
      </c>
      <c r="F35" s="367">
        <f>IF(D35&gt;0," ",C35*18%)</f>
        <v>0</v>
      </c>
      <c r="G35" s="595">
        <v>0</v>
      </c>
      <c r="H35" s="595">
        <v>0</v>
      </c>
      <c r="I35" s="595">
        <v>0</v>
      </c>
    </row>
    <row r="36" spans="1:10" ht="15.75">
      <c r="A36" s="160">
        <v>3305</v>
      </c>
      <c r="B36" s="70" t="s">
        <v>27</v>
      </c>
      <c r="C36" s="925"/>
      <c r="D36" s="367">
        <f t="shared" si="0"/>
        <v>0</v>
      </c>
      <c r="E36" s="367">
        <f t="shared" si="1"/>
        <v>0</v>
      </c>
      <c r="F36" s="367">
        <f t="shared" si="2"/>
        <v>0</v>
      </c>
      <c r="G36" s="595">
        <v>0</v>
      </c>
      <c r="H36" s="595">
        <v>0</v>
      </c>
      <c r="I36" s="595">
        <v>0</v>
      </c>
    </row>
    <row r="37" spans="1:10" ht="15.75">
      <c r="A37" s="158" t="s">
        <v>114</v>
      </c>
      <c r="B37" s="70" t="s">
        <v>115</v>
      </c>
      <c r="C37" s="925"/>
      <c r="D37" s="367">
        <f t="shared" si="0"/>
        <v>0</v>
      </c>
      <c r="E37" s="367">
        <f t="shared" si="1"/>
        <v>0</v>
      </c>
      <c r="F37" s="367">
        <f t="shared" si="2"/>
        <v>0</v>
      </c>
      <c r="G37" s="595">
        <v>0</v>
      </c>
      <c r="H37" s="595">
        <v>0</v>
      </c>
      <c r="I37" s="595">
        <v>0</v>
      </c>
    </row>
    <row r="38" spans="1:10" ht="15.75">
      <c r="A38" s="160" t="s">
        <v>26</v>
      </c>
      <c r="B38" s="70" t="s">
        <v>25</v>
      </c>
      <c r="C38" s="925">
        <v>100</v>
      </c>
      <c r="D38" s="367">
        <f t="shared" si="0"/>
        <v>9</v>
      </c>
      <c r="E38" s="367">
        <f t="shared" si="1"/>
        <v>9</v>
      </c>
      <c r="F38" s="367" t="str">
        <f t="shared" si="2"/>
        <v xml:space="preserve"> </v>
      </c>
      <c r="G38" s="595">
        <v>0</v>
      </c>
      <c r="H38" s="595">
        <v>0</v>
      </c>
      <c r="I38" s="595">
        <v>0</v>
      </c>
      <c r="J38" s="32"/>
    </row>
    <row r="39" spans="1:10" ht="15.75">
      <c r="A39" s="160" t="s">
        <v>24</v>
      </c>
      <c r="B39" s="70" t="s">
        <v>23</v>
      </c>
      <c r="C39" s="925"/>
      <c r="D39" s="367">
        <f t="shared" si="0"/>
        <v>0</v>
      </c>
      <c r="E39" s="367">
        <f t="shared" si="1"/>
        <v>0</v>
      </c>
      <c r="F39" s="367">
        <f t="shared" si="2"/>
        <v>0</v>
      </c>
      <c r="G39" s="595">
        <v>0</v>
      </c>
      <c r="H39" s="595">
        <v>0</v>
      </c>
      <c r="I39" s="595">
        <v>0</v>
      </c>
    </row>
    <row r="40" spans="1:10" ht="15.75">
      <c r="A40" s="160">
        <v>3312</v>
      </c>
      <c r="B40" s="70" t="s">
        <v>21</v>
      </c>
      <c r="C40" s="925"/>
      <c r="D40" s="367">
        <f t="shared" si="0"/>
        <v>0</v>
      </c>
      <c r="E40" s="367">
        <f t="shared" si="1"/>
        <v>0</v>
      </c>
      <c r="F40" s="367">
        <f t="shared" si="2"/>
        <v>0</v>
      </c>
      <c r="G40" s="595">
        <v>0</v>
      </c>
      <c r="H40" s="595">
        <v>0</v>
      </c>
      <c r="I40" s="595">
        <v>0</v>
      </c>
    </row>
    <row r="41" spans="1:10" ht="15.75">
      <c r="A41" s="160" t="s">
        <v>20</v>
      </c>
      <c r="B41" s="70" t="s">
        <v>19</v>
      </c>
      <c r="C41" s="925">
        <v>2500</v>
      </c>
      <c r="D41" s="367">
        <f t="shared" si="0"/>
        <v>225</v>
      </c>
      <c r="E41" s="367">
        <f t="shared" si="1"/>
        <v>225</v>
      </c>
      <c r="F41" s="367" t="str">
        <f t="shared" si="2"/>
        <v xml:space="preserve"> </v>
      </c>
      <c r="G41" s="595">
        <v>0</v>
      </c>
      <c r="H41" s="595">
        <v>0</v>
      </c>
      <c r="I41" s="595">
        <v>0</v>
      </c>
    </row>
    <row r="42" spans="1:10" ht="15.75">
      <c r="A42" s="161" t="s">
        <v>18</v>
      </c>
      <c r="B42" s="70" t="s">
        <v>17</v>
      </c>
      <c r="C42" s="925">
        <v>90</v>
      </c>
      <c r="D42" s="367">
        <f t="shared" si="0"/>
        <v>8.1</v>
      </c>
      <c r="E42" s="367">
        <f t="shared" si="1"/>
        <v>8.1</v>
      </c>
      <c r="F42" s="367" t="str">
        <f t="shared" si="2"/>
        <v xml:space="preserve"> </v>
      </c>
      <c r="G42" s="595">
        <v>0</v>
      </c>
      <c r="H42" s="595">
        <v>0</v>
      </c>
      <c r="I42" s="595">
        <v>0</v>
      </c>
    </row>
    <row r="43" spans="1:10" ht="15.75">
      <c r="A43" s="161" t="s">
        <v>16</v>
      </c>
      <c r="B43" s="70" t="s">
        <v>15</v>
      </c>
      <c r="C43" s="925"/>
      <c r="D43" s="367">
        <f t="shared" si="0"/>
        <v>0</v>
      </c>
      <c r="E43" s="367">
        <f t="shared" si="1"/>
        <v>0</v>
      </c>
      <c r="F43" s="367">
        <f t="shared" si="2"/>
        <v>0</v>
      </c>
      <c r="G43" s="595">
        <v>0</v>
      </c>
      <c r="H43" s="595">
        <v>0</v>
      </c>
      <c r="I43" s="595">
        <v>0</v>
      </c>
    </row>
    <row r="44" spans="1:10" ht="15.75">
      <c r="A44" s="161" t="s">
        <v>14</v>
      </c>
      <c r="B44" s="70" t="s">
        <v>13</v>
      </c>
      <c r="C44" s="925"/>
      <c r="D44" s="367">
        <f t="shared" si="0"/>
        <v>0</v>
      </c>
      <c r="E44" s="367">
        <f t="shared" si="1"/>
        <v>0</v>
      </c>
      <c r="F44" s="367">
        <v>0</v>
      </c>
      <c r="G44" s="595">
        <v>0</v>
      </c>
      <c r="H44" s="595">
        <v>0</v>
      </c>
      <c r="I44" s="595">
        <v>0</v>
      </c>
    </row>
    <row r="45" spans="1:10" ht="15.75">
      <c r="A45" s="161">
        <v>3317</v>
      </c>
      <c r="B45" s="70" t="s">
        <v>286</v>
      </c>
      <c r="C45" s="925"/>
      <c r="D45" s="367">
        <f t="shared" si="0"/>
        <v>0</v>
      </c>
      <c r="E45" s="367">
        <f t="shared" si="1"/>
        <v>0</v>
      </c>
      <c r="F45" s="367">
        <f t="shared" si="2"/>
        <v>0</v>
      </c>
      <c r="G45" s="595">
        <v>0</v>
      </c>
      <c r="H45" s="595">
        <v>0</v>
      </c>
      <c r="I45" s="595">
        <v>0</v>
      </c>
    </row>
    <row r="46" spans="1:10" ht="15.75">
      <c r="A46" s="161" t="s">
        <v>12</v>
      </c>
      <c r="B46" s="70" t="s">
        <v>11</v>
      </c>
      <c r="C46" s="925"/>
      <c r="D46" s="367">
        <f t="shared" si="0"/>
        <v>0</v>
      </c>
      <c r="E46" s="367">
        <f t="shared" si="1"/>
        <v>0</v>
      </c>
      <c r="F46" s="367">
        <f t="shared" si="2"/>
        <v>0</v>
      </c>
      <c r="G46" s="595">
        <v>0</v>
      </c>
      <c r="H46" s="595">
        <v>0</v>
      </c>
      <c r="I46" s="595">
        <v>0</v>
      </c>
    </row>
    <row r="47" spans="1:10" ht="15.75">
      <c r="A47" s="161">
        <v>3320</v>
      </c>
      <c r="B47" s="70" t="s">
        <v>290</v>
      </c>
      <c r="C47" s="925">
        <f>12176-12176</f>
        <v>0</v>
      </c>
      <c r="D47" s="367">
        <f t="shared" si="0"/>
        <v>0</v>
      </c>
      <c r="E47" s="367">
        <f t="shared" si="1"/>
        <v>0</v>
      </c>
      <c r="F47" s="367">
        <f t="shared" si="2"/>
        <v>0</v>
      </c>
      <c r="G47" s="266">
        <v>0</v>
      </c>
      <c r="H47" s="266">
        <v>0</v>
      </c>
      <c r="I47" s="266">
        <v>0</v>
      </c>
    </row>
    <row r="48" spans="1:10" ht="15.75">
      <c r="A48" s="161">
        <v>3321</v>
      </c>
      <c r="B48" s="70" t="s">
        <v>156</v>
      </c>
      <c r="C48" s="925"/>
      <c r="D48" s="367">
        <f t="shared" si="0"/>
        <v>0</v>
      </c>
      <c r="E48" s="367">
        <f t="shared" si="1"/>
        <v>0</v>
      </c>
      <c r="F48" s="367">
        <f t="shared" si="2"/>
        <v>0</v>
      </c>
      <c r="G48" s="595">
        <v>0</v>
      </c>
      <c r="H48" s="595">
        <v>0</v>
      </c>
      <c r="I48" s="595">
        <v>0</v>
      </c>
    </row>
    <row r="49" spans="1:12" ht="15.75">
      <c r="A49" s="161">
        <v>3322</v>
      </c>
      <c r="B49" s="70" t="s">
        <v>335</v>
      </c>
      <c r="C49" s="925"/>
      <c r="D49" s="367">
        <f t="shared" si="0"/>
        <v>0</v>
      </c>
      <c r="E49" s="367">
        <f>+D49</f>
        <v>0</v>
      </c>
      <c r="F49" s="367"/>
      <c r="G49" s="595">
        <v>0</v>
      </c>
      <c r="H49" s="595">
        <v>0</v>
      </c>
      <c r="I49" s="595">
        <v>0</v>
      </c>
    </row>
    <row r="50" spans="1:12" ht="15.75">
      <c r="A50" s="161">
        <v>3324</v>
      </c>
      <c r="B50" s="70" t="s">
        <v>438</v>
      </c>
      <c r="C50" s="925"/>
      <c r="D50" s="367">
        <f t="shared" si="0"/>
        <v>0</v>
      </c>
      <c r="E50" s="367">
        <f>+D50</f>
        <v>0</v>
      </c>
      <c r="F50" s="367"/>
      <c r="G50" s="595">
        <v>0</v>
      </c>
      <c r="H50" s="595">
        <v>0</v>
      </c>
      <c r="I50" s="595">
        <v>0</v>
      </c>
      <c r="L50" s="1">
        <v>0</v>
      </c>
    </row>
    <row r="51" spans="1:12" ht="15.75">
      <c r="A51" s="14">
        <v>3325</v>
      </c>
      <c r="B51" s="70" t="s">
        <v>605</v>
      </c>
      <c r="C51" s="925"/>
      <c r="D51" s="367">
        <f>+C51*9%</f>
        <v>0</v>
      </c>
      <c r="E51" s="367">
        <f>+D51</f>
        <v>0</v>
      </c>
      <c r="F51" s="367"/>
      <c r="G51" s="595">
        <v>0</v>
      </c>
      <c r="H51" s="595">
        <v>0</v>
      </c>
      <c r="I51" s="595">
        <v>0</v>
      </c>
    </row>
    <row r="52" spans="1:12" ht="15.75">
      <c r="A52" s="161">
        <v>3391</v>
      </c>
      <c r="B52" s="70" t="s">
        <v>300</v>
      </c>
      <c r="C52" s="925">
        <v>239.5</v>
      </c>
      <c r="D52" s="367">
        <f t="shared" si="0"/>
        <v>21.555</v>
      </c>
      <c r="E52" s="367">
        <f t="shared" si="1"/>
        <v>21.555</v>
      </c>
      <c r="F52" s="367">
        <v>0</v>
      </c>
      <c r="G52" s="595">
        <v>0</v>
      </c>
      <c r="H52" s="595">
        <v>0</v>
      </c>
      <c r="I52" s="595">
        <v>0</v>
      </c>
      <c r="L52" s="1">
        <v>0</v>
      </c>
    </row>
    <row r="53" spans="1:12" ht="15.75">
      <c r="A53" s="14">
        <v>3359</v>
      </c>
      <c r="B53" s="70" t="s">
        <v>683</v>
      </c>
      <c r="C53" s="925"/>
      <c r="D53" s="367">
        <f t="shared" si="0"/>
        <v>0</v>
      </c>
      <c r="E53" s="367">
        <f t="shared" si="1"/>
        <v>0</v>
      </c>
      <c r="F53" s="367">
        <v>0</v>
      </c>
      <c r="G53" s="266">
        <v>0</v>
      </c>
      <c r="H53" s="266">
        <v>0</v>
      </c>
      <c r="I53" s="266">
        <v>0</v>
      </c>
    </row>
    <row r="54" spans="1:12" ht="15.75">
      <c r="A54" s="14">
        <v>3825</v>
      </c>
      <c r="B54" s="70" t="s">
        <v>646</v>
      </c>
      <c r="C54" s="925"/>
      <c r="D54" s="367">
        <f t="shared" si="0"/>
        <v>0</v>
      </c>
      <c r="E54" s="367">
        <f t="shared" si="1"/>
        <v>0</v>
      </c>
      <c r="F54" s="367">
        <v>0</v>
      </c>
      <c r="G54" s="595">
        <v>0</v>
      </c>
      <c r="H54" s="595">
        <v>0</v>
      </c>
      <c r="I54" s="595">
        <v>0</v>
      </c>
    </row>
    <row r="55" spans="1:12" ht="15.75">
      <c r="A55" s="14">
        <v>3362</v>
      </c>
      <c r="B55" s="70" t="s">
        <v>739</v>
      </c>
      <c r="C55" s="925"/>
      <c r="D55" s="367"/>
      <c r="E55" s="367"/>
      <c r="F55" s="367"/>
      <c r="G55" s="595">
        <v>0</v>
      </c>
      <c r="H55" s="595">
        <v>0</v>
      </c>
      <c r="I55" s="595">
        <v>0</v>
      </c>
    </row>
    <row r="56" spans="1:12" ht="15.75">
      <c r="A56" s="14">
        <v>3340</v>
      </c>
      <c r="B56" s="70" t="s">
        <v>785</v>
      </c>
      <c r="C56" s="925"/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12" ht="15.75">
      <c r="A57" s="162" t="s">
        <v>10</v>
      </c>
      <c r="B57" s="70"/>
      <c r="C57" s="925"/>
      <c r="D57" s="367"/>
      <c r="E57" s="367"/>
      <c r="F57" s="367"/>
      <c r="G57" s="595">
        <v>0</v>
      </c>
      <c r="H57" s="595">
        <v>0</v>
      </c>
      <c r="I57" s="595">
        <v>0</v>
      </c>
    </row>
    <row r="58" spans="1:12" ht="15.75">
      <c r="A58" s="161" t="s">
        <v>9</v>
      </c>
      <c r="B58" s="70" t="s">
        <v>8</v>
      </c>
      <c r="C58" s="925"/>
      <c r="D58" s="367">
        <f>+C58*9%</f>
        <v>0</v>
      </c>
      <c r="E58" s="367">
        <f t="shared" si="1"/>
        <v>0</v>
      </c>
      <c r="F58" s="367">
        <f>IF(D58&gt;0," ",C58*18%)</f>
        <v>0</v>
      </c>
      <c r="G58" s="595">
        <v>0</v>
      </c>
      <c r="H58" s="595">
        <v>0</v>
      </c>
      <c r="I58" s="595">
        <v>0</v>
      </c>
    </row>
    <row r="59" spans="1:12" ht="15.75">
      <c r="A59" s="160" t="s">
        <v>7</v>
      </c>
      <c r="B59" s="70" t="s">
        <v>6</v>
      </c>
      <c r="C59" s="925">
        <v>43000</v>
      </c>
      <c r="D59" s="367">
        <f>+C59*9%</f>
        <v>3870</v>
      </c>
      <c r="E59" s="367">
        <f t="shared" si="1"/>
        <v>3870</v>
      </c>
      <c r="F59" s="367">
        <v>0</v>
      </c>
      <c r="G59" s="266">
        <v>0</v>
      </c>
      <c r="H59" s="595">
        <v>0</v>
      </c>
      <c r="I59" s="595">
        <v>0</v>
      </c>
      <c r="K59" s="1">
        <v>0</v>
      </c>
      <c r="L59" s="1">
        <f>+K59*11.1111111111111</f>
        <v>0</v>
      </c>
    </row>
    <row r="60" spans="1:12" ht="15.75">
      <c r="A60" s="163" t="s">
        <v>5</v>
      </c>
      <c r="B60" s="70" t="s">
        <v>4</v>
      </c>
      <c r="C60" s="925"/>
      <c r="D60" s="367"/>
      <c r="E60" s="367"/>
      <c r="F60" s="367"/>
      <c r="G60" s="595">
        <v>0</v>
      </c>
      <c r="H60" s="595">
        <v>0</v>
      </c>
      <c r="I60" s="595">
        <v>0</v>
      </c>
    </row>
    <row r="61" spans="1:12" ht="15.75">
      <c r="A61" s="431"/>
      <c r="B61" s="432" t="s">
        <v>465</v>
      </c>
      <c r="C61" s="925">
        <v>0</v>
      </c>
      <c r="D61" s="367">
        <f>+C61*9%</f>
        <v>0</v>
      </c>
      <c r="E61" s="899">
        <f>+D61</f>
        <v>0</v>
      </c>
      <c r="F61" s="899"/>
      <c r="G61" s="595">
        <v>0</v>
      </c>
      <c r="H61" s="595">
        <v>0</v>
      </c>
      <c r="I61" s="595">
        <v>0</v>
      </c>
    </row>
    <row r="62" spans="1:12" ht="16.5" thickBot="1">
      <c r="A62" s="12"/>
      <c r="B62" s="11" t="s">
        <v>3</v>
      </c>
      <c r="C62" s="900">
        <f>SUM(C9:C61)</f>
        <v>64802.7</v>
      </c>
      <c r="D62" s="900">
        <f>SUM(D9:D61)</f>
        <v>5832.2430000000004</v>
      </c>
      <c r="E62" s="900">
        <f>SUM(E9:E61)</f>
        <v>5832.2430000000004</v>
      </c>
      <c r="F62" s="900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5" t="s">
        <v>1</v>
      </c>
      <c r="B64" s="43" t="s">
        <v>0</v>
      </c>
      <c r="C64" s="16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G64" s="1">
        <f>+C62*0.09</f>
        <v>5832.2429999999995</v>
      </c>
    </row>
    <row r="65" spans="1:12" ht="15.75">
      <c r="A65" s="5" t="s">
        <v>359</v>
      </c>
      <c r="B65" s="43" t="s">
        <v>360</v>
      </c>
      <c r="C65" s="16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1228" t="s">
        <v>75</v>
      </c>
      <c r="B66" s="1228"/>
      <c r="C66" s="1228"/>
      <c r="D66" s="1228"/>
      <c r="E66" s="1228"/>
      <c r="F66" s="1228"/>
      <c r="G66" s="1" t="s">
        <v>5</v>
      </c>
      <c r="I66" s="1" t="s">
        <v>5</v>
      </c>
    </row>
    <row r="67" spans="1:12" ht="15.75">
      <c r="A67" s="28"/>
      <c r="B67" s="28"/>
      <c r="C67" s="28"/>
      <c r="D67" s="28"/>
      <c r="E67" s="28"/>
      <c r="F67" s="28"/>
    </row>
    <row r="68" spans="1:12" ht="15.75">
      <c r="A68" s="29" t="s">
        <v>76</v>
      </c>
      <c r="B68" s="29"/>
      <c r="C68" s="3"/>
      <c r="D68" s="3"/>
      <c r="E68" s="3"/>
      <c r="F68" s="3"/>
      <c r="H68" s="32" t="s">
        <v>5</v>
      </c>
      <c r="J68" s="1" t="s">
        <v>5</v>
      </c>
      <c r="K68" s="1" t="s">
        <v>5</v>
      </c>
      <c r="L68" s="1" t="s">
        <v>5</v>
      </c>
    </row>
    <row r="69" spans="1:12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H69" s="32" t="s">
        <v>5</v>
      </c>
      <c r="L69" s="1" t="s">
        <v>5</v>
      </c>
    </row>
    <row r="70" spans="1:12">
      <c r="A70" s="1247"/>
      <c r="B70" s="1248"/>
      <c r="C70" s="1249"/>
      <c r="D70" s="1236"/>
      <c r="E70" s="1236"/>
      <c r="F70" s="1232"/>
    </row>
    <row r="71" spans="1:12" ht="15.75">
      <c r="A71" s="1241" t="s">
        <v>80</v>
      </c>
      <c r="B71" s="1242"/>
      <c r="C71" s="1243"/>
      <c r="D71" s="105">
        <f>+D62</f>
        <v>5832.2430000000004</v>
      </c>
      <c r="E71" s="105">
        <f>+E62</f>
        <v>5832.2430000000004</v>
      </c>
      <c r="F71" s="105">
        <f>+F62</f>
        <v>0</v>
      </c>
    </row>
    <row r="72" spans="1:12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+D72</f>
        <v>0</v>
      </c>
      <c r="F72" s="106">
        <v>0</v>
      </c>
    </row>
    <row r="73" spans="1:12" ht="15.75">
      <c r="A73" s="43"/>
      <c r="B73" s="43"/>
      <c r="C73" s="43"/>
      <c r="D73" s="105">
        <f>+D71+D72</f>
        <v>5832.2430000000004</v>
      </c>
      <c r="E73" s="105">
        <f>+E71+E72</f>
        <v>5832.2430000000004</v>
      </c>
      <c r="F73" s="105">
        <v>0</v>
      </c>
    </row>
    <row r="74" spans="1:12" ht="15.75">
      <c r="A74" s="1241" t="s">
        <v>104</v>
      </c>
      <c r="B74" s="1242"/>
      <c r="C74" s="1243"/>
      <c r="D74" s="108">
        <v>5832.3</v>
      </c>
      <c r="E74" s="108">
        <f>+D74</f>
        <v>5832.3</v>
      </c>
      <c r="F74" s="108">
        <v>0</v>
      </c>
      <c r="J74" s="72"/>
    </row>
    <row r="75" spans="1:12" ht="15.75">
      <c r="A75" s="1250" t="s">
        <v>79</v>
      </c>
      <c r="B75" s="1251"/>
      <c r="C75" s="1252"/>
      <c r="D75" s="641">
        <f>+D73-D74</f>
        <v>-5.6999999999788997E-2</v>
      </c>
      <c r="E75" s="641">
        <f>+E73-E74</f>
        <v>-5.6999999999788997E-2</v>
      </c>
      <c r="F75" s="108">
        <f>IF(F71&gt;F74,F71,F74)</f>
        <v>0</v>
      </c>
      <c r="G75" s="1">
        <f>D75/9%</f>
        <v>-0.63333333333098885</v>
      </c>
    </row>
    <row r="76" spans="1:12" ht="15.75">
      <c r="A76" s="3"/>
      <c r="B76" s="2"/>
      <c r="C76" s="3"/>
      <c r="D76" s="3"/>
      <c r="E76" s="3"/>
      <c r="F76" s="3"/>
    </row>
    <row r="77" spans="1:12" ht="15.75">
      <c r="A77" s="27" t="s">
        <v>77</v>
      </c>
      <c r="B77" s="2"/>
      <c r="C77" s="3"/>
      <c r="D77" s="3"/>
      <c r="E77" s="3"/>
      <c r="F77" s="3"/>
    </row>
    <row r="78" spans="1:12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2">
      <c r="A79" s="1221"/>
      <c r="B79" s="1222"/>
      <c r="C79" s="1223"/>
      <c r="D79" s="1254" t="s">
        <v>67</v>
      </c>
      <c r="E79" s="1235"/>
      <c r="F79" s="1235"/>
    </row>
    <row r="80" spans="1:12">
      <c r="A80" s="1225"/>
      <c r="B80" s="1226"/>
      <c r="C80" s="1227"/>
      <c r="D80" s="42"/>
      <c r="E80" s="42"/>
      <c r="F80" s="42"/>
      <c r="G80" s="32"/>
    </row>
    <row r="81" spans="1:9" ht="15.75">
      <c r="A81" s="1216" t="s">
        <v>69</v>
      </c>
      <c r="B81" s="1216"/>
      <c r="C81" s="1216"/>
      <c r="D81" s="108">
        <v>89446.5</v>
      </c>
      <c r="E81" s="108">
        <f>+D81</f>
        <v>89446.5</v>
      </c>
      <c r="F81" s="58">
        <v>0</v>
      </c>
      <c r="G81" s="32">
        <f t="shared" ref="G81:I83" si="3">++D81/2</f>
        <v>44723.25</v>
      </c>
      <c r="H81" s="32">
        <f t="shared" si="3"/>
        <v>44723.25</v>
      </c>
      <c r="I81" s="32">
        <f t="shared" si="3"/>
        <v>0</v>
      </c>
    </row>
    <row r="82" spans="1:9" ht="15.75">
      <c r="A82" s="1224" t="s">
        <v>83</v>
      </c>
      <c r="B82" s="1224"/>
      <c r="C82" s="1224"/>
      <c r="D82" s="56">
        <f>+C93</f>
        <v>0</v>
      </c>
      <c r="E82" s="56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215" t="s">
        <v>82</v>
      </c>
      <c r="B83" s="1215"/>
      <c r="C83" s="1215"/>
      <c r="D83" s="105">
        <f>+D81-D82</f>
        <v>89446.5</v>
      </c>
      <c r="E83" s="105">
        <f>+E81-E809</f>
        <v>89446.5</v>
      </c>
      <c r="F83" s="56">
        <f>+F81-F82</f>
        <v>0</v>
      </c>
      <c r="G83" s="32">
        <f>++D83/2</f>
        <v>44723.25</v>
      </c>
      <c r="H83" s="32">
        <f t="shared" si="3"/>
        <v>44723.25</v>
      </c>
      <c r="I83" s="32">
        <f t="shared" si="3"/>
        <v>0</v>
      </c>
    </row>
    <row r="84" spans="1:9" ht="15.75" customHeight="1" thickBot="1">
      <c r="A84" s="1347"/>
      <c r="B84" s="1347"/>
      <c r="C84" s="1347"/>
      <c r="D84" s="1347"/>
      <c r="E84" s="1347"/>
      <c r="F84" s="1347"/>
      <c r="G84" s="32"/>
      <c r="I84" s="32"/>
    </row>
    <row r="85" spans="1:9">
      <c r="A85" s="1276"/>
      <c r="B85" s="1277"/>
      <c r="C85" s="1277"/>
      <c r="D85" s="1277"/>
      <c r="E85" s="1277"/>
      <c r="F85" s="1278"/>
      <c r="G85" s="32"/>
      <c r="I85" s="32"/>
    </row>
    <row r="86" spans="1:9" ht="15.75" thickBot="1">
      <c r="A86" s="1279"/>
      <c r="B86" s="1280"/>
      <c r="C86" s="1280"/>
      <c r="D86" s="1280"/>
      <c r="E86" s="1280"/>
      <c r="F86" s="1281"/>
      <c r="G86" s="32"/>
      <c r="I86" s="32"/>
    </row>
    <row r="89" spans="1:9">
      <c r="B89" s="145" t="s">
        <v>380</v>
      </c>
      <c r="C89" s="145"/>
      <c r="D89" s="145"/>
      <c r="E89" s="145"/>
    </row>
    <row r="90" spans="1:9">
      <c r="B90" s="144" t="s">
        <v>322</v>
      </c>
      <c r="C90" s="144" t="s">
        <v>89</v>
      </c>
      <c r="D90" s="144" t="s">
        <v>67</v>
      </c>
      <c r="E90" s="144" t="s">
        <v>68</v>
      </c>
      <c r="F90" s="40"/>
    </row>
    <row r="91" spans="1:9">
      <c r="A91" s="68"/>
      <c r="B91" s="1" t="s">
        <v>823</v>
      </c>
      <c r="C91" s="1">
        <v>0</v>
      </c>
      <c r="D91" s="1">
        <f>+C91</f>
        <v>0</v>
      </c>
      <c r="E91" s="1">
        <v>0</v>
      </c>
      <c r="F91" s="71"/>
    </row>
    <row r="92" spans="1:9">
      <c r="A92" s="68"/>
      <c r="B92" s="486" t="s">
        <v>720</v>
      </c>
      <c r="C92" s="1">
        <v>0</v>
      </c>
      <c r="D92" s="1">
        <v>0</v>
      </c>
      <c r="F92" s="71"/>
    </row>
    <row r="93" spans="1:9" ht="15.75" thickBot="1">
      <c r="A93" s="214"/>
      <c r="B93" s="141" t="s">
        <v>135</v>
      </c>
      <c r="C93" s="183">
        <f>+SUM(C91:C92)</f>
        <v>0</v>
      </c>
      <c r="D93" s="183">
        <f>+SUM(D91:D92)</f>
        <v>0</v>
      </c>
      <c r="E93" s="183">
        <f>+SUM(E91:E92)</f>
        <v>0</v>
      </c>
      <c r="F93" s="71"/>
    </row>
    <row r="94" spans="1:9" ht="15.75" thickTop="1"/>
    <row r="95" spans="1:9">
      <c r="G95" s="1">
        <f>+C93/2</f>
        <v>0</v>
      </c>
    </row>
    <row r="96" spans="1:9" ht="15" customHeight="1">
      <c r="A96" s="720"/>
      <c r="B96" s="720"/>
      <c r="C96" s="720"/>
      <c r="D96" s="720"/>
      <c r="E96" s="720"/>
      <c r="F96" s="720"/>
    </row>
    <row r="97" spans="1:6" ht="15.75" customHeight="1">
      <c r="A97" s="720"/>
      <c r="B97" s="720"/>
      <c r="C97" s="720"/>
      <c r="D97" s="720"/>
      <c r="E97" s="720"/>
      <c r="F97" s="720"/>
    </row>
    <row r="100" spans="1:6">
      <c r="D100" s="1" t="s">
        <v>5</v>
      </c>
    </row>
  </sheetData>
  <mergeCells count="30">
    <mergeCell ref="A1:F1"/>
    <mergeCell ref="A3:F3"/>
    <mergeCell ref="A4:F4"/>
    <mergeCell ref="A5:F5"/>
    <mergeCell ref="D6:E6"/>
    <mergeCell ref="G7:G8"/>
    <mergeCell ref="H7:H8"/>
    <mergeCell ref="I7:I8"/>
    <mergeCell ref="A66:F66"/>
    <mergeCell ref="A69:C70"/>
    <mergeCell ref="D69:D70"/>
    <mergeCell ref="E69:E70"/>
    <mergeCell ref="F69:F70"/>
    <mergeCell ref="B7:B8"/>
    <mergeCell ref="D7:D8"/>
    <mergeCell ref="E7:E8"/>
    <mergeCell ref="F7:F8"/>
    <mergeCell ref="A71:C71"/>
    <mergeCell ref="A74:C74"/>
    <mergeCell ref="A75:C75"/>
    <mergeCell ref="A78:C79"/>
    <mergeCell ref="D78:D79"/>
    <mergeCell ref="A85:F86"/>
    <mergeCell ref="F78:F79"/>
    <mergeCell ref="A80:C80"/>
    <mergeCell ref="A81:C81"/>
    <mergeCell ref="A82:C82"/>
    <mergeCell ref="A83:C83"/>
    <mergeCell ref="A84:F84"/>
    <mergeCell ref="E78:E79"/>
  </mergeCells>
  <conditionalFormatting sqref="A85">
    <cfRule type="containsText" dxfId="104" priority="6" operator="containsText" text="LESS COLLECTED">
      <formula>NOT(ISERROR(SEARCH("LESS COLLECTED",A85)))</formula>
    </cfRule>
    <cfRule type="containsText" dxfId="103" priority="7" operator="containsText" text="LESS COLLECTED">
      <formula>NOT(ISERROR(SEARCH("LESS COLLECTED",A85)))</formula>
    </cfRule>
  </conditionalFormatting>
  <conditionalFormatting sqref="A91:A93 D69:E70 A72:F73">
    <cfRule type="containsText" dxfId="102" priority="43" operator="containsText" text="EXCESS COLLECTED">
      <formula>NOT(ISERROR(SEARCH("EXCESS COLLECTED",A69)))</formula>
    </cfRule>
  </conditionalFormatting>
  <conditionalFormatting sqref="A9:B21 B89:E93 F89:F94 G89:XFD97 A91:A94 B98:XFD100 A98:A1048576">
    <cfRule type="containsText" dxfId="101" priority="29" operator="containsText" text="LESS COLLECTED">
      <formula>NOT(ISERROR(SEARCH("LESS COLLECTED",A9)))</formula>
    </cfRule>
  </conditionalFormatting>
  <conditionalFormatting sqref="A22:B34">
    <cfRule type="containsText" dxfId="100" priority="32" operator="containsText" text="LESS COLLECTED">
      <formula>NOT(ISERROR(SEARCH("LESS COLLECTED",A22)))</formula>
    </cfRule>
  </conditionalFormatting>
  <conditionalFormatting sqref="A35:B56">
    <cfRule type="containsText" dxfId="99" priority="2" operator="containsText" text="LESS COLLECTED">
      <formula>NOT(ISERROR(SEARCH("LESS COLLECTED",A35)))</formula>
    </cfRule>
  </conditionalFormatting>
  <conditionalFormatting sqref="A47:B56">
    <cfRule type="containsText" dxfId="98" priority="1" operator="containsText" text="EXCESS COLLECTED">
      <formula>NOT(ISERROR(SEARCH("EXCESS COLLECTED",A47)))</formula>
    </cfRule>
  </conditionalFormatting>
  <conditionalFormatting sqref="A57:B65">
    <cfRule type="containsText" dxfId="97" priority="34" operator="containsText" text="LESS COLLECTED">
      <formula>NOT(ISERROR(SEARCH("LESS COLLECTED",A57)))</formula>
    </cfRule>
  </conditionalFormatting>
  <conditionalFormatting sqref="B61">
    <cfRule type="containsText" dxfId="96" priority="33" operator="containsText" text="EXCESS COLLECTED">
      <formula>NOT(ISERROR(SEARCH("EXCESS COLLECTED",B61)))</formula>
    </cfRule>
  </conditionalFormatting>
  <conditionalFormatting sqref="B89:E89 F90 B90:D93 E93 A28:B32">
    <cfRule type="containsText" dxfId="95" priority="31" operator="containsText" text="EXCESS COLLECTED">
      <formula>NOT(ISERROR(SEARCH("EXCESS COLLECTED",A28)))</formula>
    </cfRule>
  </conditionalFormatting>
  <conditionalFormatting sqref="A66:A84 A1:XFD3 A4 G4:XFD4 A5:XFD6 A7:F8 J7:XFD62 B74:F74 H74:XFD74 B75:XFD79 B80:F80 H80:XFD80 B81:XFD83 G84:XFD86 B87:XFD88 A87:A89 G101:XFD101 B102:XFD1048576 B66:XFD73">
    <cfRule type="containsText" dxfId="94" priority="51" operator="containsText" text="LESS COLLECTED">
      <formula>NOT(ISERROR(SEARCH("LESS COLLECTED",A1)))</formula>
    </cfRule>
  </conditionalFormatting>
  <conditionalFormatting sqref="C9:C61 C63:C65">
    <cfRule type="containsText" dxfId="93" priority="37" operator="containsText" text="EXCESS COLLECTED">
      <formula>NOT(ISERROR(SEARCH("EXCESS COLLECTED",C9)))</formula>
    </cfRule>
  </conditionalFormatting>
  <conditionalFormatting sqref="C9:C61 C63:XFD64 C65:F65">
    <cfRule type="containsText" dxfId="92" priority="38" operator="containsText" text="LESS COLLECTED">
      <formula>NOT(ISERROR(SEARCH("LESS COLLECTED",C9)))</formula>
    </cfRule>
  </conditionalFormatting>
  <conditionalFormatting sqref="D69:E70 A72:F73">
    <cfRule type="containsText" dxfId="91" priority="44" operator="containsText" text="LESS COLLECTED">
      <formula>NOT(ISERROR(SEARCH("LESS COLLECTED",A69)))</formula>
    </cfRule>
  </conditionalFormatting>
  <conditionalFormatting sqref="D48:F55">
    <cfRule type="containsText" dxfId="90" priority="23" operator="containsText" text="EXCESS COLLECTED">
      <formula>NOT(ISERROR(SEARCH("EXCESS COLLECTED",D48)))</formula>
    </cfRule>
  </conditionalFormatting>
  <conditionalFormatting sqref="D51:F51">
    <cfRule type="containsText" dxfId="89" priority="17" operator="containsText" text="EXCESS COLLECTED">
      <formula>NOT(ISERROR(SEARCH("EXCESS COLLECTED",D51)))</formula>
    </cfRule>
    <cfRule type="containsText" dxfId="88" priority="18" operator="containsText" text="LESS COLLECTED">
      <formula>NOT(ISERROR(SEARCH("LESS COLLECTED",D51)))</formula>
    </cfRule>
  </conditionalFormatting>
  <conditionalFormatting sqref="D56:F56">
    <cfRule type="containsText" dxfId="87" priority="3" operator="containsText" text="EXCESS COLLECTED">
      <formula>NOT(ISERROR(SEARCH("EXCESS COLLECTED",D56)))</formula>
    </cfRule>
  </conditionalFormatting>
  <conditionalFormatting sqref="D9:I35">
    <cfRule type="containsText" dxfId="86" priority="12" operator="containsText" text="LESS COLLECTED">
      <formula>NOT(ISERROR(SEARCH("LESS COLLECTED",D9)))</formula>
    </cfRule>
  </conditionalFormatting>
  <conditionalFormatting sqref="D36:I55">
    <cfRule type="containsText" dxfId="85" priority="24" operator="containsText" text="LESS COLLECTED">
      <formula>NOT(ISERROR(SEARCH("LESS COLLECTED",D36)))</formula>
    </cfRule>
  </conditionalFormatting>
  <conditionalFormatting sqref="D56:I62">
    <cfRule type="containsText" dxfId="84" priority="4" operator="containsText" text="LESS COLLECTED">
      <formula>NOT(ISERROR(SEARCH("LESS COLLECTED",D56)))</formula>
    </cfRule>
  </conditionalFormatting>
  <conditionalFormatting sqref="E93">
    <cfRule type="containsText" dxfId="83" priority="42" operator="containsText" text="LESS COLLECTED">
      <formula>NOT(ISERROR(SEARCH("LESS COLLECTED",E93)))</formula>
    </cfRule>
  </conditionalFormatting>
  <conditionalFormatting sqref="G65:XFD65">
    <cfRule type="containsText" dxfId="82" priority="11" operator="containsText" text="LESS COLLECTED">
      <formula>NOT(ISERROR(SEARCH("LESS COLLECTED",G65)))</formula>
    </cfRule>
  </conditionalFormatting>
  <pageMargins left="0.95866141699999996" right="0.86811023600000004" top="0.65748031500000004" bottom="0.5" header="0.31496062992126" footer="0.31496062992126"/>
  <pageSetup paperSize="9" scale="51" orientation="portrait" r:id="rId1"/>
  <rowBreaks count="1" manualBreakCount="1">
    <brk id="97" max="5" man="1"/>
  </rowBreaks>
  <ignoredErrors>
    <ignoredError sqref="E73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5">
    <tabColor rgb="FF92D050"/>
  </sheetPr>
  <dimension ref="A1:O100"/>
  <sheetViews>
    <sheetView topLeftCell="A65" workbookViewId="0">
      <selection activeCell="D74" sqref="D74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4.85546875" style="1" bestFit="1" customWidth="1"/>
    <col min="4" max="4" width="15.5703125" style="1" customWidth="1"/>
    <col min="5" max="5" width="14.1406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28" t="s">
        <v>73</v>
      </c>
      <c r="B1" s="1228"/>
      <c r="C1" s="1228"/>
      <c r="D1" s="1228"/>
      <c r="E1" s="1228"/>
      <c r="F1" s="1228"/>
    </row>
    <row r="2" spans="1:11" ht="15.75">
      <c r="A2" s="41"/>
      <c r="B2" s="41"/>
      <c r="C2" s="41"/>
      <c r="D2" s="41"/>
      <c r="E2" s="41"/>
      <c r="F2" s="41"/>
    </row>
    <row r="3" spans="1:11" ht="15.75">
      <c r="A3" s="1229" t="s">
        <v>807</v>
      </c>
      <c r="B3" s="1229"/>
      <c r="C3" s="1229"/>
      <c r="D3" s="1229"/>
      <c r="E3" s="1229"/>
      <c r="F3" s="1229"/>
    </row>
    <row r="4" spans="1:11" ht="15.75">
      <c r="A4" s="1229" t="s">
        <v>808</v>
      </c>
      <c r="B4" s="1229"/>
      <c r="C4" s="1229"/>
      <c r="D4" s="1229"/>
      <c r="E4" s="1229"/>
      <c r="F4" s="1229"/>
    </row>
    <row r="5" spans="1:11" ht="15.75">
      <c r="A5" s="1228" t="str">
        <f>+BOPAL!A5</f>
        <v>SUMMARY OF INCOME FOR THE MONTH OF SEP 2026</v>
      </c>
      <c r="B5" s="1228"/>
      <c r="C5" s="1228"/>
      <c r="D5" s="1228"/>
      <c r="E5" s="1228"/>
      <c r="F5" s="1228"/>
    </row>
    <row r="6" spans="1:11" ht="15.75">
      <c r="A6" s="24" t="s">
        <v>5</v>
      </c>
      <c r="B6" s="3"/>
      <c r="C6" s="23"/>
      <c r="D6" s="1230"/>
      <c r="E6" s="1230"/>
      <c r="F6" s="3"/>
    </row>
    <row r="7" spans="1:11" ht="15.75">
      <c r="A7" s="22" t="s">
        <v>66</v>
      </c>
      <c r="B7" s="1231" t="s">
        <v>65</v>
      </c>
      <c r="C7" s="21" t="s">
        <v>64</v>
      </c>
      <c r="D7" s="1231" t="s">
        <v>89</v>
      </c>
      <c r="E7" s="1231" t="s">
        <v>67</v>
      </c>
      <c r="F7" s="1231" t="s">
        <v>68</v>
      </c>
      <c r="G7" s="1233" t="s">
        <v>383</v>
      </c>
      <c r="H7" s="1261" t="s">
        <v>384</v>
      </c>
      <c r="I7" s="1233" t="s">
        <v>387</v>
      </c>
    </row>
    <row r="8" spans="1:11" ht="15.75">
      <c r="A8" s="20" t="s">
        <v>63</v>
      </c>
      <c r="B8" s="1232"/>
      <c r="C8" s="19" t="s">
        <v>62</v>
      </c>
      <c r="D8" s="1232"/>
      <c r="E8" s="1232"/>
      <c r="F8" s="1232"/>
      <c r="G8" s="1233"/>
      <c r="H8" s="1261"/>
      <c r="I8" s="1233"/>
    </row>
    <row r="9" spans="1:11" ht="15.75">
      <c r="A9" s="161">
        <v>3303</v>
      </c>
      <c r="B9" s="70" t="s">
        <v>609</v>
      </c>
      <c r="C9" s="1198">
        <v>0</v>
      </c>
      <c r="D9" s="367">
        <f t="shared" ref="D9:D54" si="0">+C9*9%</f>
        <v>0</v>
      </c>
      <c r="E9" s="367">
        <f>+D9</f>
        <v>0</v>
      </c>
      <c r="F9" s="367">
        <f>IF(D9&gt;0," ",C9*18%)</f>
        <v>0</v>
      </c>
      <c r="G9" s="595">
        <v>0</v>
      </c>
      <c r="H9" s="595">
        <v>0</v>
      </c>
      <c r="I9" s="595">
        <v>0</v>
      </c>
    </row>
    <row r="10" spans="1:11" ht="15.75">
      <c r="A10" s="161" t="s">
        <v>87</v>
      </c>
      <c r="B10" s="70" t="s">
        <v>61</v>
      </c>
      <c r="C10" s="1198">
        <v>0</v>
      </c>
      <c r="D10" s="367">
        <f t="shared" si="0"/>
        <v>0</v>
      </c>
      <c r="E10" s="367">
        <f>+D10</f>
        <v>0</v>
      </c>
      <c r="F10" s="367">
        <f>IF(D10&gt;0," ",C10*18%)</f>
        <v>0</v>
      </c>
      <c r="G10" s="595">
        <v>0</v>
      </c>
      <c r="H10" s="595">
        <v>0</v>
      </c>
      <c r="I10" s="595">
        <v>0</v>
      </c>
    </row>
    <row r="11" spans="1:11" ht="15.75">
      <c r="A11" s="160">
        <v>3215</v>
      </c>
      <c r="B11" s="70" t="s">
        <v>59</v>
      </c>
      <c r="C11" s="1198">
        <v>0</v>
      </c>
      <c r="D11" s="367">
        <f t="shared" si="0"/>
        <v>0</v>
      </c>
      <c r="E11" s="367">
        <f t="shared" ref="E11:E59" si="1">+D11</f>
        <v>0</v>
      </c>
      <c r="F11" s="367">
        <v>0</v>
      </c>
      <c r="G11" s="595">
        <v>0</v>
      </c>
      <c r="H11" s="595">
        <v>0</v>
      </c>
      <c r="I11" s="595">
        <v>0</v>
      </c>
    </row>
    <row r="12" spans="1:11" ht="15.75">
      <c r="A12" s="161" t="s">
        <v>58</v>
      </c>
      <c r="B12" s="70" t="s">
        <v>57</v>
      </c>
      <c r="C12" s="1198">
        <v>0</v>
      </c>
      <c r="D12" s="367">
        <f t="shared" si="0"/>
        <v>0</v>
      </c>
      <c r="E12" s="367">
        <f t="shared" si="1"/>
        <v>0</v>
      </c>
      <c r="F12" s="367">
        <f t="shared" ref="F12:F48" si="2">IF(D12&gt;0," ",C12*18%)</f>
        <v>0</v>
      </c>
      <c r="G12" s="595">
        <v>0</v>
      </c>
      <c r="H12" s="595">
        <v>0</v>
      </c>
      <c r="I12" s="595">
        <v>0</v>
      </c>
    </row>
    <row r="13" spans="1:11" ht="15.75">
      <c r="A13" s="160" t="s">
        <v>56</v>
      </c>
      <c r="B13" s="70" t="s">
        <v>55</v>
      </c>
      <c r="C13" s="1198">
        <v>0</v>
      </c>
      <c r="D13" s="367">
        <f t="shared" si="0"/>
        <v>0</v>
      </c>
      <c r="E13" s="367">
        <f t="shared" si="1"/>
        <v>0</v>
      </c>
      <c r="F13" s="367">
        <f t="shared" si="2"/>
        <v>0</v>
      </c>
      <c r="G13" s="595">
        <v>0</v>
      </c>
      <c r="H13" s="595">
        <v>0</v>
      </c>
      <c r="I13" s="595">
        <v>0</v>
      </c>
      <c r="K13" s="792"/>
    </row>
    <row r="14" spans="1:11" ht="15.75">
      <c r="A14" s="160" t="s">
        <v>54</v>
      </c>
      <c r="B14" s="70" t="s">
        <v>53</v>
      </c>
      <c r="C14" s="1198">
        <v>0</v>
      </c>
      <c r="D14" s="367">
        <f t="shared" si="0"/>
        <v>0</v>
      </c>
      <c r="E14" s="367">
        <f t="shared" si="1"/>
        <v>0</v>
      </c>
      <c r="F14" s="367">
        <f t="shared" si="2"/>
        <v>0</v>
      </c>
      <c r="G14" s="595">
        <v>0</v>
      </c>
      <c r="H14" s="595">
        <v>0</v>
      </c>
      <c r="I14" s="595">
        <v>0</v>
      </c>
    </row>
    <row r="15" spans="1:11" ht="15.75">
      <c r="A15" s="160">
        <v>3235</v>
      </c>
      <c r="B15" s="70" t="s">
        <v>51</v>
      </c>
      <c r="C15" s="1198">
        <v>0</v>
      </c>
      <c r="D15" s="367">
        <f t="shared" si="0"/>
        <v>0</v>
      </c>
      <c r="E15" s="367">
        <f t="shared" si="1"/>
        <v>0</v>
      </c>
      <c r="F15" s="367">
        <f t="shared" si="2"/>
        <v>0</v>
      </c>
      <c r="G15" s="595">
        <v>0</v>
      </c>
      <c r="H15" s="595">
        <v>0</v>
      </c>
      <c r="I15" s="595">
        <v>0</v>
      </c>
    </row>
    <row r="16" spans="1:11" ht="15.75">
      <c r="A16" s="161" t="s">
        <v>50</v>
      </c>
      <c r="B16" s="70" t="s">
        <v>49</v>
      </c>
      <c r="C16" s="1198">
        <v>0</v>
      </c>
      <c r="D16" s="367">
        <f t="shared" si="0"/>
        <v>0</v>
      </c>
      <c r="E16" s="367">
        <f t="shared" si="1"/>
        <v>0</v>
      </c>
      <c r="F16" s="367">
        <f t="shared" si="2"/>
        <v>0</v>
      </c>
      <c r="G16" s="595">
        <v>0</v>
      </c>
      <c r="H16" s="595">
        <v>0</v>
      </c>
      <c r="I16" s="595">
        <v>0</v>
      </c>
    </row>
    <row r="17" spans="1:15" ht="15.75">
      <c r="A17" s="161" t="s">
        <v>48</v>
      </c>
      <c r="B17" s="70" t="s">
        <v>47</v>
      </c>
      <c r="C17" s="1198">
        <v>0</v>
      </c>
      <c r="D17" s="367">
        <f t="shared" si="0"/>
        <v>0</v>
      </c>
      <c r="E17" s="367">
        <f t="shared" si="1"/>
        <v>0</v>
      </c>
      <c r="F17" s="367">
        <f t="shared" si="2"/>
        <v>0</v>
      </c>
      <c r="G17" s="595">
        <v>0</v>
      </c>
      <c r="H17" s="595">
        <v>0</v>
      </c>
      <c r="I17" s="595">
        <v>0</v>
      </c>
    </row>
    <row r="18" spans="1:15" ht="15.75">
      <c r="A18" s="161" t="s">
        <v>46</v>
      </c>
      <c r="B18" s="70" t="s">
        <v>45</v>
      </c>
      <c r="C18" s="1198">
        <v>0</v>
      </c>
      <c r="D18" s="367">
        <f t="shared" si="0"/>
        <v>0</v>
      </c>
      <c r="E18" s="367">
        <f t="shared" si="1"/>
        <v>0</v>
      </c>
      <c r="F18" s="367">
        <f t="shared" si="2"/>
        <v>0</v>
      </c>
      <c r="G18" s="595">
        <v>0</v>
      </c>
      <c r="H18" s="595">
        <v>0</v>
      </c>
      <c r="I18" s="595">
        <v>0</v>
      </c>
    </row>
    <row r="19" spans="1:15" ht="15.75">
      <c r="A19" s="161">
        <v>3270</v>
      </c>
      <c r="B19" s="70" t="s">
        <v>43</v>
      </c>
      <c r="C19" s="1198">
        <v>14000</v>
      </c>
      <c r="D19" s="367">
        <f t="shared" si="0"/>
        <v>1260</v>
      </c>
      <c r="E19" s="367">
        <f t="shared" si="1"/>
        <v>1260</v>
      </c>
      <c r="F19" s="367">
        <v>0</v>
      </c>
      <c r="G19" s="595">
        <v>0</v>
      </c>
      <c r="H19" s="595">
        <v>0</v>
      </c>
      <c r="I19" s="595">
        <v>0</v>
      </c>
      <c r="J19" s="1">
        <v>0</v>
      </c>
    </row>
    <row r="20" spans="1:15" ht="15.75">
      <c r="A20" s="13">
        <v>3271</v>
      </c>
      <c r="B20" s="70" t="s">
        <v>533</v>
      </c>
      <c r="C20" s="1198">
        <v>0</v>
      </c>
      <c r="D20" s="367">
        <f t="shared" si="0"/>
        <v>0</v>
      </c>
      <c r="E20" s="367">
        <f t="shared" si="1"/>
        <v>0</v>
      </c>
      <c r="F20" s="367"/>
      <c r="G20" s="595">
        <v>0</v>
      </c>
      <c r="H20" s="595">
        <v>0</v>
      </c>
      <c r="I20" s="595">
        <v>0</v>
      </c>
    </row>
    <row r="21" spans="1:15" ht="15.75">
      <c r="A21" s="13">
        <v>3274</v>
      </c>
      <c r="B21" s="70" t="s">
        <v>554</v>
      </c>
      <c r="C21" s="1198">
        <v>0</v>
      </c>
      <c r="D21" s="367"/>
      <c r="E21" s="367"/>
      <c r="F21" s="367"/>
      <c r="G21" s="595">
        <v>0</v>
      </c>
      <c r="H21" s="595">
        <v>0</v>
      </c>
      <c r="I21" s="595">
        <v>0</v>
      </c>
    </row>
    <row r="22" spans="1:15" ht="15.75">
      <c r="A22" s="158" t="s">
        <v>42</v>
      </c>
      <c r="B22" s="70" t="s">
        <v>41</v>
      </c>
      <c r="C22" s="1198">
        <v>0</v>
      </c>
      <c r="D22" s="367">
        <f t="shared" si="0"/>
        <v>0</v>
      </c>
      <c r="E22" s="367">
        <f t="shared" si="1"/>
        <v>0</v>
      </c>
      <c r="F22" s="367">
        <f t="shared" si="2"/>
        <v>0</v>
      </c>
      <c r="G22" s="595">
        <v>0</v>
      </c>
      <c r="H22" s="595">
        <v>0</v>
      </c>
      <c r="I22" s="595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1198">
        <v>0</v>
      </c>
      <c r="D23" s="367">
        <f t="shared" si="0"/>
        <v>0</v>
      </c>
      <c r="E23" s="367">
        <f t="shared" si="1"/>
        <v>0</v>
      </c>
      <c r="F23" s="367">
        <f t="shared" si="2"/>
        <v>0</v>
      </c>
      <c r="G23" s="595">
        <v>0</v>
      </c>
      <c r="H23" s="595">
        <v>0</v>
      </c>
      <c r="I23" s="595">
        <v>0</v>
      </c>
    </row>
    <row r="24" spans="1:15" ht="15.75">
      <c r="A24" s="161" t="s">
        <v>38</v>
      </c>
      <c r="B24" s="70" t="s">
        <v>37</v>
      </c>
      <c r="C24" s="1198">
        <v>0</v>
      </c>
      <c r="D24" s="367">
        <f t="shared" si="0"/>
        <v>0</v>
      </c>
      <c r="E24" s="367">
        <f t="shared" si="1"/>
        <v>0</v>
      </c>
      <c r="F24" s="367">
        <f t="shared" si="2"/>
        <v>0</v>
      </c>
      <c r="G24" s="595">
        <v>0</v>
      </c>
      <c r="H24" s="595">
        <v>0</v>
      </c>
      <c r="I24" s="595">
        <v>0</v>
      </c>
    </row>
    <row r="25" spans="1:15" ht="15.75">
      <c r="A25" s="158" t="s">
        <v>36</v>
      </c>
      <c r="B25" s="70" t="s">
        <v>35</v>
      </c>
      <c r="C25" s="1198">
        <v>0</v>
      </c>
      <c r="D25" s="367">
        <f t="shared" si="0"/>
        <v>0</v>
      </c>
      <c r="E25" s="367">
        <f t="shared" si="1"/>
        <v>0</v>
      </c>
      <c r="F25" s="367">
        <f t="shared" si="2"/>
        <v>0</v>
      </c>
      <c r="G25" s="595">
        <v>0</v>
      </c>
      <c r="H25" s="595">
        <v>0</v>
      </c>
      <c r="I25" s="595">
        <v>0</v>
      </c>
    </row>
    <row r="26" spans="1:15" ht="15.75">
      <c r="A26" s="158" t="s">
        <v>34</v>
      </c>
      <c r="B26" s="70" t="s">
        <v>33</v>
      </c>
      <c r="C26" s="1198">
        <v>0</v>
      </c>
      <c r="D26" s="367">
        <f t="shared" si="0"/>
        <v>0</v>
      </c>
      <c r="E26" s="367">
        <f t="shared" si="1"/>
        <v>0</v>
      </c>
      <c r="F26" s="367">
        <f t="shared" si="2"/>
        <v>0</v>
      </c>
      <c r="G26" s="595">
        <v>0</v>
      </c>
      <c r="H26" s="595">
        <v>0</v>
      </c>
      <c r="I26" s="595">
        <v>0</v>
      </c>
    </row>
    <row r="27" spans="1:15" ht="15.75">
      <c r="A27" s="158" t="s">
        <v>32</v>
      </c>
      <c r="B27" s="70" t="s">
        <v>31</v>
      </c>
      <c r="C27" s="1198">
        <v>0</v>
      </c>
      <c r="D27" s="367">
        <f t="shared" si="0"/>
        <v>0</v>
      </c>
      <c r="E27" s="367">
        <f t="shared" si="1"/>
        <v>0</v>
      </c>
      <c r="F27" s="367">
        <f t="shared" si="2"/>
        <v>0</v>
      </c>
      <c r="G27" s="595">
        <v>0</v>
      </c>
      <c r="H27" s="595">
        <v>0</v>
      </c>
      <c r="I27" s="595">
        <v>0</v>
      </c>
    </row>
    <row r="28" spans="1:15" ht="15.75">
      <c r="A28" s="158">
        <v>3291</v>
      </c>
      <c r="B28" s="33" t="s">
        <v>325</v>
      </c>
      <c r="C28" s="1198">
        <v>0</v>
      </c>
      <c r="D28" s="367">
        <f t="shared" si="0"/>
        <v>0</v>
      </c>
      <c r="E28" s="367">
        <f>+D28</f>
        <v>0</v>
      </c>
      <c r="F28" s="367">
        <f>IF(D28&gt;0," ",C28*18%)</f>
        <v>0</v>
      </c>
      <c r="G28" s="595">
        <v>0</v>
      </c>
      <c r="H28" s="595">
        <v>0</v>
      </c>
      <c r="I28" s="595">
        <v>0</v>
      </c>
    </row>
    <row r="29" spans="1:15" ht="15.75">
      <c r="A29" s="137" t="s">
        <v>526</v>
      </c>
      <c r="B29" s="33" t="s">
        <v>523</v>
      </c>
      <c r="C29" s="1198">
        <v>0</v>
      </c>
      <c r="D29" s="367">
        <f t="shared" si="0"/>
        <v>0</v>
      </c>
      <c r="E29" s="367">
        <f>+D29</f>
        <v>0</v>
      </c>
      <c r="F29" s="367">
        <f>IF(D29&gt;0," ",C29*18%)</f>
        <v>0</v>
      </c>
      <c r="G29" s="595">
        <v>0</v>
      </c>
      <c r="H29" s="595">
        <v>0</v>
      </c>
      <c r="I29" s="595">
        <v>0</v>
      </c>
    </row>
    <row r="30" spans="1:15" ht="15.75">
      <c r="A30" s="137" t="s">
        <v>527</v>
      </c>
      <c r="B30" s="33" t="s">
        <v>524</v>
      </c>
      <c r="C30" s="1198">
        <v>0</v>
      </c>
      <c r="D30" s="367">
        <f t="shared" si="0"/>
        <v>0</v>
      </c>
      <c r="E30" s="367">
        <f>+D30</f>
        <v>0</v>
      </c>
      <c r="F30" s="367">
        <f>IF(D30&gt;0," ",C30*18%)</f>
        <v>0</v>
      </c>
      <c r="G30" s="595">
        <v>0</v>
      </c>
      <c r="H30" s="595">
        <v>0</v>
      </c>
      <c r="I30" s="595">
        <v>0</v>
      </c>
    </row>
    <row r="31" spans="1:15" ht="15.75">
      <c r="A31" s="137" t="s">
        <v>528</v>
      </c>
      <c r="B31" s="33" t="s">
        <v>529</v>
      </c>
      <c r="C31" s="1198">
        <v>0</v>
      </c>
      <c r="D31" s="367">
        <f t="shared" si="0"/>
        <v>0</v>
      </c>
      <c r="E31" s="367">
        <f>+D31</f>
        <v>0</v>
      </c>
      <c r="F31" s="367">
        <f>IF(D31&gt;0," ",C31*18%)</f>
        <v>0</v>
      </c>
      <c r="G31" s="595">
        <v>0</v>
      </c>
      <c r="H31" s="595">
        <v>0</v>
      </c>
      <c r="I31" s="595">
        <v>0</v>
      </c>
    </row>
    <row r="32" spans="1:15" ht="15.75">
      <c r="A32" s="137" t="s">
        <v>531</v>
      </c>
      <c r="B32" s="33" t="s">
        <v>532</v>
      </c>
      <c r="C32" s="1198">
        <v>0</v>
      </c>
      <c r="D32" s="367">
        <f t="shared" si="0"/>
        <v>0</v>
      </c>
      <c r="E32" s="367">
        <f>+D32</f>
        <v>0</v>
      </c>
      <c r="F32" s="367">
        <f>IF(D32&gt;0," ",C32*18%)</f>
        <v>0</v>
      </c>
      <c r="G32" s="595">
        <v>0</v>
      </c>
      <c r="H32" s="595">
        <v>0</v>
      </c>
      <c r="I32" s="595">
        <v>0</v>
      </c>
    </row>
    <row r="33" spans="1:10" ht="15.75">
      <c r="A33" s="160">
        <v>3300</v>
      </c>
      <c r="B33" s="70" t="s">
        <v>29</v>
      </c>
      <c r="C33" s="1198">
        <v>10701.9</v>
      </c>
      <c r="D33" s="367">
        <f t="shared" si="0"/>
        <v>963.17099999999994</v>
      </c>
      <c r="E33" s="367">
        <f t="shared" si="1"/>
        <v>963.17099999999994</v>
      </c>
      <c r="F33" s="901">
        <v>0</v>
      </c>
      <c r="G33" s="595">
        <v>0</v>
      </c>
      <c r="H33" s="595">
        <v>0</v>
      </c>
      <c r="I33" s="595">
        <v>0</v>
      </c>
    </row>
    <row r="34" spans="1:10" ht="15.75">
      <c r="A34" s="160">
        <v>3301</v>
      </c>
      <c r="B34" s="70" t="s">
        <v>154</v>
      </c>
      <c r="C34" s="1198">
        <v>0</v>
      </c>
      <c r="D34" s="367">
        <f t="shared" si="0"/>
        <v>0</v>
      </c>
      <c r="E34" s="367">
        <f t="shared" si="1"/>
        <v>0</v>
      </c>
      <c r="F34" s="367">
        <f t="shared" si="2"/>
        <v>0</v>
      </c>
      <c r="G34" s="595">
        <v>0</v>
      </c>
      <c r="H34" s="595">
        <v>0</v>
      </c>
      <c r="I34" s="595">
        <v>0</v>
      </c>
    </row>
    <row r="35" spans="1:10" ht="15.75">
      <c r="A35" s="13">
        <v>3302</v>
      </c>
      <c r="B35" s="70" t="s">
        <v>525</v>
      </c>
      <c r="C35" s="1198">
        <v>0</v>
      </c>
      <c r="D35" s="367">
        <f>+C35*9%</f>
        <v>0</v>
      </c>
      <c r="E35" s="367">
        <f>+D35</f>
        <v>0</v>
      </c>
      <c r="F35" s="367">
        <f>IF(D35&gt;0," ",C35*18%)</f>
        <v>0</v>
      </c>
      <c r="G35" s="595">
        <v>0</v>
      </c>
      <c r="H35" s="595">
        <v>0</v>
      </c>
      <c r="I35" s="595">
        <v>0</v>
      </c>
    </row>
    <row r="36" spans="1:10" ht="15.75">
      <c r="A36" s="160">
        <v>3305</v>
      </c>
      <c r="B36" s="70" t="s">
        <v>27</v>
      </c>
      <c r="C36" s="1198">
        <v>0</v>
      </c>
      <c r="D36" s="367">
        <f t="shared" si="0"/>
        <v>0</v>
      </c>
      <c r="E36" s="367">
        <f t="shared" si="1"/>
        <v>0</v>
      </c>
      <c r="F36" s="367">
        <f t="shared" si="2"/>
        <v>0</v>
      </c>
      <c r="G36" s="595">
        <v>0</v>
      </c>
      <c r="H36" s="595">
        <v>0</v>
      </c>
      <c r="I36" s="595">
        <v>0</v>
      </c>
    </row>
    <row r="37" spans="1:10" ht="15.75">
      <c r="A37" s="158" t="s">
        <v>114</v>
      </c>
      <c r="B37" s="70" t="s">
        <v>115</v>
      </c>
      <c r="C37" s="1198">
        <v>0</v>
      </c>
      <c r="D37" s="367">
        <f t="shared" si="0"/>
        <v>0</v>
      </c>
      <c r="E37" s="367">
        <f t="shared" si="1"/>
        <v>0</v>
      </c>
      <c r="F37" s="367">
        <f t="shared" si="2"/>
        <v>0</v>
      </c>
      <c r="G37" s="595">
        <v>0</v>
      </c>
      <c r="H37" s="595">
        <v>0</v>
      </c>
      <c r="I37" s="595">
        <v>0</v>
      </c>
    </row>
    <row r="38" spans="1:10" ht="15.75">
      <c r="A38" s="160" t="s">
        <v>26</v>
      </c>
      <c r="B38" s="70" t="s">
        <v>25</v>
      </c>
      <c r="C38" s="1198">
        <v>200</v>
      </c>
      <c r="D38" s="367">
        <f t="shared" si="0"/>
        <v>18</v>
      </c>
      <c r="E38" s="367">
        <f t="shared" si="1"/>
        <v>18</v>
      </c>
      <c r="F38" s="367" t="str">
        <f t="shared" si="2"/>
        <v xml:space="preserve"> </v>
      </c>
      <c r="G38" s="595">
        <v>0</v>
      </c>
      <c r="H38" s="595">
        <v>0</v>
      </c>
      <c r="I38" s="595">
        <v>0</v>
      </c>
      <c r="J38" s="32"/>
    </row>
    <row r="39" spans="1:10" ht="15.75">
      <c r="A39" s="160" t="s">
        <v>24</v>
      </c>
      <c r="B39" s="70" t="s">
        <v>23</v>
      </c>
      <c r="C39" s="1198">
        <v>1150</v>
      </c>
      <c r="D39" s="367">
        <f t="shared" si="0"/>
        <v>103.5</v>
      </c>
      <c r="E39" s="367">
        <f t="shared" si="1"/>
        <v>103.5</v>
      </c>
      <c r="F39" s="367" t="str">
        <f t="shared" si="2"/>
        <v xml:space="preserve"> </v>
      </c>
      <c r="G39" s="595">
        <v>0</v>
      </c>
      <c r="H39" s="595">
        <v>0</v>
      </c>
      <c r="I39" s="595">
        <v>0</v>
      </c>
    </row>
    <row r="40" spans="1:10" ht="15.75">
      <c r="A40" s="160">
        <v>3312</v>
      </c>
      <c r="B40" s="70" t="s">
        <v>21</v>
      </c>
      <c r="C40" s="1198">
        <v>3000</v>
      </c>
      <c r="D40" s="367">
        <f t="shared" si="0"/>
        <v>270</v>
      </c>
      <c r="E40" s="367">
        <f t="shared" si="1"/>
        <v>270</v>
      </c>
      <c r="F40" s="367" t="str">
        <f t="shared" si="2"/>
        <v xml:space="preserve"> </v>
      </c>
      <c r="G40" s="595">
        <v>0</v>
      </c>
      <c r="H40" s="595">
        <v>0</v>
      </c>
      <c r="I40" s="595">
        <v>0</v>
      </c>
    </row>
    <row r="41" spans="1:10" ht="15.75">
      <c r="A41" s="160" t="s">
        <v>20</v>
      </c>
      <c r="B41" s="70" t="s">
        <v>19</v>
      </c>
      <c r="C41" s="1198">
        <v>500</v>
      </c>
      <c r="D41" s="367">
        <f t="shared" si="0"/>
        <v>45</v>
      </c>
      <c r="E41" s="367">
        <f t="shared" si="1"/>
        <v>45</v>
      </c>
      <c r="F41" s="367" t="str">
        <f t="shared" si="2"/>
        <v xml:space="preserve"> </v>
      </c>
      <c r="G41" s="595">
        <v>0</v>
      </c>
      <c r="H41" s="595">
        <v>0</v>
      </c>
      <c r="I41" s="595">
        <v>0</v>
      </c>
    </row>
    <row r="42" spans="1:10" ht="15.75">
      <c r="A42" s="161" t="s">
        <v>18</v>
      </c>
      <c r="B42" s="70" t="s">
        <v>17</v>
      </c>
      <c r="C42" s="1198">
        <v>450</v>
      </c>
      <c r="D42" s="367">
        <f t="shared" si="0"/>
        <v>40.5</v>
      </c>
      <c r="E42" s="367">
        <f t="shared" si="1"/>
        <v>40.5</v>
      </c>
      <c r="F42" s="367" t="str">
        <f t="shared" si="2"/>
        <v xml:space="preserve"> </v>
      </c>
      <c r="G42" s="595">
        <v>0</v>
      </c>
      <c r="H42" s="595">
        <v>0</v>
      </c>
      <c r="I42" s="595">
        <v>0</v>
      </c>
    </row>
    <row r="43" spans="1:10" ht="15.75">
      <c r="A43" s="161" t="s">
        <v>16</v>
      </c>
      <c r="B43" s="70" t="s">
        <v>15</v>
      </c>
      <c r="C43" s="1198">
        <v>0</v>
      </c>
      <c r="D43" s="367">
        <f t="shared" si="0"/>
        <v>0</v>
      </c>
      <c r="E43" s="367">
        <f t="shared" si="1"/>
        <v>0</v>
      </c>
      <c r="F43" s="367">
        <f t="shared" si="2"/>
        <v>0</v>
      </c>
      <c r="G43" s="595">
        <v>0</v>
      </c>
      <c r="H43" s="595">
        <v>0</v>
      </c>
      <c r="I43" s="595">
        <v>0</v>
      </c>
    </row>
    <row r="44" spans="1:10" ht="15.75">
      <c r="A44" s="161" t="s">
        <v>14</v>
      </c>
      <c r="B44" s="70" t="s">
        <v>13</v>
      </c>
      <c r="C44" s="1198">
        <v>165</v>
      </c>
      <c r="D44" s="367">
        <f t="shared" si="0"/>
        <v>14.85</v>
      </c>
      <c r="E44" s="367">
        <f t="shared" si="1"/>
        <v>14.85</v>
      </c>
      <c r="F44" s="367">
        <v>0</v>
      </c>
      <c r="G44" s="595">
        <v>0</v>
      </c>
      <c r="H44" s="595">
        <v>0</v>
      </c>
      <c r="I44" s="595">
        <v>0</v>
      </c>
    </row>
    <row r="45" spans="1:10" ht="15.75">
      <c r="A45" s="161">
        <v>3317</v>
      </c>
      <c r="B45" s="70" t="s">
        <v>286</v>
      </c>
      <c r="C45" s="1198">
        <v>0</v>
      </c>
      <c r="D45" s="367">
        <f t="shared" si="0"/>
        <v>0</v>
      </c>
      <c r="E45" s="367">
        <f t="shared" si="1"/>
        <v>0</v>
      </c>
      <c r="F45" s="367">
        <f t="shared" si="2"/>
        <v>0</v>
      </c>
      <c r="G45" s="595">
        <v>0</v>
      </c>
      <c r="H45" s="595">
        <v>0</v>
      </c>
      <c r="I45" s="595">
        <v>0</v>
      </c>
    </row>
    <row r="46" spans="1:10" ht="15.75">
      <c r="A46" s="161" t="s">
        <v>12</v>
      </c>
      <c r="B46" s="70" t="s">
        <v>11</v>
      </c>
      <c r="C46" s="1198">
        <v>0</v>
      </c>
      <c r="D46" s="367">
        <f t="shared" si="0"/>
        <v>0</v>
      </c>
      <c r="E46" s="367">
        <f t="shared" si="1"/>
        <v>0</v>
      </c>
      <c r="F46" s="367">
        <f t="shared" si="2"/>
        <v>0</v>
      </c>
      <c r="G46" s="595">
        <v>0</v>
      </c>
      <c r="H46" s="595">
        <v>0</v>
      </c>
      <c r="I46" s="595">
        <v>0</v>
      </c>
    </row>
    <row r="47" spans="1:10" ht="15.75">
      <c r="A47" s="161">
        <v>3320</v>
      </c>
      <c r="B47" s="70" t="s">
        <v>290</v>
      </c>
      <c r="C47" s="1198">
        <v>0</v>
      </c>
      <c r="D47" s="367">
        <f t="shared" si="0"/>
        <v>0</v>
      </c>
      <c r="E47" s="367">
        <f t="shared" si="1"/>
        <v>0</v>
      </c>
      <c r="F47" s="367">
        <f t="shared" si="2"/>
        <v>0</v>
      </c>
      <c r="G47" s="266">
        <v>0</v>
      </c>
      <c r="H47" s="266">
        <v>0</v>
      </c>
      <c r="I47" s="266">
        <v>0</v>
      </c>
    </row>
    <row r="48" spans="1:10" ht="15.75">
      <c r="A48" s="161">
        <v>3321</v>
      </c>
      <c r="B48" s="70" t="s">
        <v>156</v>
      </c>
      <c r="C48" s="1198">
        <v>0</v>
      </c>
      <c r="D48" s="367">
        <f t="shared" si="0"/>
        <v>0</v>
      </c>
      <c r="E48" s="367">
        <f t="shared" si="1"/>
        <v>0</v>
      </c>
      <c r="F48" s="367">
        <f t="shared" si="2"/>
        <v>0</v>
      </c>
      <c r="G48" s="595">
        <v>0</v>
      </c>
      <c r="H48" s="595">
        <v>0</v>
      </c>
      <c r="I48" s="595">
        <v>0</v>
      </c>
    </row>
    <row r="49" spans="1:12" ht="15.75">
      <c r="A49" s="161">
        <v>3322</v>
      </c>
      <c r="B49" s="70" t="s">
        <v>335</v>
      </c>
      <c r="C49" s="1198">
        <v>0</v>
      </c>
      <c r="D49" s="367">
        <f t="shared" si="0"/>
        <v>0</v>
      </c>
      <c r="E49" s="367">
        <f>+D49</f>
        <v>0</v>
      </c>
      <c r="F49" s="367"/>
      <c r="G49" s="595">
        <v>0</v>
      </c>
      <c r="H49" s="595">
        <v>0</v>
      </c>
      <c r="I49" s="595">
        <v>0</v>
      </c>
    </row>
    <row r="50" spans="1:12" ht="15.75">
      <c r="A50" s="161">
        <v>3324</v>
      </c>
      <c r="B50" s="70" t="s">
        <v>438</v>
      </c>
      <c r="C50" s="1198">
        <v>0</v>
      </c>
      <c r="D50" s="367">
        <f t="shared" si="0"/>
        <v>0</v>
      </c>
      <c r="E50" s="367">
        <f>+D50</f>
        <v>0</v>
      </c>
      <c r="F50" s="367"/>
      <c r="G50" s="595">
        <v>0</v>
      </c>
      <c r="H50" s="595">
        <v>0</v>
      </c>
      <c r="I50" s="595">
        <v>0</v>
      </c>
      <c r="L50" s="1">
        <v>0</v>
      </c>
    </row>
    <row r="51" spans="1:12" ht="15.75">
      <c r="A51" s="14">
        <v>3325</v>
      </c>
      <c r="B51" s="70" t="s">
        <v>605</v>
      </c>
      <c r="C51" s="1198">
        <v>0</v>
      </c>
      <c r="D51" s="367">
        <f>+C51*9%</f>
        <v>0</v>
      </c>
      <c r="E51" s="367">
        <f>+D51</f>
        <v>0</v>
      </c>
      <c r="F51" s="367"/>
      <c r="G51" s="595">
        <v>0</v>
      </c>
      <c r="H51" s="595">
        <v>0</v>
      </c>
      <c r="I51" s="595">
        <v>0</v>
      </c>
    </row>
    <row r="52" spans="1:12" ht="15.75">
      <c r="A52" s="161">
        <v>3391</v>
      </c>
      <c r="B52" s="70" t="s">
        <v>300</v>
      </c>
      <c r="C52" s="1200">
        <v>959.5</v>
      </c>
      <c r="D52" s="367">
        <f t="shared" si="0"/>
        <v>86.35499999999999</v>
      </c>
      <c r="E52" s="367">
        <f t="shared" si="1"/>
        <v>86.35499999999999</v>
      </c>
      <c r="F52" s="367">
        <v>0</v>
      </c>
      <c r="G52" s="595">
        <v>0</v>
      </c>
      <c r="H52" s="595">
        <v>0</v>
      </c>
      <c r="I52" s="595">
        <v>0</v>
      </c>
      <c r="L52" s="1">
        <v>0</v>
      </c>
    </row>
    <row r="53" spans="1:12" ht="15.75">
      <c r="A53" s="14">
        <v>3359</v>
      </c>
      <c r="B53" s="70" t="s">
        <v>683</v>
      </c>
      <c r="C53" s="1198">
        <v>0</v>
      </c>
      <c r="D53" s="367">
        <f t="shared" si="0"/>
        <v>0</v>
      </c>
      <c r="E53" s="367">
        <f t="shared" si="1"/>
        <v>0</v>
      </c>
      <c r="F53" s="367">
        <v>0</v>
      </c>
      <c r="G53" s="266">
        <v>0</v>
      </c>
      <c r="H53" s="266">
        <v>0</v>
      </c>
      <c r="I53" s="266">
        <v>0</v>
      </c>
    </row>
    <row r="54" spans="1:12" ht="15.75">
      <c r="A54" s="14">
        <v>3825</v>
      </c>
      <c r="B54" s="70" t="s">
        <v>646</v>
      </c>
      <c r="C54" s="1198">
        <v>0</v>
      </c>
      <c r="D54" s="367">
        <f t="shared" si="0"/>
        <v>0</v>
      </c>
      <c r="E54" s="367">
        <f t="shared" si="1"/>
        <v>0</v>
      </c>
      <c r="F54" s="367">
        <v>0</v>
      </c>
      <c r="G54" s="595">
        <v>0</v>
      </c>
      <c r="H54" s="595">
        <v>0</v>
      </c>
      <c r="I54" s="595">
        <v>0</v>
      </c>
    </row>
    <row r="55" spans="1:12" ht="15.75">
      <c r="A55" s="14">
        <v>3362</v>
      </c>
      <c r="B55" s="70" t="s">
        <v>739</v>
      </c>
      <c r="C55" s="1198">
        <v>0</v>
      </c>
      <c r="D55" s="367"/>
      <c r="E55" s="367"/>
      <c r="F55" s="367"/>
      <c r="G55" s="595">
        <v>0</v>
      </c>
      <c r="H55" s="595">
        <v>0</v>
      </c>
      <c r="I55" s="595">
        <v>0</v>
      </c>
    </row>
    <row r="56" spans="1:12" ht="15.75">
      <c r="A56" s="14">
        <v>3340</v>
      </c>
      <c r="B56" s="70" t="s">
        <v>785</v>
      </c>
      <c r="C56" s="1198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595">
        <v>0</v>
      </c>
      <c r="H56" s="595">
        <v>0</v>
      </c>
      <c r="I56" s="595">
        <v>0</v>
      </c>
    </row>
    <row r="57" spans="1:12" ht="15.75">
      <c r="A57" s="162" t="s">
        <v>10</v>
      </c>
      <c r="B57" s="70"/>
      <c r="C57" s="925"/>
      <c r="D57" s="367"/>
      <c r="E57" s="367"/>
      <c r="F57" s="367"/>
      <c r="G57" s="595">
        <v>0</v>
      </c>
      <c r="H57" s="595">
        <v>0</v>
      </c>
      <c r="I57" s="595">
        <v>0</v>
      </c>
    </row>
    <row r="58" spans="1:12" ht="15.75">
      <c r="A58" s="161" t="s">
        <v>9</v>
      </c>
      <c r="B58" s="70" t="s">
        <v>8</v>
      </c>
      <c r="C58" s="925"/>
      <c r="D58" s="367">
        <f>+C58*9%</f>
        <v>0</v>
      </c>
      <c r="E58" s="367">
        <f t="shared" si="1"/>
        <v>0</v>
      </c>
      <c r="F58" s="367">
        <f>IF(D58&gt;0," ",C58*18%)</f>
        <v>0</v>
      </c>
      <c r="G58" s="595">
        <v>0</v>
      </c>
      <c r="H58" s="595">
        <v>0</v>
      </c>
      <c r="I58" s="595">
        <v>0</v>
      </c>
    </row>
    <row r="59" spans="1:12" ht="15.75">
      <c r="A59" s="160" t="s">
        <v>7</v>
      </c>
      <c r="B59" s="70" t="s">
        <v>6</v>
      </c>
      <c r="C59" s="925"/>
      <c r="D59" s="367">
        <f>+C59*9%</f>
        <v>0</v>
      </c>
      <c r="E59" s="367">
        <f t="shared" si="1"/>
        <v>0</v>
      </c>
      <c r="F59" s="367">
        <v>0</v>
      </c>
      <c r="G59" s="266">
        <v>0</v>
      </c>
      <c r="H59" s="595">
        <v>0</v>
      </c>
      <c r="I59" s="595">
        <v>0</v>
      </c>
      <c r="K59" s="1">
        <v>0</v>
      </c>
      <c r="L59" s="1">
        <f>+K59*11.1111111111111</f>
        <v>0</v>
      </c>
    </row>
    <row r="60" spans="1:12" ht="15.75">
      <c r="A60" s="163" t="s">
        <v>5</v>
      </c>
      <c r="B60" s="70" t="s">
        <v>4</v>
      </c>
      <c r="C60" s="925">
        <v>0</v>
      </c>
      <c r="D60" s="367"/>
      <c r="E60" s="367"/>
      <c r="F60" s="367"/>
      <c r="G60" s="595">
        <v>0</v>
      </c>
      <c r="H60" s="595">
        <v>0</v>
      </c>
      <c r="I60" s="595">
        <v>0</v>
      </c>
    </row>
    <row r="61" spans="1:12" ht="15.75">
      <c r="A61" s="431"/>
      <c r="B61" s="432" t="s">
        <v>465</v>
      </c>
      <c r="C61" s="925">
        <v>0</v>
      </c>
      <c r="D61" s="367">
        <f>+C61*9%</f>
        <v>0</v>
      </c>
      <c r="E61" s="899">
        <f>+D61</f>
        <v>0</v>
      </c>
      <c r="F61" s="899"/>
      <c r="G61" s="595">
        <v>0</v>
      </c>
      <c r="H61" s="595">
        <v>0</v>
      </c>
      <c r="I61" s="595">
        <v>0</v>
      </c>
    </row>
    <row r="62" spans="1:12" ht="16.5" thickBot="1">
      <c r="A62" s="12"/>
      <c r="B62" s="11" t="s">
        <v>3</v>
      </c>
      <c r="C62" s="900">
        <f>SUM(C9:C61)</f>
        <v>31126.400000000001</v>
      </c>
      <c r="D62" s="900">
        <f>SUM(D9:D61)</f>
        <v>2801.3759999999997</v>
      </c>
      <c r="E62" s="900">
        <f>SUM(E9:E61)</f>
        <v>2801.3759999999997</v>
      </c>
      <c r="F62" s="900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5" t="s">
        <v>1</v>
      </c>
      <c r="B64" s="43" t="s">
        <v>0</v>
      </c>
      <c r="C64" s="16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G64" s="1">
        <f>+C62*0.09</f>
        <v>2801.3760000000002</v>
      </c>
    </row>
    <row r="65" spans="1:12" ht="15.75">
      <c r="A65" s="5" t="s">
        <v>359</v>
      </c>
      <c r="B65" s="43" t="s">
        <v>360</v>
      </c>
      <c r="C65" s="16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1228" t="s">
        <v>75</v>
      </c>
      <c r="B66" s="1228"/>
      <c r="C66" s="1228"/>
      <c r="D66" s="1228"/>
      <c r="E66" s="1228"/>
      <c r="F66" s="1228"/>
      <c r="G66" s="1" t="s">
        <v>5</v>
      </c>
      <c r="I66" s="1" t="s">
        <v>5</v>
      </c>
    </row>
    <row r="67" spans="1:12" ht="15.75">
      <c r="A67" s="28"/>
      <c r="B67" s="28"/>
      <c r="C67" s="28"/>
      <c r="D67" s="28"/>
      <c r="E67" s="28"/>
      <c r="F67" s="28"/>
    </row>
    <row r="68" spans="1:12" ht="15.75">
      <c r="A68" s="29" t="s">
        <v>76</v>
      </c>
      <c r="B68" s="29"/>
      <c r="C68" s="3"/>
      <c r="D68" s="3"/>
      <c r="E68" s="3"/>
      <c r="F68" s="3"/>
      <c r="H68" s="32" t="s">
        <v>5</v>
      </c>
      <c r="J68" s="1" t="s">
        <v>5</v>
      </c>
      <c r="K68" s="1" t="s">
        <v>5</v>
      </c>
      <c r="L68" s="1" t="s">
        <v>5</v>
      </c>
    </row>
    <row r="69" spans="1:12">
      <c r="A69" s="1244" t="s">
        <v>65</v>
      </c>
      <c r="B69" s="1245"/>
      <c r="C69" s="1246"/>
      <c r="D69" s="1236" t="s">
        <v>89</v>
      </c>
      <c r="E69" s="1236" t="s">
        <v>67</v>
      </c>
      <c r="F69" s="1231" t="s">
        <v>68</v>
      </c>
      <c r="H69" s="32" t="s">
        <v>5</v>
      </c>
      <c r="L69" s="1" t="s">
        <v>5</v>
      </c>
    </row>
    <row r="70" spans="1:12">
      <c r="A70" s="1247"/>
      <c r="B70" s="1248"/>
      <c r="C70" s="1249"/>
      <c r="D70" s="1236"/>
      <c r="E70" s="1236"/>
      <c r="F70" s="1232"/>
    </row>
    <row r="71" spans="1:12" ht="15.75">
      <c r="A71" s="1241" t="s">
        <v>80</v>
      </c>
      <c r="B71" s="1242"/>
      <c r="C71" s="1243"/>
      <c r="D71" s="105">
        <f>+D62</f>
        <v>2801.3759999999997</v>
      </c>
      <c r="E71" s="105">
        <f>+E62</f>
        <v>2801.3759999999997</v>
      </c>
      <c r="F71" s="105">
        <f>+F62</f>
        <v>0</v>
      </c>
    </row>
    <row r="72" spans="1:12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+D72</f>
        <v>0</v>
      </c>
      <c r="F72" s="105">
        <v>0</v>
      </c>
    </row>
    <row r="73" spans="1:12" ht="15.75">
      <c r="A73" s="43"/>
      <c r="B73" s="43"/>
      <c r="C73" s="43"/>
      <c r="D73" s="105">
        <f>+D71+D72</f>
        <v>2801.3759999999997</v>
      </c>
      <c r="E73" s="105">
        <f>+E71+E72</f>
        <v>2801.3759999999997</v>
      </c>
      <c r="F73" s="105">
        <v>0</v>
      </c>
    </row>
    <row r="74" spans="1:12" ht="15.75">
      <c r="A74" s="1241" t="s">
        <v>104</v>
      </c>
      <c r="B74" s="1242"/>
      <c r="C74" s="1243"/>
      <c r="D74" s="108">
        <v>2809.56</v>
      </c>
      <c r="E74" s="108">
        <f>+D74</f>
        <v>2809.56</v>
      </c>
      <c r="F74" s="108">
        <v>0</v>
      </c>
      <c r="J74" s="72"/>
    </row>
    <row r="75" spans="1:12" ht="15.75">
      <c r="A75" s="1250" t="s">
        <v>79</v>
      </c>
      <c r="B75" s="1251"/>
      <c r="C75" s="1252"/>
      <c r="D75" s="641">
        <f>+D73-D74</f>
        <v>-8.1840000000001965</v>
      </c>
      <c r="E75" s="641">
        <f>+E73-E74</f>
        <v>-8.1840000000001965</v>
      </c>
      <c r="F75" s="108">
        <f>IF(F71&gt;F74,F71,F74)</f>
        <v>0</v>
      </c>
      <c r="G75" s="1">
        <f>D75/9%</f>
        <v>-90.933333333335526</v>
      </c>
    </row>
    <row r="76" spans="1:12" ht="15.75">
      <c r="A76" s="3"/>
      <c r="B76" s="2"/>
      <c r="C76" s="3"/>
      <c r="D76" s="3"/>
      <c r="E76" s="3"/>
      <c r="F76" s="3"/>
    </row>
    <row r="77" spans="1:12" ht="15.75">
      <c r="A77" s="27" t="s">
        <v>77</v>
      </c>
      <c r="B77" s="2"/>
      <c r="C77" s="3"/>
      <c r="D77" s="3"/>
      <c r="E77" s="3"/>
      <c r="F77" s="3"/>
    </row>
    <row r="78" spans="1:12">
      <c r="A78" s="1218" t="s">
        <v>65</v>
      </c>
      <c r="B78" s="1219"/>
      <c r="C78" s="1220"/>
      <c r="D78" s="1253" t="s">
        <v>70</v>
      </c>
      <c r="E78" s="1234" t="s">
        <v>71</v>
      </c>
      <c r="F78" s="1234" t="s">
        <v>72</v>
      </c>
    </row>
    <row r="79" spans="1:12">
      <c r="A79" s="1221"/>
      <c r="B79" s="1222"/>
      <c r="C79" s="1223"/>
      <c r="D79" s="1254" t="s">
        <v>67</v>
      </c>
      <c r="E79" s="1235"/>
      <c r="F79" s="1235"/>
    </row>
    <row r="80" spans="1:12">
      <c r="A80" s="1225"/>
      <c r="B80" s="1226"/>
      <c r="C80" s="1227"/>
      <c r="D80" s="42"/>
      <c r="E80" s="42"/>
      <c r="F80" s="42"/>
      <c r="G80" s="32"/>
    </row>
    <row r="81" spans="1:9" ht="15.75">
      <c r="A81" s="1216" t="s">
        <v>69</v>
      </c>
      <c r="B81" s="1216"/>
      <c r="C81" s="1216"/>
      <c r="D81" s="108">
        <v>5764</v>
      </c>
      <c r="E81" s="108">
        <f>+D81</f>
        <v>5764</v>
      </c>
      <c r="F81" s="58">
        <v>0</v>
      </c>
      <c r="G81" s="32">
        <f t="shared" ref="G81:I83" si="3">++D81/2</f>
        <v>2882</v>
      </c>
      <c r="H81" s="32">
        <f t="shared" si="3"/>
        <v>2882</v>
      </c>
      <c r="I81" s="32">
        <f t="shared" si="3"/>
        <v>0</v>
      </c>
    </row>
    <row r="82" spans="1:9" ht="15.75">
      <c r="A82" s="1224" t="s">
        <v>83</v>
      </c>
      <c r="B82" s="1224"/>
      <c r="C82" s="1224"/>
      <c r="D82" s="56">
        <f>+C93</f>
        <v>0</v>
      </c>
      <c r="E82" s="56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215" t="s">
        <v>82</v>
      </c>
      <c r="B83" s="1215"/>
      <c r="C83" s="1215"/>
      <c r="D83" s="105">
        <f>+D81-D82</f>
        <v>5764</v>
      </c>
      <c r="E83" s="105">
        <f>+E81-E809</f>
        <v>5764</v>
      </c>
      <c r="F83" s="56">
        <f>+F81-F82</f>
        <v>0</v>
      </c>
      <c r="G83" s="32">
        <f>++D83/2</f>
        <v>2882</v>
      </c>
      <c r="H83" s="32">
        <f t="shared" si="3"/>
        <v>2882</v>
      </c>
      <c r="I83" s="32">
        <f t="shared" si="3"/>
        <v>0</v>
      </c>
    </row>
    <row r="84" spans="1:9" ht="15.75" customHeight="1" thickBot="1">
      <c r="A84" s="1347"/>
      <c r="B84" s="1347"/>
      <c r="C84" s="1347"/>
      <c r="D84" s="1347"/>
      <c r="E84" s="1347"/>
      <c r="F84" s="1347"/>
      <c r="G84" s="32"/>
      <c r="I84" s="32"/>
    </row>
    <row r="85" spans="1:9">
      <c r="A85" s="1276"/>
      <c r="B85" s="1277"/>
      <c r="C85" s="1277"/>
      <c r="D85" s="1277"/>
      <c r="E85" s="1277"/>
      <c r="F85" s="1278"/>
      <c r="G85" s="32"/>
      <c r="I85" s="32"/>
    </row>
    <row r="86" spans="1:9" ht="15.75" thickBot="1">
      <c r="A86" s="1279"/>
      <c r="B86" s="1280"/>
      <c r="C86" s="1280"/>
      <c r="D86" s="1280"/>
      <c r="E86" s="1280"/>
      <c r="F86" s="1281"/>
      <c r="G86" s="32"/>
      <c r="I86" s="32"/>
    </row>
    <row r="89" spans="1:9">
      <c r="B89" s="145" t="s">
        <v>380</v>
      </c>
      <c r="C89" s="145"/>
      <c r="D89" s="145"/>
      <c r="E89" s="145"/>
    </row>
    <row r="90" spans="1:9">
      <c r="B90" s="144" t="s">
        <v>322</v>
      </c>
      <c r="C90" s="144" t="s">
        <v>89</v>
      </c>
      <c r="D90" s="144" t="s">
        <v>67</v>
      </c>
      <c r="E90" s="144" t="s">
        <v>68</v>
      </c>
      <c r="F90" s="40"/>
    </row>
    <row r="91" spans="1:9">
      <c r="A91" s="68"/>
      <c r="B91" s="1" t="s">
        <v>823</v>
      </c>
      <c r="C91" s="1">
        <v>0</v>
      </c>
      <c r="D91" s="1">
        <f>+C91</f>
        <v>0</v>
      </c>
      <c r="E91" s="1">
        <v>0</v>
      </c>
      <c r="F91" s="71"/>
    </row>
    <row r="92" spans="1:9">
      <c r="A92" s="68"/>
      <c r="B92" s="486" t="s">
        <v>720</v>
      </c>
      <c r="C92" s="1">
        <v>0</v>
      </c>
      <c r="D92" s="1">
        <v>0</v>
      </c>
      <c r="F92" s="71"/>
    </row>
    <row r="93" spans="1:9" ht="15.75" thickBot="1">
      <c r="A93" s="214"/>
      <c r="B93" s="141" t="s">
        <v>135</v>
      </c>
      <c r="C93" s="183">
        <f>+SUM(C91:C92)</f>
        <v>0</v>
      </c>
      <c r="D93" s="183">
        <f>+SUM(D91:D92)</f>
        <v>0</v>
      </c>
      <c r="E93" s="183">
        <f>+SUM(E91:E92)</f>
        <v>0</v>
      </c>
      <c r="F93" s="71"/>
    </row>
    <row r="94" spans="1:9" ht="15.75" thickTop="1"/>
    <row r="95" spans="1:9">
      <c r="G95" s="1">
        <f>+C93/2</f>
        <v>0</v>
      </c>
    </row>
    <row r="96" spans="1:9" ht="15" customHeight="1">
      <c r="A96" s="720"/>
      <c r="B96" s="720"/>
      <c r="C96" s="720"/>
      <c r="D96" s="720"/>
      <c r="E96" s="720"/>
      <c r="F96" s="720"/>
    </row>
    <row r="97" spans="1:6" ht="15.75" customHeight="1">
      <c r="A97" s="720"/>
      <c r="B97" s="720"/>
      <c r="C97" s="720"/>
      <c r="D97" s="720"/>
      <c r="E97" s="720"/>
      <c r="F97" s="720"/>
    </row>
    <row r="100" spans="1:6">
      <c r="D100" s="1" t="s">
        <v>5</v>
      </c>
    </row>
  </sheetData>
  <mergeCells count="30">
    <mergeCell ref="A1:F1"/>
    <mergeCell ref="A3:F3"/>
    <mergeCell ref="A4:F4"/>
    <mergeCell ref="A5:F5"/>
    <mergeCell ref="D6:E6"/>
    <mergeCell ref="G7:G8"/>
    <mergeCell ref="H7:H8"/>
    <mergeCell ref="I7:I8"/>
    <mergeCell ref="A66:F66"/>
    <mergeCell ref="A69:C70"/>
    <mergeCell ref="D69:D70"/>
    <mergeCell ref="E69:E70"/>
    <mergeCell ref="F69:F70"/>
    <mergeCell ref="B7:B8"/>
    <mergeCell ref="D7:D8"/>
    <mergeCell ref="E7:E8"/>
    <mergeCell ref="F7:F8"/>
    <mergeCell ref="A71:C71"/>
    <mergeCell ref="A74:C74"/>
    <mergeCell ref="A75:C75"/>
    <mergeCell ref="A78:C79"/>
    <mergeCell ref="D78:D79"/>
    <mergeCell ref="A85:F86"/>
    <mergeCell ref="F78:F79"/>
    <mergeCell ref="A80:C80"/>
    <mergeCell ref="A81:C81"/>
    <mergeCell ref="A82:C82"/>
    <mergeCell ref="A83:C83"/>
    <mergeCell ref="A84:F84"/>
    <mergeCell ref="E78:E79"/>
  </mergeCells>
  <conditionalFormatting sqref="A85">
    <cfRule type="containsText" dxfId="81" priority="9" operator="containsText" text="LESS COLLECTED">
      <formula>NOT(ISERROR(SEARCH("LESS COLLECTED",A85)))</formula>
    </cfRule>
    <cfRule type="containsText" dxfId="80" priority="10" operator="containsText" text="LESS COLLECTED">
      <formula>NOT(ISERROR(SEARCH("LESS COLLECTED",A85)))</formula>
    </cfRule>
  </conditionalFormatting>
  <conditionalFormatting sqref="A91:A93 D69:E70 A72:F73">
    <cfRule type="containsText" dxfId="79" priority="46" operator="containsText" text="EXCESS COLLECTED">
      <formula>NOT(ISERROR(SEARCH("EXCESS COLLECTED",A69)))</formula>
    </cfRule>
  </conditionalFormatting>
  <conditionalFormatting sqref="A9:B21 B89:E93 F89:F94 G89:XFD97 A91:A94 B98:XFD100 A98:A1048576">
    <cfRule type="containsText" dxfId="78" priority="32" operator="containsText" text="LESS COLLECTED">
      <formula>NOT(ISERROR(SEARCH("LESS COLLECTED",A9)))</formula>
    </cfRule>
  </conditionalFormatting>
  <conditionalFormatting sqref="A22:B34">
    <cfRule type="containsText" dxfId="77" priority="35" operator="containsText" text="LESS COLLECTED">
      <formula>NOT(ISERROR(SEARCH("LESS COLLECTED",A22)))</formula>
    </cfRule>
  </conditionalFormatting>
  <conditionalFormatting sqref="A35:B56">
    <cfRule type="containsText" dxfId="76" priority="5" operator="containsText" text="LESS COLLECTED">
      <formula>NOT(ISERROR(SEARCH("LESS COLLECTED",A35)))</formula>
    </cfRule>
  </conditionalFormatting>
  <conditionalFormatting sqref="A47:B56">
    <cfRule type="containsText" dxfId="75" priority="4" operator="containsText" text="EXCESS COLLECTED">
      <formula>NOT(ISERROR(SEARCH("EXCESS COLLECTED",A47)))</formula>
    </cfRule>
  </conditionalFormatting>
  <conditionalFormatting sqref="A57:B65">
    <cfRule type="containsText" dxfId="74" priority="37" operator="containsText" text="LESS COLLECTED">
      <formula>NOT(ISERROR(SEARCH("LESS COLLECTED",A57)))</formula>
    </cfRule>
  </conditionalFormatting>
  <conditionalFormatting sqref="B61">
    <cfRule type="containsText" dxfId="73" priority="36" operator="containsText" text="EXCESS COLLECTED">
      <formula>NOT(ISERROR(SEARCH("EXCESS COLLECTED",B61)))</formula>
    </cfRule>
  </conditionalFormatting>
  <conditionalFormatting sqref="B89:E89 F90 B90:D93 E93 A28:B32">
    <cfRule type="containsText" dxfId="72" priority="34" operator="containsText" text="EXCESS COLLECTED">
      <formula>NOT(ISERROR(SEARCH("EXCESS COLLECTED",A28)))</formula>
    </cfRule>
  </conditionalFormatting>
  <conditionalFormatting sqref="B66:XFD73 A66:A84 A1:XFD3 A4 G4:XFD4 A5:XFD6 A7:F8 J7:XFD62 B74:C74 H74:XFD74 B75:XFD79 B80:F80 H80:XFD80 B81:XFD83 G84:XFD86 B87:XFD88 A87:A89 G101:XFD101 B102:XFD1048576 E74:F74">
    <cfRule type="containsText" dxfId="71" priority="54" operator="containsText" text="LESS COLLECTED">
      <formula>NOT(ISERROR(SEARCH("LESS COLLECTED",A1)))</formula>
    </cfRule>
  </conditionalFormatting>
  <conditionalFormatting sqref="C57:C61 C63:C65">
    <cfRule type="containsText" dxfId="70" priority="40" operator="containsText" text="EXCESS COLLECTED">
      <formula>NOT(ISERROR(SEARCH("EXCESS COLLECTED",C57)))</formula>
    </cfRule>
  </conditionalFormatting>
  <conditionalFormatting sqref="C57:C61 C63:XFD64 C65:F65">
    <cfRule type="containsText" dxfId="69" priority="41" operator="containsText" text="LESS COLLECTED">
      <formula>NOT(ISERROR(SEARCH("LESS COLLECTED",C57)))</formula>
    </cfRule>
  </conditionalFormatting>
  <conditionalFormatting sqref="D69:E70 A72:F73">
    <cfRule type="containsText" dxfId="68" priority="47" operator="containsText" text="LESS COLLECTED">
      <formula>NOT(ISERROR(SEARCH("LESS COLLECTED",A69)))</formula>
    </cfRule>
  </conditionalFormatting>
  <conditionalFormatting sqref="D48:F55">
    <cfRule type="containsText" dxfId="67" priority="26" operator="containsText" text="EXCESS COLLECTED">
      <formula>NOT(ISERROR(SEARCH("EXCESS COLLECTED",D48)))</formula>
    </cfRule>
  </conditionalFormatting>
  <conditionalFormatting sqref="D51:F51">
    <cfRule type="containsText" dxfId="66" priority="20" operator="containsText" text="EXCESS COLLECTED">
      <formula>NOT(ISERROR(SEARCH("EXCESS COLLECTED",D51)))</formula>
    </cfRule>
    <cfRule type="containsText" dxfId="65" priority="21" operator="containsText" text="LESS COLLECTED">
      <formula>NOT(ISERROR(SEARCH("LESS COLLECTED",D51)))</formula>
    </cfRule>
  </conditionalFormatting>
  <conditionalFormatting sqref="D56:F56">
    <cfRule type="containsText" dxfId="64" priority="6" operator="containsText" text="EXCESS COLLECTED">
      <formula>NOT(ISERROR(SEARCH("EXCESS COLLECTED",D56)))</formula>
    </cfRule>
  </conditionalFormatting>
  <conditionalFormatting sqref="D9:I35">
    <cfRule type="containsText" dxfId="63" priority="15" operator="containsText" text="LESS COLLECTED">
      <formula>NOT(ISERROR(SEARCH("LESS COLLECTED",D9)))</formula>
    </cfRule>
  </conditionalFormatting>
  <conditionalFormatting sqref="D36:I55">
    <cfRule type="containsText" dxfId="62" priority="27" operator="containsText" text="LESS COLLECTED">
      <formula>NOT(ISERROR(SEARCH("LESS COLLECTED",D36)))</formula>
    </cfRule>
  </conditionalFormatting>
  <conditionalFormatting sqref="D56:I62">
    <cfRule type="containsText" dxfId="61" priority="7" operator="containsText" text="LESS COLLECTED">
      <formula>NOT(ISERROR(SEARCH("LESS COLLECTED",D56)))</formula>
    </cfRule>
  </conditionalFormatting>
  <conditionalFormatting sqref="E93">
    <cfRule type="containsText" dxfId="60" priority="45" operator="containsText" text="LESS COLLECTED">
      <formula>NOT(ISERROR(SEARCH("LESS COLLECTED",E93)))</formula>
    </cfRule>
  </conditionalFormatting>
  <conditionalFormatting sqref="G65:XFD65">
    <cfRule type="containsText" dxfId="59" priority="14" operator="containsText" text="LESS COLLECTED">
      <formula>NOT(ISERROR(SEARCH("LESS COLLECTED",G65)))</formula>
    </cfRule>
  </conditionalFormatting>
  <conditionalFormatting sqref="D74">
    <cfRule type="containsText" dxfId="58" priority="3" operator="containsText" text="LESS COLLECTED">
      <formula>NOT(ISERROR(SEARCH("LESS COLLECTED",D74)))</formula>
    </cfRule>
  </conditionalFormatting>
  <conditionalFormatting sqref="C9:C56">
    <cfRule type="containsText" dxfId="57" priority="1" operator="containsText" text="EXCESS COLLECTED">
      <formula>NOT(ISERROR(SEARCH("EXCESS COLLECTED",C9)))</formula>
    </cfRule>
  </conditionalFormatting>
  <conditionalFormatting sqref="C9:C56">
    <cfRule type="containsText" dxfId="56" priority="2" operator="containsText" text="LESS COLLECTED">
      <formula>NOT(ISERROR(SEARCH("LESS COLLECTED",C9)))</formula>
    </cfRule>
  </conditionalFormatting>
  <pageMargins left="0.95866141699999996" right="0.86811023600000004" top="0.65748031500000004" bottom="0.5" header="0.31496062992126" footer="0.31496062992126"/>
  <pageSetup paperSize="9" scale="56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V117"/>
  <sheetViews>
    <sheetView view="pageBreakPreview" topLeftCell="A53" zoomScale="80" zoomScaleNormal="100" zoomScaleSheetLayoutView="80" workbookViewId="0">
      <selection activeCell="G69" sqref="G69"/>
    </sheetView>
  </sheetViews>
  <sheetFormatPr defaultColWidth="9.140625" defaultRowHeight="15"/>
  <cols>
    <col min="1" max="1" width="12.85546875" style="1" customWidth="1"/>
    <col min="2" max="2" width="34.42578125" style="1" customWidth="1"/>
    <col min="3" max="3" width="15.42578125" style="1" bestFit="1" customWidth="1"/>
    <col min="4" max="4" width="17.140625" style="1" customWidth="1"/>
    <col min="5" max="5" width="13.42578125" style="1" bestFit="1" customWidth="1"/>
    <col min="6" max="6" width="10.42578125" style="1" customWidth="1"/>
    <col min="7" max="7" width="16.42578125" style="1" customWidth="1"/>
    <col min="8" max="8" width="15.28515625" style="32" customWidth="1"/>
    <col min="9" max="9" width="17.28515625" style="1" customWidth="1"/>
    <col min="10" max="10" width="15.140625" style="1" customWidth="1"/>
    <col min="11" max="11" width="15.5703125" style="1" customWidth="1"/>
    <col min="12" max="12" width="20.42578125" style="1" customWidth="1"/>
    <col min="13" max="13" width="16.7109375" style="1" customWidth="1"/>
    <col min="14" max="14" width="25" style="1" bestFit="1" customWidth="1"/>
    <col min="15" max="15" width="24.5703125" style="1" bestFit="1" customWidth="1"/>
    <col min="16" max="16" width="25" style="1" bestFit="1" customWidth="1"/>
    <col min="17" max="17" width="24.5703125" style="1" bestFit="1" customWidth="1"/>
    <col min="18" max="18" width="28.7109375" style="1" customWidth="1"/>
    <col min="19" max="19" width="22.42578125" style="1" customWidth="1"/>
    <col min="20" max="20" width="23.28515625" style="1" customWidth="1"/>
    <col min="21" max="16384" width="9.140625" style="1"/>
  </cols>
  <sheetData>
    <row r="1" spans="1:19" ht="15.75">
      <c r="A1" s="1228" t="s">
        <v>73</v>
      </c>
      <c r="B1" s="1228"/>
      <c r="C1" s="1228"/>
      <c r="D1" s="1228"/>
      <c r="E1" s="1228"/>
      <c r="F1" s="1228"/>
    </row>
    <row r="2" spans="1:19" ht="15.75">
      <c r="A2" s="41"/>
      <c r="B2" s="41"/>
      <c r="C2" s="41"/>
      <c r="D2" s="41"/>
      <c r="E2" s="41"/>
      <c r="F2" s="41"/>
    </row>
    <row r="3" spans="1:19" ht="15.75">
      <c r="A3" s="1229" t="s">
        <v>386</v>
      </c>
      <c r="B3" s="1229"/>
      <c r="C3" s="1229"/>
      <c r="D3" s="1229"/>
      <c r="E3" s="1229"/>
      <c r="F3" s="1229"/>
    </row>
    <row r="4" spans="1:19" ht="15.75">
      <c r="A4" s="579"/>
      <c r="B4" s="579"/>
      <c r="C4" s="579"/>
      <c r="D4" s="579"/>
      <c r="E4" s="579"/>
      <c r="F4" s="579"/>
    </row>
    <row r="5" spans="1:19" ht="15.75">
      <c r="A5" s="1228" t="str">
        <f>+THALTEJ!A5</f>
        <v>SUMMARY OF INCOME FOR THE MONTH OF SEP 2026</v>
      </c>
      <c r="B5" s="1228"/>
      <c r="C5" s="1228"/>
      <c r="D5" s="1228"/>
      <c r="E5" s="1228"/>
      <c r="F5" s="1228"/>
      <c r="J5" s="1" t="s">
        <v>74</v>
      </c>
    </row>
    <row r="6" spans="1:19" ht="15.75">
      <c r="A6" s="24" t="s">
        <v>5</v>
      </c>
      <c r="B6" s="3"/>
      <c r="C6" s="23"/>
      <c r="D6" s="1230"/>
      <c r="E6" s="1230"/>
      <c r="F6" s="3"/>
    </row>
    <row r="7" spans="1:19" ht="15.75" customHeight="1">
      <c r="A7" s="1350" t="s">
        <v>432</v>
      </c>
      <c r="B7" s="1348" t="s">
        <v>65</v>
      </c>
      <c r="C7" s="1352" t="s">
        <v>62</v>
      </c>
      <c r="D7" s="1231" t="s">
        <v>89</v>
      </c>
      <c r="E7" s="1231" t="s">
        <v>67</v>
      </c>
      <c r="F7" s="1231" t="s">
        <v>68</v>
      </c>
      <c r="G7" s="1240" t="s">
        <v>383</v>
      </c>
      <c r="H7" s="1357" t="s">
        <v>384</v>
      </c>
      <c r="I7" s="1357" t="s">
        <v>404</v>
      </c>
    </row>
    <row r="8" spans="1:19" ht="30">
      <c r="A8" s="1351"/>
      <c r="B8" s="1349"/>
      <c r="C8" s="1353"/>
      <c r="D8" s="1232"/>
      <c r="E8" s="1232"/>
      <c r="F8" s="1232"/>
      <c r="G8" s="1240"/>
      <c r="H8" s="1357"/>
      <c r="I8" s="1357"/>
      <c r="J8" s="1089" t="s">
        <v>951</v>
      </c>
      <c r="K8" s="1089" t="s">
        <v>929</v>
      </c>
      <c r="L8" s="806" t="s">
        <v>883</v>
      </c>
      <c r="M8" s="677" t="s">
        <v>79</v>
      </c>
      <c r="N8" s="169" t="s">
        <v>405</v>
      </c>
      <c r="O8" s="169" t="s">
        <v>406</v>
      </c>
      <c r="P8" s="806" t="s">
        <v>881</v>
      </c>
      <c r="Q8" s="1081" t="s">
        <v>859</v>
      </c>
      <c r="R8" s="626" t="s">
        <v>882</v>
      </c>
      <c r="S8" s="169" t="s">
        <v>402</v>
      </c>
    </row>
    <row r="9" spans="1:19" ht="15.75">
      <c r="A9" s="160">
        <f>+'LAW GARDEN'!A9</f>
        <v>3303</v>
      </c>
      <c r="B9" s="70" t="str">
        <f>+'LAW GARDEN'!B9</f>
        <v>DD CANCEL CHARGES</v>
      </c>
      <c r="C9" s="57">
        <f>+'ODHAV '!C9+RAKHIAL!C9+CHANGODAR!C9+'NEW SHARDA'!C9+ISANPUR!C9+MANINAGAR!C9+'SHANTI COMM'!C9+MASKATI!C9+VEJALPUR!C9+'JODHPUR-SATELLITE'!C9+PANJRAPOLE!C9+'ASHRAM ROAD'!C9+NARAYANNAGAR!C9+NARANPURA!C9+'DRIVE IN'!C9+'VASANA '!C9+SURAT!C9+'LAW GARDEN'!C9+'NEW CLOTH'!C9+BAPUNAGAR!C9+BOPAL!C9+THALTEJ!C9+CHANDKHEDA!C9+VASTRAL!C9</f>
        <v>40</v>
      </c>
      <c r="D9" s="57">
        <f>+C9*0.09</f>
        <v>3.5999999999999996</v>
      </c>
      <c r="E9" s="57">
        <f>+D9</f>
        <v>3.5999999999999996</v>
      </c>
      <c r="F9" s="57">
        <v>0</v>
      </c>
      <c r="G9" s="57">
        <f>+'ODHAV '!G9+RAKHIAL!G9+CHANGODAR!G9+'NEW SHARDA'!G9+ISANPUR!G9+MANINAGAR!G9+'SHANTI COMM'!G9+MASKATI!G9+VEJALPUR!G9+'JODHPUR-SATELLITE'!G9+PANJRAPOLE!G9+'ASHRAM ROAD'!G9+NARAYANNAGAR!G9+NARANPURA!G9+'DRIVE IN'!G9+'VASANA '!G9+SURAT!G9+'LAW GARDEN'!G9+'NEW CLOTH'!G9+BAPUNAGAR!G9+BOPAL!G9+THALTEJ!G9</f>
        <v>0</v>
      </c>
      <c r="H9" s="57">
        <f>+'ODHAV '!H9+RAKHIAL!H9+CHANGODAR!H9+'NEW SHARDA'!H9+ISANPUR!H9+MANINAGAR!H9+'SHANTI COMM'!H9+MASKATI!H9+VEJALPUR!H9+'JODHPUR-SATELLITE'!H9+PANJRAPOLE!H9+'ASHRAM ROAD'!H9+NARAYANNAGAR!H9+NARANPURA!H9+'DRIVE IN'!H9+'VASANA '!H9+SURAT!H9+'LAW GARDEN'!H9+'NEW CLOTH'!H9+BAPUNAGAR!H9+BOPAL!H9+THALTEJ!H9</f>
        <v>0</v>
      </c>
      <c r="I9" s="57">
        <f>+C9</f>
        <v>40</v>
      </c>
      <c r="J9" s="42">
        <v>580</v>
      </c>
      <c r="K9" s="1209">
        <v>540</v>
      </c>
      <c r="L9" s="42">
        <f>+J9-K9</f>
        <v>40</v>
      </c>
      <c r="M9" s="595">
        <f>+I9-L9</f>
        <v>0</v>
      </c>
      <c r="N9" s="42">
        <v>3282</v>
      </c>
      <c r="O9" s="42">
        <f>+HO!C17</f>
        <v>0</v>
      </c>
      <c r="P9" s="42">
        <v>0</v>
      </c>
      <c r="Q9" s="1080">
        <v>0</v>
      </c>
      <c r="R9" s="42">
        <f>12690-12690.22</f>
        <v>-0.21999999999934516</v>
      </c>
      <c r="S9" s="42">
        <f>+O9-R9</f>
        <v>0.21999999999934516</v>
      </c>
    </row>
    <row r="10" spans="1:19" ht="15.75">
      <c r="A10" s="161" t="s">
        <v>87</v>
      </c>
      <c r="B10" s="70" t="s">
        <v>61</v>
      </c>
      <c r="C10" s="57">
        <f>+'ODHAV '!C10+RAKHIAL!C10+CHANGODAR!C10+'NEW SHARDA'!C10+ISANPUR!C10+MANINAGAR!C10+'SHANTI COMM'!C10+MASKATI!C10+VEJALPUR!C10+'JODHPUR-SATELLITE'!C10+PANJRAPOLE!C10+'ASHRAM ROAD'!C10+NARAYANNAGAR!C10+NARANPURA!C10+'DRIVE IN'!C10+'VASANA '!C10+SURAT!C10+'LAW GARDEN'!C10+'NEW CLOTH'!C10+BAPUNAGAR!C10+BOPAL!C10+THALTEJ!C10+CHANDKHEDA!C10+VASTRAL!C10</f>
        <v>0</v>
      </c>
      <c r="D10" s="4">
        <f>+C10*9%</f>
        <v>0</v>
      </c>
      <c r="E10" s="4">
        <f>+D10</f>
        <v>0</v>
      </c>
      <c r="F10" s="13"/>
      <c r="G10" s="57">
        <v>0</v>
      </c>
      <c r="H10" s="57">
        <f>+'ODHAV '!H10+RAKHIAL!H10+CHANGODAR!H10+'NEW SHARDA'!H10+ISANPUR!H10+MANINAGAR!H10+'SHANTI COMM'!H10+MASKATI!H10+VEJALPUR!H10+'JODHPUR-SATELLITE'!H10+PANJRAPOLE!H10+'ASHRAM ROAD'!H10+NARAYANNAGAR!H10+NARANPURA!H10+'DRIVE IN'!H10+'VASANA '!H10+SURAT!H10+'LAW GARDEN'!H10+'NEW CLOTH'!H10+BAPUNAGAR!H10+BOPAL!H10+THALTEJ!H10</f>
        <v>0</v>
      </c>
      <c r="I10" s="57">
        <f t="shared" ref="I10:I52" si="0">+C10</f>
        <v>0</v>
      </c>
      <c r="J10" s="42"/>
      <c r="K10" s="1209"/>
      <c r="L10" s="42">
        <f t="shared" ref="L10:L52" si="1">+J10-K10</f>
        <v>0</v>
      </c>
      <c r="M10" s="595">
        <f t="shared" ref="M10:M52" si="2">+I10-L10</f>
        <v>0</v>
      </c>
      <c r="N10" s="42">
        <v>3284</v>
      </c>
      <c r="O10" s="42">
        <f>+HO!C18</f>
        <v>8587.0400000000009</v>
      </c>
      <c r="P10" s="42">
        <v>29746.31</v>
      </c>
      <c r="Q10" s="1080">
        <v>22192.81</v>
      </c>
      <c r="R10" s="42">
        <f t="shared" ref="R10:R14" si="3">+P10-Q10</f>
        <v>7553.5</v>
      </c>
      <c r="S10" s="42">
        <f>+O10-R10</f>
        <v>1033.5400000000009</v>
      </c>
    </row>
    <row r="11" spans="1:19" ht="15.75">
      <c r="A11" s="160" t="s">
        <v>60</v>
      </c>
      <c r="B11" s="70" t="s">
        <v>59</v>
      </c>
      <c r="C11" s="57">
        <f>+'ODHAV '!C11+RAKHIAL!C11+CHANGODAR!C11+'NEW SHARDA'!C11+ISANPUR!C11+MANINAGAR!C11+'SHANTI COMM'!C11+MASKATI!C11+VEJALPUR!C11+'JODHPUR-SATELLITE'!C11+PANJRAPOLE!C11+'ASHRAM ROAD'!C11+NARAYANNAGAR!C11+NARANPURA!C11+'DRIVE IN'!C11+'VASANA '!C11+SURAT!C11+'LAW GARDEN'!C11+'NEW CLOTH'!C11+BAPUNAGAR!C11+BOPAL!C11+THALTEJ!C11+CHANDKHEDA!C11+VASTRAL!C11</f>
        <v>2450</v>
      </c>
      <c r="D11" s="4">
        <f>+C11*9%</f>
        <v>220.5</v>
      </c>
      <c r="E11" s="4">
        <f t="shared" ref="E11:E60" si="4">+D11</f>
        <v>220.5</v>
      </c>
      <c r="F11" s="4" t="str">
        <f>IF(D11&gt;0," ",C11*18%)</f>
        <v xml:space="preserve"> </v>
      </c>
      <c r="G11" s="57">
        <f>+'ODHAV '!G11+RAKHIAL!G11+CHANGODAR!G11+'NEW SHARDA'!G11+ISANPUR!G11+MANINAGAR!G11+'SHANTI COMM'!G11+MASKATI!G11+VEJALPUR!G11+'JODHPUR-SATELLITE'!G11+PANJRAPOLE!G11+'ASHRAM ROAD'!G11+NARAYANNAGAR!G11+NARANPURA!G11+'DRIVE IN'!G11+'VASANA '!G11+SURAT!G11+'LAW GARDEN'!G11+'NEW CLOTH'!G11+BAPUNAGAR!G11+BOPAL!G11+THALTEJ!G11</f>
        <v>0</v>
      </c>
      <c r="H11" s="57">
        <f>+'ODHAV '!H11+RAKHIAL!H11+CHANGODAR!H11+'NEW SHARDA'!H11+ISANPUR!H11+MANINAGAR!H11+'SHANTI COMM'!H11+MASKATI!H11+VEJALPUR!H11+'JODHPUR-SATELLITE'!H11+PANJRAPOLE!H11+'ASHRAM ROAD'!H11+NARAYANNAGAR!H11+NARANPURA!H11+'DRIVE IN'!H11+'VASANA '!H11+SURAT!H11+'LAW GARDEN'!H11+'NEW CLOTH'!H11+BAPUNAGAR!H11+BOPAL!H11+THALTEJ!H11</f>
        <v>0</v>
      </c>
      <c r="I11" s="57">
        <f t="shared" si="0"/>
        <v>2450</v>
      </c>
      <c r="J11" s="42">
        <v>19675</v>
      </c>
      <c r="K11" s="1209">
        <v>17225</v>
      </c>
      <c r="L11" s="42">
        <f t="shared" si="1"/>
        <v>2450</v>
      </c>
      <c r="M11" s="595">
        <f>+I11-L11</f>
        <v>0</v>
      </c>
      <c r="N11" s="42">
        <v>3290</v>
      </c>
      <c r="O11" s="42">
        <f>+HO!C44</f>
        <v>103665.32</v>
      </c>
      <c r="P11" s="42">
        <v>190462.36</v>
      </c>
      <c r="Q11" s="1080">
        <v>137358.20000000001</v>
      </c>
      <c r="R11" s="42">
        <f t="shared" si="3"/>
        <v>53104.159999999974</v>
      </c>
      <c r="S11" s="42">
        <f t="shared" ref="S11:S14" si="5">+O11-R11</f>
        <v>50561.160000000033</v>
      </c>
    </row>
    <row r="12" spans="1:19" ht="15.75">
      <c r="A12" s="161" t="s">
        <v>58</v>
      </c>
      <c r="B12" s="70" t="s">
        <v>57</v>
      </c>
      <c r="C12" s="57">
        <f>+'ODHAV '!C12+RAKHIAL!C12+CHANGODAR!C12+'NEW SHARDA'!C12+ISANPUR!C12+MANINAGAR!C12+'SHANTI COMM'!C12+MASKATI!C12+VEJALPUR!C12+'JODHPUR-SATELLITE'!C12+PANJRAPOLE!C12+'ASHRAM ROAD'!C12+NARAYANNAGAR!C12+NARANPURA!C12+'DRIVE IN'!C12+'VASANA '!C12+SURAT!C12+'LAW GARDEN'!C12+'NEW CLOTH'!C12+BAPUNAGAR!C12+BOPAL!C12+THALTEJ!C12+CHANDKHEDA!C12+VASTRAL!C12</f>
        <v>110931</v>
      </c>
      <c r="D12" s="4">
        <f t="shared" ref="D12:D59" si="6">+C12*9%</f>
        <v>9983.7899999999991</v>
      </c>
      <c r="E12" s="4">
        <f t="shared" si="4"/>
        <v>9983.7899999999991</v>
      </c>
      <c r="F12" s="4"/>
      <c r="G12" s="57">
        <f>+'ODHAV '!G12+RAKHIAL!G12+CHANGODAR!G12+'NEW SHARDA'!G12+ISANPUR!G12+MANINAGAR!G12+'SHANTI COMM'!G12+MASKATI!G12+VEJALPUR!G12+'JODHPUR-SATELLITE'!G12+PANJRAPOLE!G12+'ASHRAM ROAD'!G12+NARAYANNAGAR!G12+NARANPURA!G12+'DRIVE IN'!G12+'VASANA '!G12+SURAT!G12+'LAW GARDEN'!G12+'NEW CLOTH'!G12+BAPUNAGAR!G12+BOPAL!G12+THALTEJ!G12</f>
        <v>0</v>
      </c>
      <c r="H12" s="57">
        <f>+'ODHAV '!H12+RAKHIAL!H12+CHANGODAR!H12+'NEW SHARDA'!H12+ISANPUR!H12+MANINAGAR!H12+'SHANTI COMM'!H12+MASKATI!H12+VEJALPUR!H12+'JODHPUR-SATELLITE'!H12+PANJRAPOLE!H12+'ASHRAM ROAD'!H12+NARAYANNAGAR!H12+NARANPURA!H12+'DRIVE IN'!H12+'VASANA '!H12+SURAT!H12+'LAW GARDEN'!H12+'NEW CLOTH'!H12+BAPUNAGAR!H12+BOPAL!H12+THALTEJ!H12</f>
        <v>0</v>
      </c>
      <c r="I12" s="57">
        <f t="shared" si="0"/>
        <v>110931</v>
      </c>
      <c r="J12" s="42">
        <v>539042</v>
      </c>
      <c r="K12" s="1209">
        <v>428111</v>
      </c>
      <c r="L12" s="42">
        <f t="shared" si="1"/>
        <v>110931</v>
      </c>
      <c r="M12" s="595">
        <f t="shared" si="2"/>
        <v>0</v>
      </c>
      <c r="N12" s="42">
        <v>3292</v>
      </c>
      <c r="O12" s="42">
        <f>+HO!C24</f>
        <v>0</v>
      </c>
      <c r="P12" s="42">
        <v>322</v>
      </c>
      <c r="Q12" s="1080">
        <v>322</v>
      </c>
      <c r="R12" s="42">
        <f t="shared" si="3"/>
        <v>0</v>
      </c>
      <c r="S12" s="42">
        <f t="shared" si="5"/>
        <v>0</v>
      </c>
    </row>
    <row r="13" spans="1:19" ht="15.75">
      <c r="A13" s="160" t="s">
        <v>56</v>
      </c>
      <c r="B13" s="70" t="s">
        <v>55</v>
      </c>
      <c r="C13" s="57">
        <f>+'ODHAV '!C13+RAKHIAL!C13+CHANGODAR!C13+'NEW SHARDA'!C13+ISANPUR!C13+MANINAGAR!C13+'SHANTI COMM'!C13+MASKATI!C13+VEJALPUR!C13+'JODHPUR-SATELLITE'!C13+PANJRAPOLE!C13+'ASHRAM ROAD'!C13+NARAYANNAGAR!C13+NARANPURA!C13+'DRIVE IN'!C13+'VASANA '!C13+SURAT!C13+'LAW GARDEN'!C13+'NEW CLOTH'!C13+BAPUNAGAR!C13+BOPAL!C13+THALTEJ!C13+CHANDKHEDA!C13+VASTRAL!C13</f>
        <v>0</v>
      </c>
      <c r="D13" s="4">
        <f t="shared" si="6"/>
        <v>0</v>
      </c>
      <c r="E13" s="4">
        <f t="shared" si="4"/>
        <v>0</v>
      </c>
      <c r="F13" s="4">
        <f>IF(D13&gt;0," ",C13*18%)</f>
        <v>0</v>
      </c>
      <c r="G13" s="57">
        <f>+'ODHAV '!G13+RAKHIAL!G13+CHANGODAR!G13+'NEW SHARDA'!G13+ISANPUR!G13+MANINAGAR!G13+'SHANTI COMM'!G13+MASKATI!G13+VEJALPUR!G13+'JODHPUR-SATELLITE'!G13+PANJRAPOLE!G13+'ASHRAM ROAD'!G13+NARAYANNAGAR!G13+NARANPURA!G13+'DRIVE IN'!G13+'VASANA '!G13+SURAT!G13+'LAW GARDEN'!G13+'NEW CLOTH'!G13+BAPUNAGAR!G13+BOPAL!G13+THALTEJ!G13</f>
        <v>0</v>
      </c>
      <c r="H13" s="57">
        <f>+'ODHAV '!H13+RAKHIAL!H13+CHANGODAR!H13+'NEW SHARDA'!H13+ISANPUR!H13+MANINAGAR!H13+'SHANTI COMM'!H13+MASKATI!H13+VEJALPUR!H13+'JODHPUR-SATELLITE'!H13+PANJRAPOLE!H13+'ASHRAM ROAD'!H13+NARAYANNAGAR!H13+NARANPURA!H13+'DRIVE IN'!H13+'VASANA '!H13+SURAT!H13+'LAW GARDEN'!H13+'NEW CLOTH'!H13+BAPUNAGAR!H13+BOPAL!H13+THALTEJ!H13</f>
        <v>0</v>
      </c>
      <c r="I13" s="57">
        <f t="shared" si="0"/>
        <v>0</v>
      </c>
      <c r="J13" s="42"/>
      <c r="K13" s="1209"/>
      <c r="L13" s="42">
        <f t="shared" si="1"/>
        <v>0</v>
      </c>
      <c r="M13" s="595">
        <f t="shared" si="2"/>
        <v>0</v>
      </c>
      <c r="N13" s="42">
        <v>3338</v>
      </c>
      <c r="O13" s="42">
        <f>+HO!C40</f>
        <v>0</v>
      </c>
      <c r="P13" s="42">
        <v>0</v>
      </c>
      <c r="Q13" s="1080">
        <v>0</v>
      </c>
      <c r="R13" s="42">
        <f t="shared" si="3"/>
        <v>0</v>
      </c>
      <c r="S13" s="42">
        <f t="shared" si="5"/>
        <v>0</v>
      </c>
    </row>
    <row r="14" spans="1:19" ht="15.75">
      <c r="A14" s="160" t="s">
        <v>54</v>
      </c>
      <c r="B14" s="70" t="s">
        <v>53</v>
      </c>
      <c r="C14" s="57">
        <f>+'ODHAV '!C14+RAKHIAL!C14+CHANGODAR!C14+'NEW SHARDA'!C14+ISANPUR!C14+MANINAGAR!C14+'SHANTI COMM'!C14+MASKATI!C14+VEJALPUR!C14+'JODHPUR-SATELLITE'!C14+PANJRAPOLE!C14+'ASHRAM ROAD'!C14+NARAYANNAGAR!C14+NARANPURA!C14+'DRIVE IN'!C14+'VASANA '!C14+SURAT!C14+'LAW GARDEN'!C14+'NEW CLOTH'!C14+BAPUNAGAR!C14+BOPAL!C14+THALTEJ!C14+CHANDKHEDA!C14+VASTRAL!C14</f>
        <v>159407</v>
      </c>
      <c r="D14" s="4">
        <f>+C14*9%</f>
        <v>14346.63</v>
      </c>
      <c r="E14" s="4">
        <f t="shared" si="4"/>
        <v>14346.63</v>
      </c>
      <c r="F14" s="4">
        <v>0</v>
      </c>
      <c r="G14" s="57">
        <f>+'ODHAV '!G14+RAKHIAL!G14+CHANGODAR!G14+'NEW SHARDA'!G14+ISANPUR!G14+MANINAGAR!G14+'SHANTI COMM'!G14+MASKATI!G14+VEJALPUR!G14+'JODHPUR-SATELLITE'!G14+PANJRAPOLE!G14+'ASHRAM ROAD'!G14+NARAYANNAGAR!G14+NARANPURA!G14+'DRIVE IN'!G14+'VASANA '!G14+SURAT!G14+'LAW GARDEN'!G14+'NEW CLOTH'!G14+BAPUNAGAR!G14+BOPAL!G14+THALTEJ!G14</f>
        <v>146</v>
      </c>
      <c r="H14" s="57">
        <f>+'ODHAV '!H14+RAKHIAL!H14+CHANGODAR!H14+'NEW SHARDA'!H14+ISANPUR!H14+MANINAGAR!H14+'SHANTI COMM'!H14+MASKATI!H14+VEJALPUR!H14+'JODHPUR-SATELLITE'!H14+PANJRAPOLE!H14+'ASHRAM ROAD'!H14+NARAYANNAGAR!H14+NARANPURA!H14+'DRIVE IN'!H14+'VASANA '!H14+SURAT!H14+'LAW GARDEN'!H14+'NEW CLOTH'!H14+BAPUNAGAR!H14+BOPAL!H14+THALTEJ!H14</f>
        <v>0</v>
      </c>
      <c r="I14" s="57">
        <f>+C14</f>
        <v>159407</v>
      </c>
      <c r="J14" s="42">
        <v>1132754</v>
      </c>
      <c r="K14" s="1209">
        <v>938590</v>
      </c>
      <c r="L14" s="42">
        <f>+J14-K14</f>
        <v>194164</v>
      </c>
      <c r="M14" s="752">
        <f>+I14-L14</f>
        <v>-34757</v>
      </c>
      <c r="N14" s="42">
        <v>3293</v>
      </c>
      <c r="O14" s="42">
        <f>+HO!C25</f>
        <v>0</v>
      </c>
      <c r="P14" s="42">
        <v>1963</v>
      </c>
      <c r="Q14" s="1080">
        <v>1491</v>
      </c>
      <c r="R14" s="42">
        <f t="shared" si="3"/>
        <v>472</v>
      </c>
      <c r="S14" s="42">
        <f t="shared" si="5"/>
        <v>-472</v>
      </c>
    </row>
    <row r="15" spans="1:19" ht="15.75">
      <c r="A15" s="160" t="s">
        <v>52</v>
      </c>
      <c r="B15" s="70" t="s">
        <v>51</v>
      </c>
      <c r="C15" s="57">
        <f>+'ODHAV '!C15+RAKHIAL!C15+CHANGODAR!C15+'NEW SHARDA'!C15+ISANPUR!C15+MANINAGAR!C15+'SHANTI COMM'!C15+MASKATI!C15+VEJALPUR!C15+'JODHPUR-SATELLITE'!C15+PANJRAPOLE!C15+'ASHRAM ROAD'!C15+NARAYANNAGAR!C15+NARANPURA!C15+'DRIVE IN'!C15+'VASANA '!C15+SURAT!C15+'LAW GARDEN'!C15+'NEW CLOTH'!C15+BAPUNAGAR!C15+BOPAL!C15+THALTEJ!C15+CHANDKHEDA!C15+VASTRAL!C15</f>
        <v>1640</v>
      </c>
      <c r="D15" s="4">
        <f>+C15*9%</f>
        <v>147.6</v>
      </c>
      <c r="E15" s="4">
        <f t="shared" si="4"/>
        <v>147.6</v>
      </c>
      <c r="F15" s="4"/>
      <c r="G15" s="57">
        <f>+'ODHAV '!G15+RAKHIAL!G15+CHANGODAR!G15+'NEW SHARDA'!G15+ISANPUR!G15+MANINAGAR!G15+'SHANTI COMM'!G15+MASKATI!G15+VEJALPUR!G15+'JODHPUR-SATELLITE'!G15+PANJRAPOLE!G15+'ASHRAM ROAD'!G15+NARAYANNAGAR!G15+NARANPURA!G15+'DRIVE IN'!G15+'VASANA '!G15+SURAT!G15+'LAW GARDEN'!G15+'NEW CLOTH'!G15+BAPUNAGAR!G15+BOPAL!G15+THALTEJ!G15</f>
        <v>0</v>
      </c>
      <c r="H15" s="57">
        <f>+'ODHAV '!H15+RAKHIAL!H15+CHANGODAR!H15+'NEW SHARDA'!H15+ISANPUR!H15+MANINAGAR!H15+'SHANTI COMM'!H15+MASKATI!H15+VEJALPUR!H15+'JODHPUR-SATELLITE'!H15+PANJRAPOLE!H15+'ASHRAM ROAD'!H15+NARAYANNAGAR!H15+NARANPURA!H15+'DRIVE IN'!H15+'VASANA '!H15+SURAT!H15+'LAW GARDEN'!H15+'NEW CLOTH'!H15+BAPUNAGAR!H15+BOPAL!H15+THALTEJ!H15</f>
        <v>0</v>
      </c>
      <c r="I15" s="57">
        <f t="shared" si="0"/>
        <v>1640</v>
      </c>
      <c r="J15" s="42">
        <v>11180</v>
      </c>
      <c r="K15" s="1209">
        <v>9540</v>
      </c>
      <c r="L15" s="42">
        <f>+J15-K15</f>
        <v>1640</v>
      </c>
      <c r="M15" s="595">
        <f t="shared" si="2"/>
        <v>0</v>
      </c>
      <c r="N15" s="1080">
        <v>3294</v>
      </c>
      <c r="O15" s="1080"/>
      <c r="P15" s="1080">
        <v>0</v>
      </c>
      <c r="Q15" s="1080">
        <v>133492.04999999999</v>
      </c>
      <c r="R15" s="1080">
        <f>+P15-Q15</f>
        <v>-133492.04999999999</v>
      </c>
      <c r="S15" s="1080"/>
    </row>
    <row r="16" spans="1:19" ht="15.75">
      <c r="A16" s="161" t="s">
        <v>50</v>
      </c>
      <c r="B16" s="70" t="s">
        <v>49</v>
      </c>
      <c r="C16" s="57">
        <f>+'ODHAV '!C16+RAKHIAL!C16+CHANGODAR!C16+'NEW SHARDA'!C16+ISANPUR!C16+MANINAGAR!C16+'SHANTI COMM'!C16+MASKATI!C16+VEJALPUR!C16+'JODHPUR-SATELLITE'!C16+PANJRAPOLE!C16+'ASHRAM ROAD'!C16+NARAYANNAGAR!C16+NARANPURA!C16+'DRIVE IN'!C16+'VASANA '!C16+SURAT!C16+'LAW GARDEN'!C16+'NEW CLOTH'!C16+BAPUNAGAR!C16+BOPAL!C16+THALTEJ!C16+CHANDKHEDA!C16+VASTRAL!C16</f>
        <v>0</v>
      </c>
      <c r="D16" s="4">
        <f t="shared" si="6"/>
        <v>0</v>
      </c>
      <c r="E16" s="4">
        <f t="shared" si="4"/>
        <v>0</v>
      </c>
      <c r="F16" s="4">
        <f>IF(D16&gt;0," ",C16*18%)</f>
        <v>0</v>
      </c>
      <c r="G16" s="57">
        <f>+'ODHAV '!G16+RAKHIAL!G16+CHANGODAR!G16+'NEW SHARDA'!G16+ISANPUR!G16+MANINAGAR!G16+'SHANTI COMM'!G16+MASKATI!G16+VEJALPUR!G16+'JODHPUR-SATELLITE'!G16+PANJRAPOLE!G16+'ASHRAM ROAD'!G16+NARAYANNAGAR!G16+NARANPURA!G16+'DRIVE IN'!G16+'VASANA '!G16+SURAT!G16+'LAW GARDEN'!G16+'NEW CLOTH'!G16+BAPUNAGAR!G16+BOPAL!G16+THALTEJ!G16</f>
        <v>0</v>
      </c>
      <c r="H16" s="57">
        <f>+'ODHAV '!H16+RAKHIAL!H16+CHANGODAR!H16+'NEW SHARDA'!H16+ISANPUR!H16+MANINAGAR!H16+'SHANTI COMM'!H16+MASKATI!H16+VEJALPUR!H16+'JODHPUR-SATELLITE'!H16+PANJRAPOLE!H16+'ASHRAM ROAD'!H16+NARAYANNAGAR!H16+NARANPURA!H16+'DRIVE IN'!H16+'VASANA '!H16+SURAT!H16+'LAW GARDEN'!H16+'NEW CLOTH'!H16+BAPUNAGAR!H16+BOPAL!H16+THALTEJ!H16</f>
        <v>0</v>
      </c>
      <c r="I16" s="57">
        <f t="shared" si="0"/>
        <v>0</v>
      </c>
      <c r="J16" s="42">
        <v>6000</v>
      </c>
      <c r="K16" s="1209">
        <v>6000</v>
      </c>
      <c r="L16" s="42">
        <f t="shared" si="1"/>
        <v>0</v>
      </c>
      <c r="M16" s="595">
        <f t="shared" si="2"/>
        <v>0</v>
      </c>
    </row>
    <row r="17" spans="1:14" ht="15.75">
      <c r="A17" s="161" t="s">
        <v>48</v>
      </c>
      <c r="B17" s="70" t="s">
        <v>47</v>
      </c>
      <c r="C17" s="57">
        <f>+'ODHAV '!C17+RAKHIAL!C17+CHANGODAR!C17+'NEW SHARDA'!C17+ISANPUR!C17+MANINAGAR!C17+'SHANTI COMM'!C17+MASKATI!C17+VEJALPUR!C17+'JODHPUR-SATELLITE'!C17+PANJRAPOLE!C17+'ASHRAM ROAD'!C17+NARAYANNAGAR!C17+NARANPURA!C17+'DRIVE IN'!C17+'VASANA '!C17+SURAT!C17+'LAW GARDEN'!C17+'NEW CLOTH'!C17+BAPUNAGAR!C17+BOPAL!C17+THALTEJ!C17+CHANDKHEDA!C17+VASTRAL!C17</f>
        <v>4500</v>
      </c>
      <c r="D17" s="4">
        <f t="shared" si="6"/>
        <v>405</v>
      </c>
      <c r="E17" s="4">
        <f t="shared" si="4"/>
        <v>405</v>
      </c>
      <c r="F17" s="4" t="str">
        <f>IF(D17&gt;0," ",C17*18%)</f>
        <v xml:space="preserve"> </v>
      </c>
      <c r="G17" s="57">
        <f>+'ODHAV '!G17+RAKHIAL!G17+CHANGODAR!G17+'NEW SHARDA'!G17+ISANPUR!G17+MANINAGAR!G17+'SHANTI COMM'!G17+MASKATI!G17+VEJALPUR!G17+'JODHPUR-SATELLITE'!G17+PANJRAPOLE!G17+'ASHRAM ROAD'!G17+NARAYANNAGAR!G17+NARANPURA!G17+'DRIVE IN'!G17+'VASANA '!G17+SURAT!G17+'LAW GARDEN'!G17+'NEW CLOTH'!G17+BAPUNAGAR!G17+BOPAL!G17+THALTEJ!G17</f>
        <v>0</v>
      </c>
      <c r="H17" s="57">
        <f>+'ODHAV '!H17+RAKHIAL!H17+CHANGODAR!H17+'NEW SHARDA'!H17+ISANPUR!H17+MANINAGAR!H17+'SHANTI COMM'!H17+MASKATI!H17+VEJALPUR!H17+'JODHPUR-SATELLITE'!H17+PANJRAPOLE!H17+'ASHRAM ROAD'!H17+NARAYANNAGAR!H17+NARANPURA!H17+'DRIVE IN'!H17+'VASANA '!H17+SURAT!H17+'LAW GARDEN'!H17+'NEW CLOTH'!H17+BAPUNAGAR!H17+BOPAL!H17+THALTEJ!H17</f>
        <v>0</v>
      </c>
      <c r="I17" s="57">
        <f t="shared" si="0"/>
        <v>4500</v>
      </c>
      <c r="J17" s="42">
        <v>9000</v>
      </c>
      <c r="K17" s="1209">
        <v>4500</v>
      </c>
      <c r="L17" s="42">
        <f t="shared" si="1"/>
        <v>4500</v>
      </c>
      <c r="M17" s="678">
        <f t="shared" si="2"/>
        <v>0</v>
      </c>
      <c r="N17" s="73"/>
    </row>
    <row r="18" spans="1:14" ht="15.75">
      <c r="A18" s="161" t="s">
        <v>46</v>
      </c>
      <c r="B18" s="70" t="s">
        <v>45</v>
      </c>
      <c r="C18" s="57">
        <f>+'ODHAV '!C18+RAKHIAL!C18+CHANGODAR!C18+'NEW SHARDA'!C18+ISANPUR!C18+MANINAGAR!C18+'SHANTI COMM'!C18+MASKATI!C18+VEJALPUR!C18+'JODHPUR-SATELLITE'!C18+PANJRAPOLE!C18+'ASHRAM ROAD'!C18+NARAYANNAGAR!C18+NARANPURA!C18+'DRIVE IN'!C18+'VASANA '!C18+SURAT!C18+'LAW GARDEN'!C18+'NEW CLOTH'!C18+BAPUNAGAR!C18+BOPAL!C18+THALTEJ!C18+CHANDKHEDA!C18+VASTRAL!C18</f>
        <v>0</v>
      </c>
      <c r="D18" s="4">
        <f t="shared" si="6"/>
        <v>0</v>
      </c>
      <c r="E18" s="4">
        <f t="shared" si="4"/>
        <v>0</v>
      </c>
      <c r="F18" s="4">
        <f>IF(D18&gt;0," ",C18*18%)</f>
        <v>0</v>
      </c>
      <c r="G18" s="57">
        <f>+'ODHAV '!G18+RAKHIAL!G18+CHANGODAR!G18+'NEW SHARDA'!G18+ISANPUR!G18+MANINAGAR!G18+'SHANTI COMM'!G18+MASKATI!G18+VEJALPUR!G18+'JODHPUR-SATELLITE'!G18+PANJRAPOLE!G18+'ASHRAM ROAD'!G18+NARAYANNAGAR!G18+NARANPURA!G18+'DRIVE IN'!G18+'VASANA '!G18+SURAT!G18+'LAW GARDEN'!G18+'NEW CLOTH'!G18+BAPUNAGAR!G18+BOPAL!G18+THALTEJ!G18</f>
        <v>0</v>
      </c>
      <c r="H18" s="57">
        <f>+'ODHAV '!H18+RAKHIAL!H18+CHANGODAR!H18+'NEW SHARDA'!H18+ISANPUR!H18+MANINAGAR!H18+'SHANTI COMM'!H18+MASKATI!H18+VEJALPUR!H18+'JODHPUR-SATELLITE'!H18+PANJRAPOLE!H18+'ASHRAM ROAD'!H18+NARAYANNAGAR!H18+NARANPURA!H18+'DRIVE IN'!H18+'VASANA '!H18+SURAT!H18+'LAW GARDEN'!H18+'NEW CLOTH'!H18+BAPUNAGAR!H18+BOPAL!H18+THALTEJ!H18</f>
        <v>0</v>
      </c>
      <c r="I18" s="57">
        <f t="shared" si="0"/>
        <v>0</v>
      </c>
      <c r="J18" s="42"/>
      <c r="K18" s="1209"/>
      <c r="L18" s="42">
        <f t="shared" si="1"/>
        <v>0</v>
      </c>
      <c r="M18" s="595">
        <f t="shared" si="2"/>
        <v>0</v>
      </c>
    </row>
    <row r="19" spans="1:14" ht="15.75">
      <c r="A19" s="160" t="s">
        <v>44</v>
      </c>
      <c r="B19" s="70" t="s">
        <v>43</v>
      </c>
      <c r="C19" s="57">
        <f>+'ODHAV '!C19+RAKHIAL!C19+CHANGODAR!C19+'NEW SHARDA'!C19+ISANPUR!C19+MANINAGAR!C19+'SHANTI COMM'!C19+MASKATI!C19+VEJALPUR!C19+'JODHPUR-SATELLITE'!C19+PANJRAPOLE!C19+'ASHRAM ROAD'!C19+NARAYANNAGAR!C19+NARANPURA!C19+'DRIVE IN'!C19+'VASANA '!C19+SURAT!C19+'LAW GARDEN'!C19+'NEW CLOTH'!C19+BAPUNAGAR!C19+BOPAL!C19+THALTEJ!C19+CHANDKHEDA!C19+VASTRAL!C19</f>
        <v>978224</v>
      </c>
      <c r="D19" s="4">
        <f t="shared" si="6"/>
        <v>88040.16</v>
      </c>
      <c r="E19" s="4">
        <f t="shared" si="4"/>
        <v>88040.16</v>
      </c>
      <c r="F19" s="4" t="str">
        <f>IF(D19&gt;0," ",C19*18%)</f>
        <v xml:space="preserve"> </v>
      </c>
      <c r="G19" s="57">
        <f>+'ODHAV '!G19+RAKHIAL!G19+CHANGODAR!G19+'NEW SHARDA'!G19+ISANPUR!G19+MANINAGAR!G19+'SHANTI COMM'!G19+MASKATI!G19+VEJALPUR!G19+'JODHPUR-SATELLITE'!G19+PANJRAPOLE!G19+'ASHRAM ROAD'!G19+NARAYANNAGAR!G19+NARANPURA!G19+'DRIVE IN'!G19+'VASANA '!G19+SURAT!G19+'LAW GARDEN'!G19+'NEW CLOTH'!G19+BAPUNAGAR!G19+BOPAL!H19+THALTEJ!G19</f>
        <v>0</v>
      </c>
      <c r="H19" s="57">
        <f>+'ODHAV '!H19+RAKHIAL!H19+CHANGODAR!H19+'NEW SHARDA'!H19+ISANPUR!H19+MANINAGAR!H19+'SHANTI COMM'!H19+MASKATI!H19+VEJALPUR!H19+'JODHPUR-SATELLITE'!H19+PANJRAPOLE!H19+'ASHRAM ROAD'!H19+NARAYANNAGAR!H19+NARANPURA!H19+'DRIVE IN'!H19+'VASANA '!H19+SURAT!H19+'LAW GARDEN'!H19+'NEW CLOTH'!H19+BAPUNAGAR!H19+BOPAL!I19+THALTEJ!H19</f>
        <v>0</v>
      </c>
      <c r="I19" s="57">
        <f t="shared" si="0"/>
        <v>978224</v>
      </c>
      <c r="J19" s="1169">
        <v>6887776.4400000004</v>
      </c>
      <c r="K19" s="1209">
        <v>5909552.4400000004</v>
      </c>
      <c r="L19" s="42">
        <f t="shared" si="1"/>
        <v>978224</v>
      </c>
      <c r="M19" s="751">
        <f t="shared" si="2"/>
        <v>0</v>
      </c>
    </row>
    <row r="20" spans="1:14" ht="15.75">
      <c r="A20" s="13">
        <v>3271</v>
      </c>
      <c r="B20" s="70" t="s">
        <v>533</v>
      </c>
      <c r="C20" s="57">
        <f>+'ODHAV '!C20+RAKHIAL!C20+CHANGODAR!C20+'NEW SHARDA'!C20+ISANPUR!C20+MANINAGAR!C20+'SHANTI COMM'!C20+MASKATI!C20+VEJALPUR!C20+'JODHPUR-SATELLITE'!C20+PANJRAPOLE!C20+'ASHRAM ROAD'!C20+NARAYANNAGAR!C20+NARANPURA!C20+'DRIVE IN'!C20+'VASANA '!C20+SURAT!C20+'LAW GARDEN'!C20+'NEW CLOTH'!C20+BAPUNAGAR!C20+BOPAL!C20+THALTEJ!C20+CHANDKHEDA!C20+VASTRAL!C20</f>
        <v>101220</v>
      </c>
      <c r="D20" s="4">
        <f>+C20*9%</f>
        <v>9109.7999999999993</v>
      </c>
      <c r="E20" s="4">
        <f>+D20</f>
        <v>9109.7999999999993</v>
      </c>
      <c r="F20" s="4"/>
      <c r="G20" s="57">
        <f>+'ODHAV '!G20+RAKHIAL!G20+CHANGODAR!G20+'NEW SHARDA'!G20+ISANPUR!G20+MANINAGAR!G20+'SHANTI COMM'!G20+MASKATI!G20+VEJALPUR!G20+'JODHPUR-SATELLITE'!G20+PANJRAPOLE!G20+'ASHRAM ROAD'!G20+NARAYANNAGAR!G20+NARANPURA!G20+'DRIVE IN'!G20+'VASANA '!G20+SURAT!G20+'LAW GARDEN'!G20+'NEW CLOTH'!G20+BAPUNAGAR!G20+BOPAL!G20+THALTEJ!G20</f>
        <v>0</v>
      </c>
      <c r="H20" s="57">
        <f>+'ODHAV '!H20+RAKHIAL!H20+CHANGODAR!H20+'NEW SHARDA'!H20+ISANPUR!H20+MANINAGAR!H20+'SHANTI COMM'!H20+MASKATI!H20+VEJALPUR!H20+'JODHPUR-SATELLITE'!H20+PANJRAPOLE!H20+'ASHRAM ROAD'!H20+NARAYANNAGAR!H20+NARANPURA!H20+'DRIVE IN'!H20+'VASANA '!H20+SURAT!H20+'LAW GARDEN'!H20+'NEW CLOTH'!H20+BAPUNAGAR!H20+BOPAL!H20+THALTEJ!H20</f>
        <v>0</v>
      </c>
      <c r="I20" s="57">
        <f t="shared" si="0"/>
        <v>101220</v>
      </c>
      <c r="J20" s="42">
        <v>356897</v>
      </c>
      <c r="K20" s="1209">
        <v>255677</v>
      </c>
      <c r="L20" s="42">
        <f t="shared" si="1"/>
        <v>101220</v>
      </c>
      <c r="M20" s="752">
        <f t="shared" si="2"/>
        <v>0</v>
      </c>
    </row>
    <row r="21" spans="1:14" ht="15.75">
      <c r="A21" s="13">
        <v>3274</v>
      </c>
      <c r="B21" s="70" t="s">
        <v>554</v>
      </c>
      <c r="C21" s="57">
        <f>+'ODHAV '!C21+RAKHIAL!C21+CHANGODAR!C21+'NEW SHARDA'!C21+ISANPUR!C21+MANINAGAR!C21+'SHANTI COMM'!C21+MASKATI!C21+VEJALPUR!C21+'JODHPUR-SATELLITE'!C21+PANJRAPOLE!C21+'ASHRAM ROAD'!C21+NARAYANNAGAR!C21+NARANPURA!C21+'DRIVE IN'!C21+'VASANA '!C21+SURAT!C21+'LAW GARDEN'!C21+'NEW CLOTH'!C21+BAPUNAGAR!C21+BOPAL!C21+THALTEJ!C21+CHANDKHEDA!C21+VASTRAL!C21</f>
        <v>0</v>
      </c>
      <c r="D21" s="4">
        <f>+C21*9%</f>
        <v>0</v>
      </c>
      <c r="E21" s="4">
        <f>+D21</f>
        <v>0</v>
      </c>
      <c r="F21" s="4"/>
      <c r="G21" s="57">
        <f>+'ODHAV '!G21+RAKHIAL!G21+CHANGODAR!G21+'NEW SHARDA'!G21+ISANPUR!G21+MANINAGAR!G21+'SHANTI COMM'!G21+MASKATI!G21+VEJALPUR!G21+'JODHPUR-SATELLITE'!G21+PANJRAPOLE!G21+'ASHRAM ROAD'!G21+NARAYANNAGAR!G21+NARANPURA!G21+'DRIVE IN'!G21+'VASANA '!G21+SURAT!G21+'LAW GARDEN'!G21+'NEW CLOTH'!G21+BAPUNAGAR!G21+BOPAL!G21+THALTEJ!G21</f>
        <v>0</v>
      </c>
      <c r="H21" s="57">
        <f>+'ODHAV '!H21+RAKHIAL!H21+CHANGODAR!H21+'NEW SHARDA'!H21+ISANPUR!H21+MANINAGAR!H21+'SHANTI COMM'!H21+MASKATI!H21+VEJALPUR!H21+'JODHPUR-SATELLITE'!H21+PANJRAPOLE!H21+'ASHRAM ROAD'!H21+NARAYANNAGAR!H21+NARANPURA!H21+'DRIVE IN'!H21+'VASANA '!H21+SURAT!H21+'LAW GARDEN'!H21+'NEW CLOTH'!H21+BAPUNAGAR!H21+BOPAL!H21+THALTEJ!H21</f>
        <v>0</v>
      </c>
      <c r="I21" s="57">
        <f t="shared" si="0"/>
        <v>0</v>
      </c>
      <c r="J21" s="42">
        <v>204750.84</v>
      </c>
      <c r="K21" s="1209">
        <v>165549.29999999999</v>
      </c>
      <c r="L21" s="42">
        <f t="shared" si="1"/>
        <v>39201.540000000008</v>
      </c>
      <c r="M21" s="678">
        <f>+I21-L21</f>
        <v>-39201.540000000008</v>
      </c>
    </row>
    <row r="22" spans="1:14" ht="15.75">
      <c r="A22" s="158" t="s">
        <v>42</v>
      </c>
      <c r="B22" s="70" t="s">
        <v>41</v>
      </c>
      <c r="C22" s="57">
        <f>+'ODHAV '!C22+RAKHIAL!C22+CHANGODAR!C22+'NEW SHARDA'!C22+ISANPUR!C22+MANINAGAR!C22+'SHANTI COMM'!C22+MASKATI!C22+VEJALPUR!C22+'JODHPUR-SATELLITE'!C22+PANJRAPOLE!C22+'ASHRAM ROAD'!C22+NARAYANNAGAR!C22+NARANPURA!C22+'DRIVE IN'!C22+'VASANA '!C22+SURAT!C22+'LAW GARDEN'!C22+'NEW CLOTH'!C22+BAPUNAGAR!C22+BOPAL!C22+THALTEJ!C22+CHANDKHEDA!C22+VASTRAL!C22</f>
        <v>0</v>
      </c>
      <c r="D22" s="4">
        <f>+C22*9%</f>
        <v>0</v>
      </c>
      <c r="E22" s="4">
        <f t="shared" si="4"/>
        <v>0</v>
      </c>
      <c r="F22" s="4">
        <v>0</v>
      </c>
      <c r="G22" s="57">
        <f>+'ODHAV '!G22+RAKHIAL!G22+CHANGODAR!G23+'NEW SHARDA'!G22+ISANPUR!G22+MANINAGAR!G22+'SHANTI COMM'!G22+MASKATI!G22+VEJALPUR!G22+'JODHPUR-SATELLITE'!G22+PANJRAPOLE!G22+'ASHRAM ROAD'!G22+NARAYANNAGAR!G22+NARANPURA!G22+'DRIVE IN'!G22+'VASANA '!G22+SURAT!G22+'LAW GARDEN'!G22+'NEW CLOTH'!G22+BAPUNAGAR!G22+BOPAL!G22+THALTEJ!G22</f>
        <v>0</v>
      </c>
      <c r="H22" s="57">
        <f>+'ODHAV '!H22+RAKHIAL!H22+CHANGODAR!H23+'NEW SHARDA'!H22+ISANPUR!H22+MANINAGAR!H22+'SHANTI COMM'!H22+MASKATI!H22+VEJALPUR!H22+'JODHPUR-SATELLITE'!H22+PANJRAPOLE!H22+'ASHRAM ROAD'!H22+NARAYANNAGAR!H22+NARANPURA!H22+'DRIVE IN'!H22+'VASANA '!H22+SURAT!H22+'LAW GARDEN'!H22+'NEW CLOTH'!H22+BAPUNAGAR!H22+BOPAL!H22+THALTEJ!H22</f>
        <v>0</v>
      </c>
      <c r="I22" s="57">
        <f t="shared" si="0"/>
        <v>0</v>
      </c>
      <c r="J22" s="42"/>
      <c r="K22" s="1209"/>
      <c r="L22" s="42">
        <f t="shared" si="1"/>
        <v>0</v>
      </c>
      <c r="M22" s="595">
        <f t="shared" si="2"/>
        <v>0</v>
      </c>
    </row>
    <row r="23" spans="1:14" ht="15.75">
      <c r="A23" s="161" t="s">
        <v>40</v>
      </c>
      <c r="B23" s="70" t="s">
        <v>39</v>
      </c>
      <c r="C23" s="57">
        <f>+'ODHAV '!C23+RAKHIAL!C23+CHANGODAR!C23+'NEW SHARDA'!C23+ISANPUR!C23+MANINAGAR!C23+'SHANTI COMM'!C23+MASKATI!C23+VEJALPUR!C23+'JODHPUR-SATELLITE'!C23+PANJRAPOLE!C23+'ASHRAM ROAD'!C23+NARAYANNAGAR!C23+NARANPURA!C23+'DRIVE IN'!C23+'VASANA '!C23+SURAT!C23+'LAW GARDEN'!C23+'NEW CLOTH'!C23+BAPUNAGAR!C23+BOPAL!C23+THALTEJ!C23+CHANDKHEDA!C23+VASTRAL!C23</f>
        <v>0</v>
      </c>
      <c r="D23" s="4">
        <f t="shared" si="6"/>
        <v>0</v>
      </c>
      <c r="E23" s="4">
        <f t="shared" si="4"/>
        <v>0</v>
      </c>
      <c r="F23" s="4">
        <f>IF(D23&gt;0," ",C23*18%)</f>
        <v>0</v>
      </c>
      <c r="G23" s="57">
        <f>+'ODHAV '!G23+RAKHIAL!G23+CHANGODAR!G24+'NEW SHARDA'!G23+ISANPUR!G23+MANINAGAR!G23+'SHANTI COMM'!G23+MASKATI!G23+VEJALPUR!G23+'JODHPUR-SATELLITE'!G23+PANJRAPOLE!G23+'ASHRAM ROAD'!G23+NARAYANNAGAR!G23+NARANPURA!G23+'DRIVE IN'!G23+'VASANA '!G23+SURAT!G23+'LAW GARDEN'!G23+'NEW CLOTH'!G23+BAPUNAGAR!G23+BOPAL!G23+THALTEJ!G23</f>
        <v>0</v>
      </c>
      <c r="H23" s="57">
        <f>+'ODHAV '!H23+RAKHIAL!H23+CHANGODAR!H24+'NEW SHARDA'!H23+ISANPUR!H23+MANINAGAR!H23+'SHANTI COMM'!H23+MASKATI!H23+VEJALPUR!H23+'JODHPUR-SATELLITE'!H23+PANJRAPOLE!H23+'ASHRAM ROAD'!H23+NARAYANNAGAR!H23+NARANPURA!H23+'DRIVE IN'!H23+'VASANA '!H23+SURAT!H23+'LAW GARDEN'!H23+'NEW CLOTH'!H23+BAPUNAGAR!H23+BOPAL!H23+THALTEJ!H23</f>
        <v>0</v>
      </c>
      <c r="I23" s="57">
        <f t="shared" si="0"/>
        <v>0</v>
      </c>
      <c r="J23" s="42"/>
      <c r="K23" s="1209"/>
      <c r="L23" s="42">
        <f t="shared" si="1"/>
        <v>0</v>
      </c>
      <c r="M23" s="595">
        <f t="shared" si="2"/>
        <v>0</v>
      </c>
    </row>
    <row r="24" spans="1:14" ht="15.75">
      <c r="A24" s="161" t="s">
        <v>38</v>
      </c>
      <c r="B24" s="70" t="s">
        <v>37</v>
      </c>
      <c r="C24" s="57">
        <f>+'ODHAV '!C24+RAKHIAL!C24+CHANGODAR!C24+'NEW SHARDA'!C24+ISANPUR!C24+MANINAGAR!C24+'SHANTI COMM'!C24+MASKATI!C24+VEJALPUR!C24+'JODHPUR-SATELLITE'!C24+PANJRAPOLE!C24+'ASHRAM ROAD'!C24+NARAYANNAGAR!C24+NARANPURA!C24+'DRIVE IN'!C24+'VASANA '!C24+SURAT!C24+'LAW GARDEN'!C24+'NEW CLOTH'!C24+BAPUNAGAR!C24+BOPAL!C24+THALTEJ!C24+CHANDKHEDA!C24+VASTRAL!C24</f>
        <v>200</v>
      </c>
      <c r="D24" s="4">
        <f t="shared" si="6"/>
        <v>18</v>
      </c>
      <c r="E24" s="4">
        <f t="shared" si="4"/>
        <v>18</v>
      </c>
      <c r="F24" s="4" t="str">
        <f>IF(D24&gt;0," ",C24*18%)</f>
        <v xml:space="preserve"> </v>
      </c>
      <c r="G24" s="57">
        <f>+'ODHAV '!G24+RAKHIAL!G24+CHANGODAR!G25+'NEW SHARDA'!G24+ISANPUR!G24+MANINAGAR!G24+'SHANTI COMM'!G24+MASKATI!G24+VEJALPUR!G24+'JODHPUR-SATELLITE'!G24+PANJRAPOLE!G24+'ASHRAM ROAD'!G24+NARAYANNAGAR!G24+NARANPURA!G24+'DRIVE IN'!G24+'VASANA '!G24+SURAT!G24+'LAW GARDEN'!G24+'NEW CLOTH'!G24+BAPUNAGAR!G24+BOPAL!G24+THALTEJ!G24</f>
        <v>0</v>
      </c>
      <c r="H24" s="57">
        <f>+'ODHAV '!H24+RAKHIAL!H24+CHANGODAR!H25+'NEW SHARDA'!H24+ISANPUR!H24+MANINAGAR!H24+'SHANTI COMM'!H24+MASKATI!H24+VEJALPUR!H24+'JODHPUR-SATELLITE'!H24+PANJRAPOLE!H24+'ASHRAM ROAD'!H24+NARAYANNAGAR!H24+NARANPURA!H24+'DRIVE IN'!H24+'VASANA '!H24+SURAT!H24+'LAW GARDEN'!H24+'NEW CLOTH'!H24+BAPUNAGAR!H24+BOPAL!H24+THALTEJ!H24</f>
        <v>0</v>
      </c>
      <c r="I24" s="57">
        <f t="shared" si="0"/>
        <v>200</v>
      </c>
      <c r="J24" s="42">
        <v>2025</v>
      </c>
      <c r="K24" s="1209">
        <v>1825</v>
      </c>
      <c r="L24" s="42">
        <f t="shared" si="1"/>
        <v>200</v>
      </c>
      <c r="M24" s="595">
        <f t="shared" si="2"/>
        <v>0</v>
      </c>
    </row>
    <row r="25" spans="1:14" ht="15.75">
      <c r="A25" s="158" t="s">
        <v>36</v>
      </c>
      <c r="B25" s="70" t="s">
        <v>35</v>
      </c>
      <c r="C25" s="57">
        <f>+'ODHAV '!C25+RAKHIAL!C25+CHANGODAR!C25+'NEW SHARDA'!C25+ISANPUR!C25+MANINAGAR!C25+'SHANTI COMM'!C25+MASKATI!C25+VEJALPUR!C25+'JODHPUR-SATELLITE'!C25+PANJRAPOLE!C25+'ASHRAM ROAD'!C25+NARAYANNAGAR!C25+NARANPURA!C25+'DRIVE IN'!C25+'VASANA '!C25+SURAT!C25+'LAW GARDEN'!C25+'NEW CLOTH'!C25+BAPUNAGAR!C25+BOPAL!C25+THALTEJ!C25+CHANDKHEDA!C25+VASTRAL!C25</f>
        <v>0</v>
      </c>
      <c r="D25" s="4">
        <f t="shared" si="6"/>
        <v>0</v>
      </c>
      <c r="E25" s="4">
        <f t="shared" si="4"/>
        <v>0</v>
      </c>
      <c r="F25" s="4">
        <v>0</v>
      </c>
      <c r="G25" s="57">
        <f>+'ODHAV '!G26+RAKHIAL!G26+CHANGODAR!G27+'NEW SHARDA'!G26+ISANPUR!G26+MANINAGAR!G26+'SHANTI COMM'!G26+MASKATI!G26+VEJALPUR!G26+'JODHPUR-SATELLITE'!G26+PANJRAPOLE!G26+'ASHRAM ROAD'!G26+NARAYANNAGAR!G26+NARANPURA!G26+'DRIVE IN'!G26+'VASANA '!G26+SURAT!G26+'LAW GARDEN'!G26+'NEW CLOTH'!G26+BAPUNAGAR!G26+BOPAL!G26+THALTEJ!G26</f>
        <v>0</v>
      </c>
      <c r="H25" s="57">
        <f>+'ODHAV '!H26+RAKHIAL!H26+CHANGODAR!H27+'NEW SHARDA'!H26+ISANPUR!H26+MANINAGAR!H26+'SHANTI COMM'!H26+MASKATI!H26+VEJALPUR!H26+'JODHPUR-SATELLITE'!H26+PANJRAPOLE!H26+'ASHRAM ROAD'!H26+NARAYANNAGAR!H26+NARANPURA!H26+'DRIVE IN'!H26+'VASANA '!H26+SURAT!H26+'LAW GARDEN'!H26+'NEW CLOTH'!H26+BAPUNAGAR!H26+BOPAL!H26+THALTEJ!H26</f>
        <v>0</v>
      </c>
      <c r="I25" s="57">
        <f t="shared" si="0"/>
        <v>0</v>
      </c>
      <c r="J25" s="42"/>
      <c r="K25" s="1209"/>
      <c r="L25" s="42">
        <f t="shared" si="1"/>
        <v>0</v>
      </c>
      <c r="M25" s="595">
        <f t="shared" si="2"/>
        <v>0</v>
      </c>
    </row>
    <row r="26" spans="1:14" ht="15.75">
      <c r="A26" s="158" t="s">
        <v>34</v>
      </c>
      <c r="B26" s="70" t="s">
        <v>33</v>
      </c>
      <c r="C26" s="57">
        <f>+'ODHAV '!C26+RAKHIAL!C26+CHANGODAR!C26+'NEW SHARDA'!C26+ISANPUR!C26+MANINAGAR!C26+'SHANTI COMM'!C26+MASKATI!C26+VEJALPUR!C26+'JODHPUR-SATELLITE'!C26+PANJRAPOLE!C26+'ASHRAM ROAD'!C26+NARAYANNAGAR!C26+NARANPURA!C26+'DRIVE IN'!C26+'VASANA '!C26+SURAT!C26+'LAW GARDEN'!C26+'NEW CLOTH'!C26+BAPUNAGAR!C26+BOPAL!C26+THALTEJ!C26+CHANDKHEDA!C26+VASTRAL!C26</f>
        <v>0</v>
      </c>
      <c r="D26" s="4">
        <f t="shared" si="6"/>
        <v>0</v>
      </c>
      <c r="E26" s="4">
        <f t="shared" si="4"/>
        <v>0</v>
      </c>
      <c r="F26" s="4"/>
      <c r="G26" s="57">
        <f>+'ODHAV '!G27+RAKHIAL!G27+CHANGODAR!G28+'NEW SHARDA'!G27+ISANPUR!G27+MANINAGAR!G27+'SHANTI COMM'!G27+MASKATI!G27+VEJALPUR!G27+'JODHPUR-SATELLITE'!G27+PANJRAPOLE!G27+'ASHRAM ROAD'!G27+NARAYANNAGAR!G27+NARANPURA!G27+'DRIVE IN'!G27+'VASANA '!G27+SURAT!G27+'LAW GARDEN'!G27+'NEW CLOTH'!G27+BAPUNAGAR!G27+BOPAL!G27+THALTEJ!G27</f>
        <v>0</v>
      </c>
      <c r="H26" s="57">
        <f>+'ODHAV '!H27+RAKHIAL!H27+CHANGODAR!H28+'NEW SHARDA'!H27+ISANPUR!H27+MANINAGAR!H27+'SHANTI COMM'!H27+MASKATI!H27+VEJALPUR!H27+'JODHPUR-SATELLITE'!H27+PANJRAPOLE!H27+'ASHRAM ROAD'!H27+NARAYANNAGAR!H27+NARANPURA!H27+'DRIVE IN'!H27+'VASANA '!H27+SURAT!H27+'LAW GARDEN'!H27+'NEW CLOTH'!H27+BAPUNAGAR!H27+BOPAL!H27+THALTEJ!H27</f>
        <v>0</v>
      </c>
      <c r="I26" s="57">
        <f>+C26</f>
        <v>0</v>
      </c>
      <c r="J26" s="42">
        <v>17862.240000000002</v>
      </c>
      <c r="K26" s="1209">
        <v>17806.32</v>
      </c>
      <c r="L26" s="42">
        <f t="shared" si="1"/>
        <v>55.920000000001892</v>
      </c>
      <c r="M26" s="764">
        <f>+I26-L26</f>
        <v>-55.920000000001892</v>
      </c>
    </row>
    <row r="27" spans="1:14" ht="15.75">
      <c r="A27" s="158" t="s">
        <v>32</v>
      </c>
      <c r="B27" s="70" t="s">
        <v>31</v>
      </c>
      <c r="C27" s="57">
        <f>+'ODHAV '!C27+RAKHIAL!C27+CHANGODAR!C27+'NEW SHARDA'!C27+ISANPUR!C27+MANINAGAR!C27+'SHANTI COMM'!C27+MASKATI!C27+VEJALPUR!C27+'JODHPUR-SATELLITE'!C27+PANJRAPOLE!C27+'ASHRAM ROAD'!C27+NARAYANNAGAR!C27+NARANPURA!C27+'DRIVE IN'!C27+'VASANA '!C27+SURAT!C27+'LAW GARDEN'!C27+'NEW CLOTH'!C27+BAPUNAGAR!C27+BOPAL!C27+THALTEJ!C27+CHANDKHEDA!C27+VASTRAL!C27</f>
        <v>0</v>
      </c>
      <c r="D27" s="4">
        <f t="shared" si="6"/>
        <v>0</v>
      </c>
      <c r="E27" s="4">
        <f t="shared" si="4"/>
        <v>0</v>
      </c>
      <c r="F27" s="4">
        <f>IF(D27&gt;0," ",C27*18%)</f>
        <v>0</v>
      </c>
      <c r="G27" s="57">
        <f>+'ODHAV '!G28+RAKHIAL!G28+CHANGODAR!G29+'NEW SHARDA'!G28+ISANPUR!G28+MANINAGAR!G28+'SHANTI COMM'!G28+MASKATI!G28+VEJALPUR!G28+'JODHPUR-SATELLITE'!G28+PANJRAPOLE!G28+'ASHRAM ROAD'!G28+NARAYANNAGAR!G28+NARANPURA!G28+'DRIVE IN'!G28+'VASANA '!G28+SURAT!G28+'LAW GARDEN'!G28+'NEW CLOTH'!G28+BAPUNAGAR!G28+BOPAL!G28+THALTEJ!G28</f>
        <v>0</v>
      </c>
      <c r="H27" s="57">
        <f>+'ODHAV '!H28+RAKHIAL!H28+CHANGODAR!H29+'NEW SHARDA'!H28+ISANPUR!H28+MANINAGAR!H28+'SHANTI COMM'!H28+MASKATI!H28+VEJALPUR!H28+'JODHPUR-SATELLITE'!H28+PANJRAPOLE!H28+'ASHRAM ROAD'!H28+NARAYANNAGAR!H28+NARANPURA!H28+'DRIVE IN'!H28+'VASANA '!H28+SURAT!H28+'LAW GARDEN'!H28+'NEW CLOTH'!H28+BAPUNAGAR!H28+BOPAL!H28+THALTEJ!H28</f>
        <v>0</v>
      </c>
      <c r="I27" s="57">
        <f t="shared" si="0"/>
        <v>0</v>
      </c>
      <c r="J27" s="42"/>
      <c r="K27" s="1209"/>
      <c r="L27" s="42">
        <f t="shared" si="1"/>
        <v>0</v>
      </c>
      <c r="M27" s="764">
        <f t="shared" si="2"/>
        <v>0</v>
      </c>
    </row>
    <row r="28" spans="1:14" ht="15.75">
      <c r="A28" s="158">
        <v>3291</v>
      </c>
      <c r="B28" s="33" t="s">
        <v>325</v>
      </c>
      <c r="C28" s="57">
        <f>+'ODHAV '!C28+RAKHIAL!C28+CHANGODAR!C28+'NEW SHARDA'!C28+ISANPUR!C28+MANINAGAR!C28+'SHANTI COMM'!C28+MASKATI!C28+VEJALPUR!C28+'JODHPUR-SATELLITE'!C28+PANJRAPOLE!C28+'ASHRAM ROAD'!C28+NARAYANNAGAR!C28+NARANPURA!C28+'DRIVE IN'!C28+'VASANA '!C28+SURAT!C28+'LAW GARDEN'!C28+'NEW CLOTH'!C28+BAPUNAGAR!C28+BOPAL!C28+THALTEJ!C28+CHANDKHEDA!C28+VASTRAL!C28</f>
        <v>0</v>
      </c>
      <c r="D28" s="4">
        <f t="shared" si="6"/>
        <v>0</v>
      </c>
      <c r="E28" s="4">
        <f t="shared" si="4"/>
        <v>0</v>
      </c>
      <c r="F28" s="4"/>
      <c r="G28" s="57">
        <f>+'ODHAV '!G29+RAKHIAL!G29+CHANGODAR!G30+'NEW SHARDA'!G29+ISANPUR!G29+MANINAGAR!G29+'SHANTI COMM'!G29+MASKATI!G28+VEJALPUR!G29+'JODHPUR-SATELLITE'!G29+PANJRAPOLE!G29+'ASHRAM ROAD'!G29+NARAYANNAGAR!G29+NARANPURA!G29+'DRIVE IN'!G29+'VASANA '!G29+SURAT!G29+'LAW GARDEN'!G29+'NEW CLOTH'!G29+BAPUNAGAR!G29+BOPAL!G29+THALTEJ!G29</f>
        <v>0</v>
      </c>
      <c r="H28" s="57">
        <f>+'ODHAV '!H29+RAKHIAL!H29+CHANGODAR!H30+'NEW SHARDA'!H29+ISANPUR!H29+MANINAGAR!H29+'SHANTI COMM'!H29+MASKATI!H29+VEJALPUR!H29+'JODHPUR-SATELLITE'!H29+PANJRAPOLE!H29+'ASHRAM ROAD'!H29+NARAYANNAGAR!H29+NARANPURA!H29+'DRIVE IN'!H29+'VASANA '!H29+SURAT!H29+'LAW GARDEN'!H29+'NEW CLOTH'!H29+BAPUNAGAR!H29+BOPAL!H29+THALTEJ!H29</f>
        <v>0</v>
      </c>
      <c r="I28" s="57">
        <f t="shared" si="0"/>
        <v>0</v>
      </c>
      <c r="J28" s="42"/>
      <c r="K28" s="1209"/>
      <c r="L28" s="42">
        <f t="shared" si="1"/>
        <v>0</v>
      </c>
      <c r="M28" s="595">
        <f t="shared" si="2"/>
        <v>0</v>
      </c>
    </row>
    <row r="29" spans="1:14" ht="15.75">
      <c r="A29" s="137" t="s">
        <v>526</v>
      </c>
      <c r="B29" s="33" t="s">
        <v>523</v>
      </c>
      <c r="C29" s="57">
        <f>+'ODHAV '!C29+RAKHIAL!C29+CHANGODAR!C29+'NEW SHARDA'!C29+ISANPUR!C29+MANINAGAR!C29+'SHANTI COMM'!C29+MASKATI!C29+VEJALPUR!C29+'JODHPUR-SATELLITE'!C29+PANJRAPOLE!C29+'ASHRAM ROAD'!C29+NARAYANNAGAR!C29+NARANPURA!C29+'DRIVE IN'!C29+'VASANA '!C29+SURAT!C29+'LAW GARDEN'!C29+'NEW CLOTH'!C29+BAPUNAGAR!C29+BOPAL!C29+THALTEJ!C29+CHANDKHEDA!C29+VASTRAL!C29</f>
        <v>28718</v>
      </c>
      <c r="D29" s="4">
        <f>+C29*9%</f>
        <v>2584.62</v>
      </c>
      <c r="E29" s="4">
        <f>+D29</f>
        <v>2584.62</v>
      </c>
      <c r="F29" s="4" t="str">
        <f>IF(D29&gt;0," ",C29*18%)</f>
        <v xml:space="preserve"> </v>
      </c>
      <c r="G29" s="57">
        <f>+'ODHAV '!G30+RAKHIAL!G30+CHANGODAR!G31+'NEW SHARDA'!G30+ISANPUR!G30+MANINAGAR!G30+'SHANTI COMM'!G30+MASKATI!G29+VEJALPUR!G30+'JODHPUR-SATELLITE'!G30+PANJRAPOLE!G30+'ASHRAM ROAD'!G30+NARAYANNAGAR!G30+NARANPURA!G30+'DRIVE IN'!G30+'VASANA '!G30+SURAT!G30+'LAW GARDEN'!G30+'NEW CLOTH'!G30+BAPUNAGAR!G30+BOPAL!G30+THALTEJ!G30</f>
        <v>110</v>
      </c>
      <c r="H29" s="57">
        <f>+'ODHAV '!H30+RAKHIAL!H30+CHANGODAR!H31+'NEW SHARDA'!H30+ISANPUR!H30+MANINAGAR!H30+'SHANTI COMM'!H30+MASKATI!H30+VEJALPUR!H30+'JODHPUR-SATELLITE'!H30+PANJRAPOLE!H30+'ASHRAM ROAD'!H30+NARAYANNAGAR!H30+NARANPURA!H30+'DRIVE IN'!H30+'VASANA '!H30+SURAT!H30+'LAW GARDEN'!H30+'NEW CLOTH'!H30+BAPUNAGAR!H30+BOPAL!H30+THALTEJ!H30</f>
        <v>20</v>
      </c>
      <c r="I29" s="57">
        <f t="shared" si="0"/>
        <v>28718</v>
      </c>
      <c r="J29" s="42">
        <v>162010</v>
      </c>
      <c r="K29" s="1209">
        <v>133202.5</v>
      </c>
      <c r="L29" s="42">
        <f t="shared" si="1"/>
        <v>28807.5</v>
      </c>
      <c r="M29" s="595">
        <f>+I29-L29</f>
        <v>-89.5</v>
      </c>
    </row>
    <row r="30" spans="1:14" ht="15.75">
      <c r="A30" s="137" t="s">
        <v>527</v>
      </c>
      <c r="B30" s="33" t="s">
        <v>524</v>
      </c>
      <c r="C30" s="57">
        <f>+'ODHAV '!C30+RAKHIAL!C30+CHANGODAR!C30+'NEW SHARDA'!C30+ISANPUR!C30+MANINAGAR!C30+'SHANTI COMM'!C30+MASKATI!C30+VEJALPUR!C30+'JODHPUR-SATELLITE'!C30+PANJRAPOLE!C30+'ASHRAM ROAD'!C30+NARAYANNAGAR!C30+NARANPURA!C30+'DRIVE IN'!C30+'VASANA '!C30+SURAT!C30+'LAW GARDEN'!C30+'NEW CLOTH'!C30+BAPUNAGAR!C30+BOPAL!C30+THALTEJ!C30+CHANDKHEDA!C30+VASTRAL!C30</f>
        <v>85100</v>
      </c>
      <c r="D30" s="4">
        <f>+C30*9%</f>
        <v>7659</v>
      </c>
      <c r="E30" s="4">
        <f>+D30</f>
        <v>7659</v>
      </c>
      <c r="F30" s="4" t="str">
        <f>IF(D30&gt;0," ",C30*18%)</f>
        <v xml:space="preserve"> </v>
      </c>
      <c r="G30" s="57">
        <f>+'ODHAV '!G31+RAKHIAL!G31+CHANGODAR!G32+'NEW SHARDA'!G31+ISANPUR!G31+MANINAGAR!G31+'SHANTI COMM'!G31+MASKATI!G31+VEJALPUR!G31+'JODHPUR-SATELLITE'!G31+PANJRAPOLE!G31+'ASHRAM ROAD'!G31+NARAYANNAGAR!G31+NARANPURA!G31+'DRIVE IN'!G31+'VASANA '!G31+SURAT!G31+'LAW GARDEN'!G31+'NEW CLOTH'!G31+BAPUNAGAR!G31+BOPAL!G31+THALTEJ!G31</f>
        <v>0</v>
      </c>
      <c r="H30" s="57">
        <f>+'ODHAV '!H31+RAKHIAL!H31+CHANGODAR!H32+'NEW SHARDA'!H31+ISANPUR!H31+MANINAGAR!H31+'SHANTI COMM'!H31+MASKATI!H31+VEJALPUR!H31+'JODHPUR-SATELLITE'!H31+PANJRAPOLE!H31+'ASHRAM ROAD'!H31+NARAYANNAGAR!H31+NARANPURA!H31+'DRIVE IN'!H31+'VASANA '!H31+SURAT!H31+'LAW GARDEN'!H31+'NEW CLOTH'!H31+BAPUNAGAR!H31+BOPAL!H31+THALTEJ!H31</f>
        <v>0</v>
      </c>
      <c r="I30" s="57">
        <f t="shared" si="0"/>
        <v>85100</v>
      </c>
      <c r="J30" s="42">
        <v>252900</v>
      </c>
      <c r="K30" s="1209">
        <v>167800</v>
      </c>
      <c r="L30" s="42">
        <f t="shared" si="1"/>
        <v>85100</v>
      </c>
      <c r="M30" s="595">
        <f>+I30-L30</f>
        <v>0</v>
      </c>
    </row>
    <row r="31" spans="1:14" ht="15.75">
      <c r="A31" s="137" t="s">
        <v>528</v>
      </c>
      <c r="B31" s="33" t="s">
        <v>529</v>
      </c>
      <c r="C31" s="57">
        <f>+'ODHAV '!C31+RAKHIAL!C31+CHANGODAR!C31+'NEW SHARDA'!C31+ISANPUR!C31+MANINAGAR!C31+'SHANTI COMM'!C31+MASKATI!C31+VEJALPUR!C31+'JODHPUR-SATELLITE'!C31+PANJRAPOLE!C31+'ASHRAM ROAD'!C31+NARAYANNAGAR!C31+NARANPURA!C31+'DRIVE IN'!C31+'VASANA '!C31+SURAT!C31+'LAW GARDEN'!C31+'NEW CLOTH'!C31+BAPUNAGAR!C31+BOPAL!C31+THALTEJ!C31+CHANDKHEDA!C31+VASTRAL!C31</f>
        <v>9600</v>
      </c>
      <c r="D31" s="4">
        <f>+C31*9%</f>
        <v>864</v>
      </c>
      <c r="E31" s="4">
        <f>+D31</f>
        <v>864</v>
      </c>
      <c r="F31" s="4" t="str">
        <f>IF(D31&gt;0," ",C31*18%)</f>
        <v xml:space="preserve"> </v>
      </c>
      <c r="G31" s="57">
        <f>+'ODHAV '!G32+RAKHIAL!G32+CHANGODAR!G33+'NEW SHARDA'!G32+ISANPUR!G32+MANINAGAR!G32+'SHANTI COMM'!G32+MASKATI!G32+VEJALPUR!G32+'JODHPUR-SATELLITE'!G32+PANJRAPOLE!G32+'ASHRAM ROAD'!G32+NARAYANNAGAR!G32+NARANPURA!G32+'DRIVE IN'!G32+'VASANA '!G32+SURAT!G32+'LAW GARDEN'!G32+'NEW CLOTH'!G32+BAPUNAGAR!G32+BOPAL!G32+THALTEJ!G32</f>
        <v>0</v>
      </c>
      <c r="H31" s="57">
        <f>+'ODHAV '!H32+RAKHIAL!H32+CHANGODAR!H33+'NEW SHARDA'!H32+ISANPUR!H32+MANINAGAR!H32+'SHANTI COMM'!H32+MASKATI!H32+VEJALPUR!H32+'JODHPUR-SATELLITE'!H32+PANJRAPOLE!H32+'ASHRAM ROAD'!H32+NARAYANNAGAR!H32+NARANPURA!H32+'DRIVE IN'!H32+'VASANA '!H32+SURAT!H32+'LAW GARDEN'!H32+'NEW CLOTH'!H32+BAPUNAGAR!H32+BOPAL!H32+THALTEJ!H32</f>
        <v>0</v>
      </c>
      <c r="I31" s="57">
        <f t="shared" si="0"/>
        <v>9600</v>
      </c>
      <c r="J31" s="42">
        <v>72450</v>
      </c>
      <c r="K31" s="1209">
        <v>62850</v>
      </c>
      <c r="L31" s="42">
        <f t="shared" si="1"/>
        <v>9600</v>
      </c>
      <c r="M31" s="595">
        <f>+I31-L31</f>
        <v>0</v>
      </c>
    </row>
    <row r="32" spans="1:14" ht="15.75">
      <c r="A32" s="137" t="s">
        <v>531</v>
      </c>
      <c r="B32" s="33" t="s">
        <v>532</v>
      </c>
      <c r="C32" s="57">
        <f>+'ODHAV '!C32+RAKHIAL!C32+CHANGODAR!C32+'NEW SHARDA'!C32+ISANPUR!C32+MANINAGAR!C32+'SHANTI COMM'!C32+MASKATI!C32+VEJALPUR!C32+'JODHPUR-SATELLITE'!C32+PANJRAPOLE!C32+'ASHRAM ROAD'!C32+NARAYANNAGAR!C32+NARANPURA!C32+'DRIVE IN'!C32+'VASANA '!C32+SURAT!C32+'LAW GARDEN'!C32+'NEW CLOTH'!C32+BAPUNAGAR!C32+BOPAL!C32+THALTEJ!C32+CHANDKHEDA!C32+VASTRAL!C32</f>
        <v>150</v>
      </c>
      <c r="D32" s="4">
        <f>+C32*9%</f>
        <v>13.5</v>
      </c>
      <c r="E32" s="4">
        <f>+D32</f>
        <v>13.5</v>
      </c>
      <c r="F32" s="4" t="str">
        <f>IF(D32&gt;0," ",C32*18%)</f>
        <v xml:space="preserve"> </v>
      </c>
      <c r="G32" s="57">
        <f>+'ODHAV '!G33+RAKHIAL!G33+CHANGODAR!G34+'NEW SHARDA'!G33+ISANPUR!G33+MANINAGAR!G33+'SHANTI COMM'!G33+MASKATI!G33+VEJALPUR!G33+'JODHPUR-SATELLITE'!G33+PANJRAPOLE!G33+'ASHRAM ROAD'!G33+NARAYANNAGAR!G33+NARANPURA!G33+'DRIVE IN'!G33+'VASANA '!G33+SURAT!G33+'LAW GARDEN'!G33+'NEW CLOTH'!G33+BAPUNAGAR!G33+BOPAL!G33+THALTEJ!G33</f>
        <v>0</v>
      </c>
      <c r="H32" s="57">
        <f>+'ODHAV '!H33+RAKHIAL!H33+CHANGODAR!H34+'NEW SHARDA'!H33+ISANPUR!H33+MANINAGAR!H33+'SHANTI COMM'!H33+MASKATI!H33+VEJALPUR!H33+'JODHPUR-SATELLITE'!H33+PANJRAPOLE!H33+'ASHRAM ROAD'!H33+NARAYANNAGAR!H33+NARANPURA!H33+'DRIVE IN'!H33+'VASANA '!H33+SURAT!H33+'LAW GARDEN'!H33+'NEW CLOTH'!H33+BAPUNAGAR!H33+BOPAL!H33+THALTEJ!H33</f>
        <v>0</v>
      </c>
      <c r="I32" s="57">
        <f t="shared" si="0"/>
        <v>150</v>
      </c>
      <c r="J32" s="42">
        <v>1350</v>
      </c>
      <c r="K32" s="1209">
        <v>1200</v>
      </c>
      <c r="L32" s="42">
        <f t="shared" si="1"/>
        <v>150</v>
      </c>
      <c r="M32" s="595">
        <f>+I32-L32</f>
        <v>0</v>
      </c>
    </row>
    <row r="33" spans="1:14" ht="15.75">
      <c r="A33" s="160" t="s">
        <v>30</v>
      </c>
      <c r="B33" s="70" t="s">
        <v>29</v>
      </c>
      <c r="C33" s="57">
        <f>+'ODHAV '!C33+RAKHIAL!C33+CHANGODAR!C33+'NEW SHARDA'!C33+ISANPUR!C33+MANINAGAR!C33+'SHANTI COMM'!C33+MASKATI!C33+VEJALPUR!C33+'JODHPUR-SATELLITE'!C33+PANJRAPOLE!C33+'ASHRAM ROAD'!C33+NARAYANNAGAR!C33+NARANPURA!C33+'DRIVE IN'!C33+'VASANA '!C33+SURAT!C33+'LAW GARDEN'!C33+'NEW CLOTH'!C33+BAPUNAGAR!C33+BOPAL!C33+THALTEJ!C33+CHANDKHEDA!C33+VASTRAL!C33</f>
        <v>3140340.34</v>
      </c>
      <c r="D33" s="4">
        <f t="shared" si="6"/>
        <v>282630.63059999997</v>
      </c>
      <c r="E33" s="4">
        <f t="shared" si="4"/>
        <v>282630.63059999997</v>
      </c>
      <c r="F33" s="4"/>
      <c r="G33" s="57">
        <f>+'ODHAV '!G34+RAKHIAL!G34+CHANGODAR!G35+'NEW SHARDA'!G34+ISANPUR!G34+MANINAGAR!G34+'SHANTI COMM'!G34+MASKATI!G34+VEJALPUR!G34+'JODHPUR-SATELLITE'!G34+PANJRAPOLE!G34+'ASHRAM ROAD'!G34+NARAYANNAGAR!G34+NARANPURA!G34+'DRIVE IN'!G34+'VASANA '!G34+SURAT!G34+'LAW GARDEN'!G34+'NEW CLOTH'!G34+BAPUNAGAR!G34+BOPAL!G34+THALTEJ!G34</f>
        <v>0</v>
      </c>
      <c r="H33" s="57">
        <f>+'ODHAV '!H34+RAKHIAL!H34+CHANGODAR!H35+'NEW SHARDA'!H34+ISANPUR!H34+MANINAGAR!H34+'SHANTI COMM'!H34+MASKATI!H34+VEJALPUR!H34+'JODHPUR-SATELLITE'!H34+PANJRAPOLE!H34+'ASHRAM ROAD'!H34+NARAYANNAGAR!H34+NARANPURA!H34+'DRIVE IN'!H34+'VASANA '!H34+SURAT!H34+'LAW GARDEN'!H34+'NEW CLOTH'!H34+BAPUNAGAR!H34+BOPAL!H34+THALTEJ!H34</f>
        <v>0</v>
      </c>
      <c r="I33" s="57">
        <f t="shared" si="0"/>
        <v>3140340.34</v>
      </c>
      <c r="J33" s="1209">
        <v>3237607.84</v>
      </c>
      <c r="K33" s="1209">
        <v>97267.1</v>
      </c>
      <c r="L33" s="42">
        <f t="shared" si="1"/>
        <v>3140340.7399999998</v>
      </c>
      <c r="M33" s="595">
        <f t="shared" si="2"/>
        <v>-0.39999999990686774</v>
      </c>
      <c r="N33" s="1" t="s">
        <v>5</v>
      </c>
    </row>
    <row r="34" spans="1:14" ht="15.75">
      <c r="A34" s="160">
        <v>3301</v>
      </c>
      <c r="B34" s="70" t="s">
        <v>154</v>
      </c>
      <c r="C34" s="57">
        <f>+'ODHAV '!C34+RAKHIAL!C34+CHANGODAR!C34+'NEW SHARDA'!C34+ISANPUR!C34+MANINAGAR!C34+'SHANTI COMM'!C34+MASKATI!C34+VEJALPUR!C34+'JODHPUR-SATELLITE'!C34+PANJRAPOLE!C34+'ASHRAM ROAD'!C34+NARAYANNAGAR!C34+NARANPURA!C34+'DRIVE IN'!C34+'VASANA '!C34+SURAT!C34+'LAW GARDEN'!C34+'NEW CLOTH'!C34+BAPUNAGAR!C34+BOPAL!C34+THALTEJ!C34+CHANDKHEDA!C34+VASTRAL!C34</f>
        <v>0</v>
      </c>
      <c r="D34" s="4">
        <f>+C34*9%</f>
        <v>0</v>
      </c>
      <c r="E34" s="4">
        <f>+D34</f>
        <v>0</v>
      </c>
      <c r="F34" s="4"/>
      <c r="G34" s="57">
        <f>+'ODHAV '!G35+RAKHIAL!G35+CHANGODAR!G36+'NEW SHARDA'!G35+ISANPUR!G35+MANINAGAR!G35+'SHANTI COMM'!G35+MASKATI!G35+VEJALPUR!G35+'JODHPUR-SATELLITE'!G35+PANJRAPOLE!G35+'ASHRAM ROAD'!G35+NARAYANNAGAR!G35+NARANPURA!G35+'DRIVE IN'!G35+'VASANA '!G35+SURAT!G35+'LAW GARDEN'!G35+'NEW CLOTH'!G35+BAPUNAGAR!G35+BOPAL!G35+THALTEJ!G35</f>
        <v>0</v>
      </c>
      <c r="H34" s="57">
        <f>+'ODHAV '!H35+RAKHIAL!H35+CHANGODAR!H36+'NEW SHARDA'!H35+ISANPUR!H35+MANINAGAR!H35+'SHANTI COMM'!H35+MASKATI!H35+VEJALPUR!H35+'JODHPUR-SATELLITE'!H35+PANJRAPOLE!H35+'ASHRAM ROAD'!H35+NARAYANNAGAR!H35+NARANPURA!H35+'DRIVE IN'!H35+'VASANA '!H35+SURAT!H35+'LAW GARDEN'!H35+'NEW CLOTH'!H35+BAPUNAGAR!H35+BOPAL!H35+THALTEJ!H35</f>
        <v>0</v>
      </c>
      <c r="I34" s="57">
        <f t="shared" si="0"/>
        <v>0</v>
      </c>
      <c r="J34" s="42"/>
      <c r="K34" s="1209"/>
      <c r="L34" s="42">
        <f t="shared" si="1"/>
        <v>0</v>
      </c>
      <c r="M34" s="595">
        <f t="shared" si="2"/>
        <v>0</v>
      </c>
    </row>
    <row r="35" spans="1:14" ht="15.75">
      <c r="A35" s="160">
        <v>3302</v>
      </c>
      <c r="B35" s="70" t="s">
        <v>525</v>
      </c>
      <c r="C35" s="57">
        <f>+'ODHAV '!C35+RAKHIAL!C35+CHANGODAR!C35+'NEW SHARDA'!C35+ISANPUR!C35+MANINAGAR!C35+'SHANTI COMM'!C35+MASKATI!C35+VEJALPUR!C35+'JODHPUR-SATELLITE'!C35+PANJRAPOLE!C35+'ASHRAM ROAD'!C35+NARAYANNAGAR!C35+NARANPURA!C35+'DRIVE IN'!C35+'VASANA '!C35+SURAT!C35+'LAW GARDEN'!C35+'NEW CLOTH'!C35+BAPUNAGAR!C35+BOPAL!C35+THALTEJ!C35+CHANDKHEDA!C35+VASTRAL!C35</f>
        <v>0</v>
      </c>
      <c r="D35" s="4">
        <f>+C35*9%</f>
        <v>0</v>
      </c>
      <c r="E35" s="4">
        <f>+D35</f>
        <v>0</v>
      </c>
      <c r="F35" s="57">
        <f>+'ODHAV '!F35</f>
        <v>0</v>
      </c>
      <c r="G35" s="57">
        <f>+'ODHAV '!G36+RAKHIAL!G36+CHANGODAR!G37+'NEW SHARDA'!G36+ISANPUR!G36+MANINAGAR!G36+'SHANTI COMM'!G36+MASKATI!G36+VEJALPUR!G36+'JODHPUR-SATELLITE'!G36+PANJRAPOLE!G36+'ASHRAM ROAD'!G36+NARAYANNAGAR!G36+NARANPURA!G36+'DRIVE IN'!G36+'VASANA '!G36+SURAT!G36+'LAW GARDEN'!G36+'NEW CLOTH'!G36+BAPUNAGAR!G36+BOPAL!G36+THALTEJ!G36</f>
        <v>0</v>
      </c>
      <c r="H35" s="57">
        <f>+'ODHAV '!H36+RAKHIAL!H36+CHANGODAR!H37+'NEW SHARDA'!H36+ISANPUR!H36+MANINAGAR!H36+'SHANTI COMM'!H36+MASKATI!H36+VEJALPUR!H36+'JODHPUR-SATELLITE'!H36+PANJRAPOLE!H36+'ASHRAM ROAD'!H36+NARAYANNAGAR!H36+NARANPURA!H36+'DRIVE IN'!H36+'VASANA '!H36+SURAT!H36+'LAW GARDEN'!H36+'NEW CLOTH'!H36+BAPUNAGAR!H36+BOPAL!H36+THALTEJ!H36</f>
        <v>0</v>
      </c>
      <c r="I35" s="57">
        <f t="shared" si="0"/>
        <v>0</v>
      </c>
      <c r="J35" s="42">
        <v>160</v>
      </c>
      <c r="K35" s="1209">
        <v>160</v>
      </c>
      <c r="L35" s="42">
        <f t="shared" si="1"/>
        <v>0</v>
      </c>
      <c r="M35" s="752">
        <f>+I35-L35</f>
        <v>0</v>
      </c>
    </row>
    <row r="36" spans="1:14" ht="15.75">
      <c r="A36" s="161" t="s">
        <v>28</v>
      </c>
      <c r="B36" s="70" t="s">
        <v>27</v>
      </c>
      <c r="C36" s="57">
        <f>+'ODHAV '!C36+RAKHIAL!C36+CHANGODAR!C36+'NEW SHARDA'!C36+ISANPUR!C36+MANINAGAR!C36+'SHANTI COMM'!C36+MASKATI!C36+VEJALPUR!C36+'JODHPUR-SATELLITE'!C36+PANJRAPOLE!C36+'ASHRAM ROAD'!C36+NARAYANNAGAR!C36+NARANPURA!C36+'DRIVE IN'!C36+'VASANA '!C36+SURAT!C36+'LAW GARDEN'!C36+'NEW CLOTH'!C36+BAPUNAGAR!C36+BOPAL!C36+THALTEJ!C36+CHANDKHEDA!C36+VASTRAL!C36</f>
        <v>0</v>
      </c>
      <c r="D36" s="4">
        <f t="shared" si="6"/>
        <v>0</v>
      </c>
      <c r="E36" s="4">
        <f t="shared" si="4"/>
        <v>0</v>
      </c>
      <c r="F36" s="4">
        <f>IF(D36&gt;0," ",C36*18%)</f>
        <v>0</v>
      </c>
      <c r="G36" s="57">
        <f>+'ODHAV '!G37+RAKHIAL!G37+CHANGODAR!G38+'NEW SHARDA'!G37+ISANPUR!G37+MANINAGAR!G37+'SHANTI COMM'!G37+MASKATI!G37+VEJALPUR!G37+'JODHPUR-SATELLITE'!G37+PANJRAPOLE!G37+'ASHRAM ROAD'!G37+NARAYANNAGAR!G37+NARANPURA!G37+'DRIVE IN'!G37+'VASANA '!G37+SURAT!G37+'LAW GARDEN'!G37+'NEW CLOTH'!G37+BAPUNAGAR!G37+BOPAL!G37+THALTEJ!G37</f>
        <v>0</v>
      </c>
      <c r="H36" s="57">
        <f>+'ODHAV '!H37+RAKHIAL!H37+CHANGODAR!H38+'NEW SHARDA'!H37+ISANPUR!H37+MANINAGAR!H37+'SHANTI COMM'!H37+MASKATI!H37+VEJALPUR!H37+'JODHPUR-SATELLITE'!H37+PANJRAPOLE!H37+'ASHRAM ROAD'!H37+NARAYANNAGAR!H37+NARANPURA!H37+'DRIVE IN'!H37+'VASANA '!H37+SURAT!H37+'LAW GARDEN'!H37+'NEW CLOTH'!H37+BAPUNAGAR!H37+BOPAL!H37+THALTEJ!H37</f>
        <v>0</v>
      </c>
      <c r="I36" s="57">
        <f t="shared" si="0"/>
        <v>0</v>
      </c>
      <c r="J36" s="42">
        <v>27677</v>
      </c>
      <c r="K36" s="1209">
        <v>22195</v>
      </c>
      <c r="L36" s="42">
        <f t="shared" si="1"/>
        <v>5482</v>
      </c>
      <c r="M36" s="678">
        <f>+I36-L36</f>
        <v>-5482</v>
      </c>
    </row>
    <row r="37" spans="1:14" ht="15.75">
      <c r="A37" s="158" t="s">
        <v>114</v>
      </c>
      <c r="B37" s="70" t="s">
        <v>115</v>
      </c>
      <c r="C37" s="57">
        <f>+'ODHAV '!C37+RAKHIAL!C37+CHANGODAR!C37+'NEW SHARDA'!C37+ISANPUR!C37+MANINAGAR!C37+'SHANTI COMM'!C37+MASKATI!C37+VEJALPUR!C37+'JODHPUR-SATELLITE'!C37+PANJRAPOLE!C37+'ASHRAM ROAD'!C37+NARAYANNAGAR!C37+NARANPURA!C37+'DRIVE IN'!C37+'VASANA '!C37+SURAT!C37+'LAW GARDEN'!C37+'NEW CLOTH'!C37+BAPUNAGAR!C37+BOPAL!C37+THALTEJ!C37+CHANDKHEDA!C37+VASTRAL!C37</f>
        <v>735</v>
      </c>
      <c r="D37" s="4">
        <f t="shared" si="6"/>
        <v>66.149999999999991</v>
      </c>
      <c r="E37" s="4">
        <f t="shared" si="4"/>
        <v>66.149999999999991</v>
      </c>
      <c r="F37" s="4" t="str">
        <f>IF(D37&gt;0," ",C37*18%)</f>
        <v xml:space="preserve"> </v>
      </c>
      <c r="G37" s="57">
        <f>+'ODHAV '!G38+RAKHIAL!G38+CHANGODAR!G39+'NEW SHARDA'!G38+ISANPUR!G38+MANINAGAR!G38+'SHANTI COMM'!G38+MASKATI!G38+VEJALPUR!G38+'JODHPUR-SATELLITE'!G38+PANJRAPOLE!G38+'ASHRAM ROAD'!G38+NARAYANNAGAR!G38+NARANPURA!G38+'DRIVE IN'!G38+'VASANA '!G38+SURAT!G38+'LAW GARDEN'!G38+'NEW CLOTH'!G38+BAPUNAGAR!G38+BOPAL!G38+THALTEJ!G38</f>
        <v>0</v>
      </c>
      <c r="H37" s="57">
        <f>+'ODHAV '!H38+RAKHIAL!H38+CHANGODAR!H39+'NEW SHARDA'!H38+ISANPUR!H38+MANINAGAR!H38+'SHANTI COMM'!H38+MASKATI!H38+VEJALPUR!H38+'JODHPUR-SATELLITE'!H38+PANJRAPOLE!H38+'ASHRAM ROAD'!H38+NARAYANNAGAR!H38+NARANPURA!H38+'DRIVE IN'!H38+'VASANA '!H38+SURAT!H38+'LAW GARDEN'!H38+'NEW CLOTH'!H38+BAPUNAGAR!H38+BOPAL!H38+THALTEJ!H38</f>
        <v>0</v>
      </c>
      <c r="I37" s="57">
        <f>+C37</f>
        <v>735</v>
      </c>
      <c r="J37" s="42">
        <v>147676.5</v>
      </c>
      <c r="K37" s="1209">
        <v>123909.75</v>
      </c>
      <c r="L37" s="42">
        <f t="shared" si="1"/>
        <v>23766.75</v>
      </c>
      <c r="M37" s="678">
        <f>+I37-L37</f>
        <v>-23031.75</v>
      </c>
    </row>
    <row r="38" spans="1:14" ht="15.75">
      <c r="A38" s="160">
        <v>3310</v>
      </c>
      <c r="B38" s="70" t="s">
        <v>25</v>
      </c>
      <c r="C38" s="57">
        <f>+'ODHAV '!C38+RAKHIAL!C38+CHANGODAR!C38+'NEW SHARDA'!C38+ISANPUR!C38+MANINAGAR!C38+'SHANTI COMM'!C38+MASKATI!C38+VEJALPUR!C38+'JODHPUR-SATELLITE'!C38+PANJRAPOLE!C38+'ASHRAM ROAD'!C38+NARAYANNAGAR!C38+NARANPURA!C38+'DRIVE IN'!C38+'VASANA '!C38+SURAT!C38+'LAW GARDEN'!C38+'NEW CLOTH'!C38+BAPUNAGAR!C38+BOPAL!C38+THALTEJ!C38+CHANDKHEDA!C38+VASTRAL!C38</f>
        <v>39748.18</v>
      </c>
      <c r="D38" s="4">
        <f t="shared" si="6"/>
        <v>3577.3361999999997</v>
      </c>
      <c r="E38" s="4">
        <f t="shared" si="4"/>
        <v>3577.3361999999997</v>
      </c>
      <c r="F38" s="4">
        <v>0</v>
      </c>
      <c r="G38" s="57">
        <f>+'ODHAV '!G39+RAKHIAL!G39+CHANGODAR!G40+'NEW SHARDA'!G39+ISANPUR!G39+MANINAGAR!G39+'SHANTI COMM'!G39+MASKATI!G39+VEJALPUR!G39+'JODHPUR-SATELLITE'!G39+PANJRAPOLE!G39+'ASHRAM ROAD'!G39+NARAYANNAGAR!G39+NARANPURA!G39+'DRIVE IN'!G39+'VASANA '!G39+SURAT!G39+'LAW GARDEN'!G39+'NEW CLOTH'!G39+BAPUNAGAR!G39+BOPAL!G39+THALTEJ!G39</f>
        <v>0</v>
      </c>
      <c r="H38" s="57">
        <f>+'ODHAV '!H39+RAKHIAL!H39+CHANGODAR!H40+'NEW SHARDA'!H39+ISANPUR!H39+MANINAGAR!H39+'SHANTI COMM'!H39+MASKATI!H39+VEJALPUR!H39+'JODHPUR-SATELLITE'!H39+PANJRAPOLE!H39+'ASHRAM ROAD'!H39+NARAYANNAGAR!H39+NARANPURA!H39+'DRIVE IN'!H39+'VASANA '!H39+SURAT!H39+'LAW GARDEN'!H39+'NEW CLOTH'!H39+BAPUNAGAR!H39+BOPAL!H39+THALTEJ!H39</f>
        <v>0</v>
      </c>
      <c r="I38" s="57">
        <f>+C38</f>
        <v>39748.18</v>
      </c>
      <c r="J38" s="42">
        <v>771281.72</v>
      </c>
      <c r="K38" s="1209">
        <v>731286.41</v>
      </c>
      <c r="L38" s="42">
        <f t="shared" si="1"/>
        <v>39995.309999999939</v>
      </c>
      <c r="M38" s="678">
        <f>+I38-L38</f>
        <v>-247.12999999993917</v>
      </c>
    </row>
    <row r="39" spans="1:14" ht="15.75">
      <c r="A39" s="160" t="s">
        <v>24</v>
      </c>
      <c r="B39" s="70" t="s">
        <v>23</v>
      </c>
      <c r="C39" s="57">
        <f>+'ODHAV '!C39+RAKHIAL!C39+CHANGODAR!C39+'NEW SHARDA'!C39+ISANPUR!C39+MANINAGAR!C39+'SHANTI COMM'!C39+MASKATI!C39+VEJALPUR!C39+'JODHPUR-SATELLITE'!C39+PANJRAPOLE!C39+'ASHRAM ROAD'!C39+NARAYANNAGAR!C39+NARANPURA!C39+'DRIVE IN'!C39+'VASANA '!C39+SURAT!C39+'LAW GARDEN'!C39+'NEW CLOTH'!C39+BAPUNAGAR!C39+BOPAL!C39+THALTEJ!C39+CHANDKHEDA!C39+VASTRAL!C39</f>
        <v>69150</v>
      </c>
      <c r="D39" s="4">
        <f t="shared" si="6"/>
        <v>6223.5</v>
      </c>
      <c r="E39" s="4">
        <f t="shared" si="4"/>
        <v>6223.5</v>
      </c>
      <c r="F39" s="4">
        <v>0</v>
      </c>
      <c r="G39" s="57">
        <f>+'ODHAV '!G40+RAKHIAL!G40+CHANGODAR!G41+'NEW SHARDA'!G40+ISANPUR!G40+MANINAGAR!G40+'SHANTI COMM'!G40+MASKATI!G40+VEJALPUR!G40+'JODHPUR-SATELLITE'!G40+PANJRAPOLE!G40+'ASHRAM ROAD'!G40+NARAYANNAGAR!G40+NARANPURA!G40+'DRIVE IN'!G40+'VASANA '!G40+SURAT!G40+'LAW GARDEN'!G40+'NEW CLOTH'!G40+BAPUNAGAR!G40+BOPAL!G40+THALTEJ!G40</f>
        <v>0</v>
      </c>
      <c r="H39" s="57">
        <f>+'ODHAV '!H40+RAKHIAL!H40+CHANGODAR!H41+'NEW SHARDA'!H40+ISANPUR!H40+MANINAGAR!H40+'SHANTI COMM'!H40+MASKATI!H40+VEJALPUR!H40+'JODHPUR-SATELLITE'!H40+PANJRAPOLE!H40+'ASHRAM ROAD'!H40+NARAYANNAGAR!H40+NARANPURA!H40+'DRIVE IN'!H40+'VASANA '!H40+SURAT!H40+'LAW GARDEN'!H40+'NEW CLOTH'!H40+BAPUNAGAR!H40+BOPAL!H40+THALTEJ!H40</f>
        <v>0</v>
      </c>
      <c r="I39" s="57">
        <f t="shared" si="0"/>
        <v>69150</v>
      </c>
      <c r="J39" s="42">
        <v>395300</v>
      </c>
      <c r="K39" s="1209">
        <v>326150</v>
      </c>
      <c r="L39" s="42">
        <f t="shared" si="1"/>
        <v>69150</v>
      </c>
      <c r="M39" s="595">
        <f t="shared" si="2"/>
        <v>0</v>
      </c>
    </row>
    <row r="40" spans="1:14" ht="15.75">
      <c r="A40" s="160" t="s">
        <v>22</v>
      </c>
      <c r="B40" s="70" t="s">
        <v>21</v>
      </c>
      <c r="C40" s="57">
        <f>+'ODHAV '!C40+RAKHIAL!C40+CHANGODAR!C40+'NEW SHARDA'!C40+ISANPUR!C40+MANINAGAR!C40+'SHANTI COMM'!C40+MASKATI!C40+VEJALPUR!C40+'JODHPUR-SATELLITE'!C40+PANJRAPOLE!C40+'ASHRAM ROAD'!C40+NARAYANNAGAR!C40+NARANPURA!C40+'DRIVE IN'!C40+'VASANA '!C40+SURAT!C40+'LAW GARDEN'!C40+'NEW CLOTH'!C40+BAPUNAGAR!C40+BOPAL!C40+THALTEJ!C40+CHANDKHEDA!C40+VASTRAL!C40</f>
        <v>162250</v>
      </c>
      <c r="D40" s="4">
        <f t="shared" si="6"/>
        <v>14602.5</v>
      </c>
      <c r="E40" s="4">
        <f t="shared" si="4"/>
        <v>14602.5</v>
      </c>
      <c r="F40" s="4">
        <v>0</v>
      </c>
      <c r="G40" s="57">
        <f>+'ODHAV '!G41+RAKHIAL!G41+CHANGODAR!G42+'NEW SHARDA'!G41+ISANPUR!G41+MANINAGAR!G41+'SHANTI COMM'!G41+MASKATI!G41+VEJALPUR!G41+'JODHPUR-SATELLITE'!G41+PANJRAPOLE!G41+'ASHRAM ROAD'!G41+NARAYANNAGAR!G41+NARANPURA!G41+'DRIVE IN'!G41+'VASANA '!G41+SURAT!G41+'LAW GARDEN'!G41+'NEW CLOTH'!G41+BAPUNAGAR!G41+BOPAL!G41+THALTEJ!G41</f>
        <v>0</v>
      </c>
      <c r="H40" s="57">
        <f>+'ODHAV '!H41+RAKHIAL!H41+CHANGODAR!H42+'NEW SHARDA'!H41+ISANPUR!H41+MANINAGAR!H41+'SHANTI COMM'!H41+MASKATI!H41+VEJALPUR!H41+'JODHPUR-SATELLITE'!H41+PANJRAPOLE!H41+'ASHRAM ROAD'!H41+NARAYANNAGAR!H41+NARANPURA!H41+'DRIVE IN'!H41+'VASANA '!H41+SURAT!H41+'LAW GARDEN'!H41+'NEW CLOTH'!H41+BAPUNAGAR!H41+BOPAL!H41+THALTEJ!H41</f>
        <v>0</v>
      </c>
      <c r="I40" s="57">
        <f>+C40</f>
        <v>162250</v>
      </c>
      <c r="J40" s="42">
        <v>802800</v>
      </c>
      <c r="K40" s="1209">
        <v>640550</v>
      </c>
      <c r="L40" s="42">
        <f t="shared" si="1"/>
        <v>162250</v>
      </c>
      <c r="M40" s="595">
        <f t="shared" si="2"/>
        <v>0</v>
      </c>
    </row>
    <row r="41" spans="1:14" ht="15.75">
      <c r="A41" s="160" t="s">
        <v>20</v>
      </c>
      <c r="B41" s="70" t="s">
        <v>19</v>
      </c>
      <c r="C41" s="57">
        <f>+'ODHAV '!C41+RAKHIAL!C41+CHANGODAR!C41+'NEW SHARDA'!C41+ISANPUR!C41+MANINAGAR!C41+'SHANTI COMM'!C41+MASKATI!C41+VEJALPUR!C41+'JODHPUR-SATELLITE'!C41+PANJRAPOLE!C41+'ASHRAM ROAD'!C41+NARAYANNAGAR!C41+NARANPURA!C41+'DRIVE IN'!C41+'VASANA '!C41+SURAT!C41+'LAW GARDEN'!C41+'NEW CLOTH'!C41+BAPUNAGAR!C41+BOPAL!C41+THALTEJ!C41+CHANDKHEDA!C41+VASTRAL!C41</f>
        <v>115853.35000000002</v>
      </c>
      <c r="D41" s="4">
        <f t="shared" si="6"/>
        <v>10426.801500000001</v>
      </c>
      <c r="E41" s="4">
        <f t="shared" si="4"/>
        <v>10426.801500000001</v>
      </c>
      <c r="F41" s="4">
        <v>0</v>
      </c>
      <c r="G41" s="57">
        <f>+'ODHAV '!G42+RAKHIAL!G42+CHANGODAR!G43+'NEW SHARDA'!G42+ISANPUR!G42+MANINAGAR!G42+'SHANTI COMM'!G42+MASKATI!G42+VEJALPUR!G42+'JODHPUR-SATELLITE'!G42+PANJRAPOLE!G42+'ASHRAM ROAD'!G42+NARAYANNAGAR!G42+NARANPURA!G42+'DRIVE IN'!G42+'VASANA '!G42+SURAT!G42+'LAW GARDEN'!G42+'NEW CLOTH'!G42+BAPUNAGAR!G42+BOPAL!G42+THALTEJ!G42</f>
        <v>0</v>
      </c>
      <c r="H41" s="57">
        <f>+'ODHAV '!H42+RAKHIAL!H42+CHANGODAR!H43+'NEW SHARDA'!H42+ISANPUR!H42+MANINAGAR!H42+'SHANTI COMM'!H42+MASKATI!H42+VEJALPUR!H42+'JODHPUR-SATELLITE'!H42+PANJRAPOLE!H42+'ASHRAM ROAD'!H42+NARAYANNAGAR!H42+NARANPURA!H42+'DRIVE IN'!H42+'VASANA '!H42+SURAT!H42+'LAW GARDEN'!H42+'NEW CLOTH'!H42+BAPUNAGAR!H42+BOPAL!H42+THALTEJ!H42</f>
        <v>0</v>
      </c>
      <c r="I41" s="57">
        <f t="shared" si="0"/>
        <v>115853.35000000002</v>
      </c>
      <c r="J41" s="42">
        <v>697087.78</v>
      </c>
      <c r="K41" s="1209">
        <v>581234.43000000005</v>
      </c>
      <c r="L41" s="42">
        <f t="shared" si="1"/>
        <v>115853.34999999998</v>
      </c>
      <c r="M41" s="595">
        <f t="shared" si="2"/>
        <v>0</v>
      </c>
    </row>
    <row r="42" spans="1:14" ht="15.75">
      <c r="A42" s="161" t="s">
        <v>18</v>
      </c>
      <c r="B42" s="70" t="s">
        <v>17</v>
      </c>
      <c r="C42" s="57">
        <f>+'ODHAV '!C42+RAKHIAL!C42+CHANGODAR!C42+'NEW SHARDA'!C42+ISANPUR!C42+MANINAGAR!C42+'SHANTI COMM'!C42+MASKATI!C42+VEJALPUR!C42+'JODHPUR-SATELLITE'!C42+PANJRAPOLE!C42+'ASHRAM ROAD'!C42+NARAYANNAGAR!C42+NARANPURA!C42+'DRIVE IN'!C42+'VASANA '!C42+SURAT!C42+'LAW GARDEN'!C42+'NEW CLOTH'!C42+BAPUNAGAR!C42+BOPAL!C42+THALTEJ!C42+CHANDKHEDA!C42+VASTRAL!C42</f>
        <v>141540</v>
      </c>
      <c r="D42" s="4">
        <f t="shared" si="6"/>
        <v>12738.6</v>
      </c>
      <c r="E42" s="4">
        <f t="shared" si="4"/>
        <v>12738.6</v>
      </c>
      <c r="F42" s="4">
        <v>0</v>
      </c>
      <c r="G42" s="57">
        <f>+'ODHAV '!G43+RAKHIAL!G43+CHANGODAR!G44+'NEW SHARDA'!G43+ISANPUR!G43+MANINAGAR!G43+'SHANTI COMM'!G43+MASKATI!G43+VEJALPUR!G43+'JODHPUR-SATELLITE'!G43+PANJRAPOLE!G43+'ASHRAM ROAD'!G43+NARAYANNAGAR!G43+NARANPURA!G43+'DRIVE IN'!G43+'VASANA '!G43+SURAT!G43+'LAW GARDEN'!G43+'NEW CLOTH'!G43+BAPUNAGAR!G43+BOPAL!G43+THALTEJ!G43</f>
        <v>0</v>
      </c>
      <c r="H42" s="57">
        <f>+'ODHAV '!H43+RAKHIAL!H43+CHANGODAR!H44+'NEW SHARDA'!H43+ISANPUR!H43+MANINAGAR!H43+'SHANTI COMM'!H43+MASKATI!H43+VEJALPUR!H43+'JODHPUR-SATELLITE'!H43+PANJRAPOLE!H43+'ASHRAM ROAD'!H43+NARAYANNAGAR!H43+NARANPURA!H43+'DRIVE IN'!H43+'VASANA '!H43+SURAT!H43+'LAW GARDEN'!H43+'NEW CLOTH'!H43+BAPUNAGAR!H43+BOPAL!H43+THALTEJ!H43</f>
        <v>0</v>
      </c>
      <c r="I42" s="57">
        <f t="shared" si="0"/>
        <v>141540</v>
      </c>
      <c r="J42" s="42">
        <v>836580</v>
      </c>
      <c r="K42" s="1209">
        <v>695220</v>
      </c>
      <c r="L42" s="42">
        <f t="shared" si="1"/>
        <v>141360</v>
      </c>
      <c r="M42" s="595">
        <f>+I42-L42</f>
        <v>180</v>
      </c>
    </row>
    <row r="43" spans="1:14" ht="15.75">
      <c r="A43" s="161" t="s">
        <v>16</v>
      </c>
      <c r="B43" s="70" t="s">
        <v>15</v>
      </c>
      <c r="C43" s="57">
        <f>+'ODHAV '!C43+RAKHIAL!C43+CHANGODAR!C43+'NEW SHARDA'!C43+ISANPUR!C43+MANINAGAR!C43+'SHANTI COMM'!C43+MASKATI!C43+VEJALPUR!C43+'JODHPUR-SATELLITE'!C43+PANJRAPOLE!C43+'ASHRAM ROAD'!C43+NARAYANNAGAR!C43+NARANPURA!C43+'DRIVE IN'!C43+'VASANA '!C43+SURAT!C43+'LAW GARDEN'!C43+'NEW CLOTH'!C43+BAPUNAGAR!C43+BOPAL!C43+THALTEJ!C43+CHANDKHEDA!C43+VASTRAL!C43</f>
        <v>85000</v>
      </c>
      <c r="D43" s="4">
        <f t="shared" si="6"/>
        <v>7650</v>
      </c>
      <c r="E43" s="4">
        <f t="shared" si="4"/>
        <v>7650</v>
      </c>
      <c r="F43" s="4">
        <v>0</v>
      </c>
      <c r="G43" s="57">
        <f>+'ODHAV '!G44+RAKHIAL!G44+CHANGODAR!G45+'NEW SHARDA'!G44+ISANPUR!G44+MANINAGAR!G44+'SHANTI COMM'!G44+MASKATI!G44+VEJALPUR!G44+'JODHPUR-SATELLITE'!G44+PANJRAPOLE!G44+'ASHRAM ROAD'!G44+NARAYANNAGAR!G44+NARANPURA!G44+'DRIVE IN'!G44+'VASANA '!G44+SURAT!G44+'LAW GARDEN'!G44+'NEW CLOTH'!G44+BAPUNAGAR!G44+BOPAL!G44+THALTEJ!G44</f>
        <v>0</v>
      </c>
      <c r="H43" s="57">
        <f>+'ODHAV '!H44+RAKHIAL!H44+CHANGODAR!H45+'NEW SHARDA'!H44+ISANPUR!H44+MANINAGAR!H44+'SHANTI COMM'!H44+MASKATI!H44+VEJALPUR!H44+'JODHPUR-SATELLITE'!H44+PANJRAPOLE!H44+'ASHRAM ROAD'!H44+NARAYANNAGAR!H44+NARANPURA!H44+'DRIVE IN'!H44+'VASANA '!H44+SURAT!H44+'LAW GARDEN'!H44+'NEW CLOTH'!H44+BAPUNAGAR!H44+BOPAL!H44+THALTEJ!H44</f>
        <v>0</v>
      </c>
      <c r="I43" s="57">
        <f>+C43</f>
        <v>85000</v>
      </c>
      <c r="J43" s="42">
        <v>95550</v>
      </c>
      <c r="K43" s="1209">
        <v>10550</v>
      </c>
      <c r="L43" s="42">
        <f t="shared" si="1"/>
        <v>85000</v>
      </c>
      <c r="M43" s="595">
        <f t="shared" si="2"/>
        <v>0</v>
      </c>
    </row>
    <row r="44" spans="1:14" ht="15.75">
      <c r="A44" s="161" t="s">
        <v>14</v>
      </c>
      <c r="B44" s="70" t="s">
        <v>13</v>
      </c>
      <c r="C44" s="57">
        <f>+'ODHAV '!C44+RAKHIAL!C44+CHANGODAR!C44+'NEW SHARDA'!C44+ISANPUR!C44+MANINAGAR!C44+'SHANTI COMM'!C44+MASKATI!C44+VEJALPUR!C44+'JODHPUR-SATELLITE'!C44+PANJRAPOLE!C44+'ASHRAM ROAD'!C44+NARAYANNAGAR!C44+NARANPURA!C44+'DRIVE IN'!C44+'VASANA '!C44+SURAT!C44+'LAW GARDEN'!C44+'NEW CLOTH'!C44+BAPUNAGAR!C44+BOPAL!C44+THALTEJ!C44+CHANDKHEDA!C44+VASTRAL!C44</f>
        <v>44671</v>
      </c>
      <c r="D44" s="4">
        <f t="shared" si="6"/>
        <v>4020.39</v>
      </c>
      <c r="E44" s="4">
        <f t="shared" si="4"/>
        <v>4020.39</v>
      </c>
      <c r="F44" s="4">
        <v>0</v>
      </c>
      <c r="G44" s="57">
        <f>+'ODHAV '!G45+RAKHIAL!G45+CHANGODAR!G46+'NEW SHARDA'!G45+ISANPUR!G45+MANINAGAR!G45+'SHANTI COMM'!G45+MASKATI!G45+VEJALPUR!G45+'JODHPUR-SATELLITE'!G45+PANJRAPOLE!G45+'ASHRAM ROAD'!G45+NARAYANNAGAR!G45+NARANPURA!G45+'DRIVE IN'!G45+'VASANA '!G45+SURAT!G45+'LAW GARDEN'!G45+'NEW CLOTH'!G45+BAPUNAGAR!G45+BOPAL!G45+THALTEJ!G45</f>
        <v>0</v>
      </c>
      <c r="H44" s="57">
        <f>+'ODHAV '!H45+RAKHIAL!H45+CHANGODAR!H46+'NEW SHARDA'!H45+ISANPUR!H45+MANINAGAR!H45+'SHANTI COMM'!H45+MASKATI!H45+VEJALPUR!H45+'JODHPUR-SATELLITE'!H45+PANJRAPOLE!H45+'ASHRAM ROAD'!H45+NARAYANNAGAR!H45+NARANPURA!H45+'DRIVE IN'!H45+'VASANA '!H45+SURAT!H45+'LAW GARDEN'!H45+'NEW CLOTH'!H45+BAPUNAGAR!H45+BOPAL!H45+THALTEJ!H45</f>
        <v>0</v>
      </c>
      <c r="I44" s="57">
        <f t="shared" si="0"/>
        <v>44671</v>
      </c>
      <c r="J44" s="42">
        <v>281665</v>
      </c>
      <c r="K44" s="1209">
        <v>236994</v>
      </c>
      <c r="L44" s="42">
        <f t="shared" si="1"/>
        <v>44671</v>
      </c>
      <c r="M44" s="595">
        <f t="shared" si="2"/>
        <v>0</v>
      </c>
    </row>
    <row r="45" spans="1:14" ht="15.75">
      <c r="A45" s="161">
        <v>3317</v>
      </c>
      <c r="B45" s="70" t="s">
        <v>286</v>
      </c>
      <c r="C45" s="57">
        <f>+'ODHAV '!C45+RAKHIAL!C45+CHANGODAR!C45+'NEW SHARDA'!C45+ISANPUR!C45+MANINAGAR!C45+'SHANTI COMM'!C45+MASKATI!C45+VEJALPUR!C45+'JODHPUR-SATELLITE'!C45+PANJRAPOLE!C45+'ASHRAM ROAD'!C45+NARAYANNAGAR!C45+NARANPURA!C45+'DRIVE IN'!C45+'VASANA '!C45+SURAT!C45+'LAW GARDEN'!C45+'NEW CLOTH'!C45+BAPUNAGAR!C45+BOPAL!C45+THALTEJ!C45+CHANDKHEDA!C45+VASTRAL!C45</f>
        <v>0</v>
      </c>
      <c r="D45" s="4">
        <f t="shared" si="6"/>
        <v>0</v>
      </c>
      <c r="E45" s="4">
        <f t="shared" si="4"/>
        <v>0</v>
      </c>
      <c r="F45" s="4">
        <v>0</v>
      </c>
      <c r="G45" s="57">
        <f>+'ODHAV '!G46+RAKHIAL!G46+CHANGODAR!G47+'NEW SHARDA'!G46+ISANPUR!G46+MANINAGAR!G46+'SHANTI COMM'!G46+MASKATI!G46+VEJALPUR!G46+'JODHPUR-SATELLITE'!G46+PANJRAPOLE!G46+'ASHRAM ROAD'!G46+NARAYANNAGAR!G46+NARANPURA!G46+'DRIVE IN'!G46+'VASANA '!G46+SURAT!G46+'LAW GARDEN'!G46+'NEW CLOTH'!G46+BAPUNAGAR!G46+BOPAL!G46+THALTEJ!G46</f>
        <v>0</v>
      </c>
      <c r="H45" s="57">
        <f>+'ODHAV '!H46+RAKHIAL!H46+CHANGODAR!H47+'NEW SHARDA'!H46+ISANPUR!H46+MANINAGAR!H46+'SHANTI COMM'!H46+MASKATI!H46+VEJALPUR!H46+'JODHPUR-SATELLITE'!H46+PANJRAPOLE!H46+'ASHRAM ROAD'!H46+NARAYANNAGAR!H46+NARANPURA!H46+'DRIVE IN'!H46+'VASANA '!H46+SURAT!H46+'LAW GARDEN'!H46+'NEW CLOTH'!H46+BAPUNAGAR!H46+BOPAL!H46+THALTEJ!H46</f>
        <v>0</v>
      </c>
      <c r="I45" s="57">
        <f t="shared" si="0"/>
        <v>0</v>
      </c>
      <c r="J45" s="42"/>
      <c r="K45" s="1209"/>
      <c r="L45" s="42">
        <f t="shared" si="1"/>
        <v>0</v>
      </c>
      <c r="M45" s="595">
        <f t="shared" si="2"/>
        <v>0</v>
      </c>
    </row>
    <row r="46" spans="1:14" ht="15.75">
      <c r="A46" s="161" t="s">
        <v>12</v>
      </c>
      <c r="B46" s="70" t="s">
        <v>11</v>
      </c>
      <c r="C46" s="57">
        <f>+'ODHAV '!C46+RAKHIAL!C46+CHANGODAR!C46+'NEW SHARDA'!C46+ISANPUR!C46+MANINAGAR!C46+'SHANTI COMM'!C46+MASKATI!C46+VEJALPUR!C46+'JODHPUR-SATELLITE'!C46+PANJRAPOLE!C46+'ASHRAM ROAD'!C46+NARAYANNAGAR!C46+NARANPURA!C46+'DRIVE IN'!C46+'VASANA '!C46+SURAT!C46+'LAW GARDEN'!C46+'NEW CLOTH'!C46+BAPUNAGAR!C46+BOPAL!C46+THALTEJ!C46+CHANDKHEDA!C46+VASTRAL!C46</f>
        <v>0</v>
      </c>
      <c r="D46" s="4">
        <f t="shared" si="6"/>
        <v>0</v>
      </c>
      <c r="E46" s="4">
        <f t="shared" si="4"/>
        <v>0</v>
      </c>
      <c r="F46" s="4">
        <v>0</v>
      </c>
      <c r="G46" s="57">
        <v>0</v>
      </c>
      <c r="H46" s="57">
        <v>0</v>
      </c>
      <c r="I46" s="57">
        <f t="shared" si="0"/>
        <v>0</v>
      </c>
      <c r="J46" s="42"/>
      <c r="K46" s="1209"/>
      <c r="L46" s="42">
        <f t="shared" si="1"/>
        <v>0</v>
      </c>
      <c r="M46" s="595">
        <f t="shared" si="2"/>
        <v>0</v>
      </c>
    </row>
    <row r="47" spans="1:14" ht="15.75">
      <c r="A47" s="161">
        <v>3320</v>
      </c>
      <c r="B47" s="70" t="s">
        <v>290</v>
      </c>
      <c r="C47" s="57">
        <f>+'ODHAV '!C47+RAKHIAL!C47+CHANGODAR!C47+'NEW SHARDA'!C47+ISANPUR!C47+MANINAGAR!C47+'SHANTI COMM'!C47+MASKATI!C47+VEJALPUR!C47+'JODHPUR-SATELLITE'!C47+PANJRAPOLE!C47+'ASHRAM ROAD'!C47+NARAYANNAGAR!C47+NARANPURA!C47+'DRIVE IN'!C47+'VASANA '!C47+SURAT!C47+'LAW GARDEN'!C47+'NEW CLOTH'!C47+BAPUNAGAR!C47+BOPAL!C47+THALTEJ!C47+CHANDKHEDA!C47+VASTRAL!C47</f>
        <v>4517.6699999999255</v>
      </c>
      <c r="D47" s="4">
        <f>+C47*9%</f>
        <v>406.59029999999331</v>
      </c>
      <c r="E47" s="4">
        <f>+D47</f>
        <v>406.59029999999331</v>
      </c>
      <c r="F47" s="4"/>
      <c r="G47" s="57">
        <f>+'ODHAV '!G47+RAKHIAL!G47+CHANGODAR!G47+'NEW SHARDA'!G47+ISANPUR!G47+MANINAGAR!G47+'SHANTI COMM'!G47+MASKATI!G47+VEJALPUR!G47+'JODHPUR-SATELLITE'!G47+PANJRAPOLE!G47+'ASHRAM ROAD'!G47+NARAYANNAGAR!G47+NARANPURA!G47+'DRIVE IN'!G47+'VASANA '!G47+SURAT!G47+'LAW GARDEN'!G47+'NEW CLOTH'!G47+BAPUNAGAR!G47+BOPAL!G47+THALTEJ!G47</f>
        <v>166</v>
      </c>
      <c r="H47" s="57">
        <f>+'ODHAV '!H47+RAKHIAL!H47+CHANGODAR!H47+'NEW SHARDA'!H47+ISANPUR!H47+MANINAGAR!H47+'SHANTI COMM'!H47+MASKATI!H47+VEJALPUR!H47+'JODHPUR-SATELLITE'!H47+PANJRAPOLE!H47+'ASHRAM ROAD'!H47+NARAYANNAGAR!H47+NARANPURA!H47+'DRIVE IN'!H47+'VASANA '!H47+SURAT!H47+'LAW GARDEN'!H47+'NEW CLOTH'!H47+BAPUNAGAR!H47+BOPAL!H47+THALTEJ!H47</f>
        <v>0</v>
      </c>
      <c r="I47" s="57">
        <f>+C47</f>
        <v>4517.6699999999255</v>
      </c>
      <c r="J47" s="1209">
        <v>18162026.710000001</v>
      </c>
      <c r="K47" s="1209">
        <v>203387.76</v>
      </c>
      <c r="L47" s="42">
        <f>+J47-K47</f>
        <v>17958638.949999999</v>
      </c>
      <c r="M47" s="752">
        <f>+I47-L47</f>
        <v>-17954121.280000001</v>
      </c>
    </row>
    <row r="48" spans="1:14" ht="15.75">
      <c r="A48" s="161">
        <v>3321</v>
      </c>
      <c r="B48" s="70" t="s">
        <v>156</v>
      </c>
      <c r="C48" s="57">
        <f>+'ODHAV '!C48+RAKHIAL!C48+CHANGODAR!C48+'NEW SHARDA'!C48+ISANPUR!C48+MANINAGAR!C48+'SHANTI COMM'!C48+MASKATI!C48+VEJALPUR!C48+'JODHPUR-SATELLITE'!C48+PANJRAPOLE!C48+'ASHRAM ROAD'!C48+NARAYANNAGAR!C48+NARANPURA!C48+'DRIVE IN'!C48+'VASANA '!C48+SURAT!C48+'LAW GARDEN'!C48+'NEW CLOTH'!C48+BAPUNAGAR!C48+BOPAL!C48+THALTEJ!C48+CHANDKHEDA!C48+VASTRAL!C48</f>
        <v>11096</v>
      </c>
      <c r="D48" s="4">
        <f t="shared" si="6"/>
        <v>998.64</v>
      </c>
      <c r="E48" s="4">
        <f t="shared" si="4"/>
        <v>998.64</v>
      </c>
      <c r="F48" s="4">
        <v>0</v>
      </c>
      <c r="G48" s="57">
        <f>+'ODHAV '!G49+RAKHIAL!G49+CHANGODAR!G50+'NEW SHARDA'!G49+ISANPUR!G49+MANINAGAR!G49+'SHANTI COMM'!G49+MASKATI!G49+VEJALPUR!G49+'JODHPUR-SATELLITE'!G49+PANJRAPOLE!G49+'ASHRAM ROAD'!G49+NARAYANNAGAR!G49+NARANPURA!G49+'DRIVE IN'!G49+'VASANA '!G49+SURAT!G49+'LAW GARDEN'!G49+'NEW CLOTH'!G49+BAPUNAGAR!G49+BOPAL!G49+THALTEJ!G49</f>
        <v>0</v>
      </c>
      <c r="H48" s="57">
        <f>+'ODHAV '!H49+RAKHIAL!H49+CHANGODAR!H50+'NEW SHARDA'!H49+ISANPUR!H49+MANINAGAR!H49+'SHANTI COMM'!H49+MASKATI!H49+VEJALPUR!H49+'JODHPUR-SATELLITE'!H49+PANJRAPOLE!H49+'ASHRAM ROAD'!H49+NARAYANNAGAR!H49+NARANPURA!H49+'DRIVE IN'!H49+'VASANA '!H49+SURAT!H49+'LAW GARDEN'!H49+'NEW CLOTH'!H49+BAPUNAGAR!H49+BOPAL!H49+THALTEJ!H49</f>
        <v>0</v>
      </c>
      <c r="I48" s="57">
        <f t="shared" si="0"/>
        <v>11096</v>
      </c>
      <c r="J48" s="42">
        <v>280139</v>
      </c>
      <c r="K48" s="1209">
        <v>269043</v>
      </c>
      <c r="L48" s="42">
        <f t="shared" si="1"/>
        <v>11096</v>
      </c>
      <c r="M48" s="595">
        <f t="shared" si="2"/>
        <v>0</v>
      </c>
    </row>
    <row r="49" spans="1:22" ht="15.75">
      <c r="A49" s="161">
        <v>3322</v>
      </c>
      <c r="B49" s="70" t="s">
        <v>335</v>
      </c>
      <c r="C49" s="57">
        <f>+'ODHAV '!C49+RAKHIAL!C49+CHANGODAR!C49+'NEW SHARDA'!C49+ISANPUR!C49+MANINAGAR!C49+'SHANTI COMM'!C49+MASKATI!C49+VEJALPUR!C49+'JODHPUR-SATELLITE'!C49+PANJRAPOLE!C49+'ASHRAM ROAD'!C49+NARAYANNAGAR!C49+NARANPURA!C49+'DRIVE IN'!C49+'VASANA '!C49+SURAT!C49+'LAW GARDEN'!C49+'NEW CLOTH'!C49+BAPUNAGAR!C49+BOPAL!C49+THALTEJ!C49+CHANDKHEDA!C49+VASTRAL!C49</f>
        <v>0</v>
      </c>
      <c r="D49" s="4">
        <f>+C49*9%</f>
        <v>0</v>
      </c>
      <c r="E49" s="4">
        <f>+D49</f>
        <v>0</v>
      </c>
      <c r="F49" s="4"/>
      <c r="G49" s="57">
        <f>+'ODHAV '!G50+RAKHIAL!G50+CHANGODAR!G51+'NEW SHARDA'!G50+ISANPUR!G50+MANINAGAR!G50+'SHANTI COMM'!G50+MASKATI!G50+VEJALPUR!G50+'JODHPUR-SATELLITE'!G50+PANJRAPOLE!G50+'ASHRAM ROAD'!G50+NARAYANNAGAR!G50+NARANPURA!G50+'DRIVE IN'!G50+'VASANA '!G50+SURAT!G50+'LAW GARDEN'!G50+'NEW CLOTH'!G50+BAPUNAGAR!G50+BOPAL!G50+THALTEJ!G50</f>
        <v>0</v>
      </c>
      <c r="H49" s="57">
        <f>+'ODHAV '!H50+RAKHIAL!H50+CHANGODAR!H51+'NEW SHARDA'!H50+ISANPUR!H50+MANINAGAR!H50+'SHANTI COMM'!H50+MASKATI!H50+VEJALPUR!H50+'JODHPUR-SATELLITE'!H50+PANJRAPOLE!H50+'ASHRAM ROAD'!H50+NARAYANNAGAR!H50+NARANPURA!H50+'DRIVE IN'!H50+'VASANA '!H50+SURAT!H50+'LAW GARDEN'!H50+'NEW CLOTH'!H50+BAPUNAGAR!H50+BOPAL!H50+THALTEJ!H50</f>
        <v>0</v>
      </c>
      <c r="I49" s="57">
        <f t="shared" si="0"/>
        <v>0</v>
      </c>
      <c r="J49" s="42">
        <v>150</v>
      </c>
      <c r="K49" s="1209">
        <v>150</v>
      </c>
      <c r="L49" s="42">
        <f t="shared" si="1"/>
        <v>0</v>
      </c>
      <c r="M49" s="752">
        <f t="shared" si="2"/>
        <v>0</v>
      </c>
    </row>
    <row r="50" spans="1:22" ht="15.75">
      <c r="A50" s="161">
        <v>3324</v>
      </c>
      <c r="B50" s="70" t="s">
        <v>438</v>
      </c>
      <c r="C50" s="57">
        <f>+'ODHAV '!C50+RAKHIAL!C50+CHANGODAR!C50+'NEW SHARDA'!C50+ISANPUR!C50+MANINAGAR!C50+'SHANTI COMM'!C50+MASKATI!C50+VEJALPUR!C50+'JODHPUR-SATELLITE'!C50+PANJRAPOLE!C50+'ASHRAM ROAD'!C50+NARAYANNAGAR!C50+NARANPURA!C50+'DRIVE IN'!C50+'VASANA '!C50+SURAT!C50+'LAW GARDEN'!C50+'NEW CLOTH'!C50+BAPUNAGAR!C50+BOPAL!C50+THALTEJ!C50+CHANDKHEDA!C50+VASTRAL!C50</f>
        <v>7206.1500000000005</v>
      </c>
      <c r="D50" s="4">
        <f t="shared" si="6"/>
        <v>648.55349999999999</v>
      </c>
      <c r="E50" s="4">
        <f>+D50</f>
        <v>648.55349999999999</v>
      </c>
      <c r="F50" s="4"/>
      <c r="G50" s="57">
        <f>+'ODHAV '!G51+RAKHIAL!G51+CHANGODAR!G52+'NEW SHARDA'!G51+ISANPUR!G51+MANINAGAR!G51+'SHANTI COMM'!G51+MASKATI!G51+VEJALPUR!G51+'JODHPUR-SATELLITE'!G51+PANJRAPOLE!G51+'ASHRAM ROAD'!G51+NARAYANNAGAR!G51+NARANPURA!G51+'DRIVE IN'!G51+'VASANA '!G51+SURAT!G51+'LAW GARDEN'!G51+'NEW CLOTH'!G51+BAPUNAGAR!G51+BOPAL!G51+THALTEJ!G51</f>
        <v>0</v>
      </c>
      <c r="H50" s="57">
        <f>+'ODHAV '!H51+RAKHIAL!H51+CHANGODAR!H52+'NEW SHARDA'!H51+ISANPUR!H51+MANINAGAR!H51+'SHANTI COMM'!H51+MASKATI!H51+VEJALPUR!H51+'JODHPUR-SATELLITE'!H51+PANJRAPOLE!H51+'ASHRAM ROAD'!H51+NARAYANNAGAR!H51+NARANPURA!H51+'DRIVE IN'!H51+'VASANA '!H51+SURAT!H51+'LAW GARDEN'!H51+'NEW CLOTH'!H51+BAPUNAGAR!H51+BOPAL!H51+THALTEJ!H51</f>
        <v>0</v>
      </c>
      <c r="I50" s="57">
        <f t="shared" si="0"/>
        <v>7206.1500000000005</v>
      </c>
      <c r="J50" s="42">
        <v>67172.75</v>
      </c>
      <c r="K50" s="1209">
        <v>59966.6</v>
      </c>
      <c r="L50" s="42">
        <f t="shared" si="1"/>
        <v>7206.1500000000015</v>
      </c>
      <c r="M50" s="595">
        <f t="shared" si="2"/>
        <v>0</v>
      </c>
    </row>
    <row r="51" spans="1:22" ht="15.75">
      <c r="A51" s="14">
        <v>3325</v>
      </c>
      <c r="B51" s="70" t="s">
        <v>605</v>
      </c>
      <c r="C51" s="57">
        <f>+'ODHAV '!C51+RAKHIAL!C51+CHANGODAR!C51+'NEW SHARDA'!C51+ISANPUR!C51+MANINAGAR!C51+'SHANTI COMM'!C51+MASKATI!C51+VEJALPUR!C51+'JODHPUR-SATELLITE'!C51+PANJRAPOLE!C51+'ASHRAM ROAD'!C51+NARAYANNAGAR!C51+NARANPURA!C51+'DRIVE IN'!C51+'VASANA '!C51+SURAT!C51+'LAW GARDEN'!C51+'NEW CLOTH'!C51+BAPUNAGAR!C51+BOPAL!C51+THALTEJ!C51+CHANDKHEDA!C51+VASTRAL!C51</f>
        <v>0</v>
      </c>
      <c r="D51" s="4">
        <f>+C51*9%</f>
        <v>0</v>
      </c>
      <c r="E51" s="4">
        <f>+D51</f>
        <v>0</v>
      </c>
      <c r="F51" s="4"/>
      <c r="G51" s="57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>0</v>
      </c>
      <c r="H51" s="57"/>
      <c r="I51" s="57">
        <f t="shared" si="0"/>
        <v>0</v>
      </c>
      <c r="J51" s="42"/>
      <c r="K51" s="1209"/>
      <c r="L51" s="42">
        <f t="shared" si="1"/>
        <v>0</v>
      </c>
      <c r="M51" s="595">
        <f>+I51-L51</f>
        <v>0</v>
      </c>
    </row>
    <row r="52" spans="1:22" ht="15.75">
      <c r="A52" s="161">
        <v>3391</v>
      </c>
      <c r="B52" s="70" t="s">
        <v>300</v>
      </c>
      <c r="C52" s="57">
        <f>+'ODHAV '!C52+RAKHIAL!C52+CHANGODAR!C52+'NEW SHARDA'!C52+ISANPUR!C52+MANINAGAR!C52+'SHANTI COMM'!C52+MASKATI!C52+VEJALPUR!C52+'JODHPUR-SATELLITE'!C52+PANJRAPOLE!C52+'ASHRAM ROAD'!C52+NARAYANNAGAR!C52+NARANPURA!C52+'DRIVE IN'!C53+'VASANA '!C52+SURAT!C52+'LAW GARDEN'!C52+'NEW CLOTH'!C52+BAPUNAGAR!C52+BOPAL!C53+THALTEJ!C52+CHANDKHEDA!C52+VASTRAL!C52</f>
        <v>490959.5</v>
      </c>
      <c r="D52" s="4">
        <f t="shared" si="6"/>
        <v>44186.354999999996</v>
      </c>
      <c r="E52" s="4">
        <f t="shared" si="4"/>
        <v>44186.354999999996</v>
      </c>
      <c r="F52" s="4">
        <v>0</v>
      </c>
      <c r="G52" s="57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>0</v>
      </c>
      <c r="H52" s="57">
        <f>+'ODHAV '!H52+RAKHIAL!H52+CHANGODAR!H52+'NEW SHARDA'!H52+ISANPUR!H52+MANINAGAR!H52+'SHANTI COMM'!H52+MASKATI!H52+VEJALPUR!H52+'JODHPUR-SATELLITE'!H52+PANJRAPOLE!H52+'ASHRAM ROAD'!H52+NARAYANNAGAR!H52+NARANPURA!H52+'DRIVE IN'!H53+'VASANA '!H52+SURAT!H52+'LAW GARDEN'!H52+'NEW CLOTH'!H52+BAPUNAGAR!H52+BOPAL!H52+THALTEJ!H52</f>
        <v>0</v>
      </c>
      <c r="I52" s="57">
        <f t="shared" si="0"/>
        <v>490959.5</v>
      </c>
      <c r="J52" s="42">
        <v>491049.45</v>
      </c>
      <c r="K52" s="1209">
        <v>114.2</v>
      </c>
      <c r="L52" s="42">
        <f t="shared" si="1"/>
        <v>490935.25</v>
      </c>
      <c r="M52" s="595">
        <f t="shared" si="2"/>
        <v>24.25</v>
      </c>
    </row>
    <row r="53" spans="1:22" ht="15.75">
      <c r="A53" s="161">
        <v>3359</v>
      </c>
      <c r="B53" s="70" t="s">
        <v>611</v>
      </c>
      <c r="C53" s="57">
        <f>+'ODHAV '!C53+RAKHIAL!C53+CHANGODAR!C53+'NEW SHARDA'!C53+ISANPUR!C53+MANINAGAR!C53+'SHANTI COMM'!C53+MASKATI!C53+VEJALPUR!C53+'JODHPUR-SATELLITE'!C53+PANJRAPOLE!C53+'ASHRAM ROAD'!C53+NARAYANNAGAR!C53+NARANPURA!C53+'DRIVE IN'!C54+'VASANA '!C53+SURAT!C53+'LAW GARDEN'!C53+'NEW CLOTH'!C53+BAPUNAGAR!C53+BOPAL!C54+THALTEJ!C53+CHANDKHEDA!C53+VASTRAL!C53</f>
        <v>0</v>
      </c>
      <c r="D53" s="4">
        <f>+C53*9%</f>
        <v>0</v>
      </c>
      <c r="E53" s="4">
        <f>+D53</f>
        <v>0</v>
      </c>
      <c r="F53" s="4"/>
      <c r="G53" s="57">
        <f>+'ODHAV '!G53+RAKHIAL!G53+CHANGODAR!G53+'NEW SHARDA'!G53+ISANPUR!G53+MANINAGAR!G53+'SHANTI COMM'!G53+MASKATI!G53+VEJALPUR!G53+'JODHPUR-SATELLITE'!G53+PANJRAPOLE!G53+'ASHRAM ROAD'!G53+NARAYANNAGAR!G53+NARANPURA!G53+'DRIVE IN'!G54+'VASANA '!G53+SURAT!G53+'LAW GARDEN'!G53+'NEW CLOTH'!G53+BAPUNAGAR!G53+BOPAL!G53+THALTEJ!G53</f>
        <v>0</v>
      </c>
      <c r="H53" s="57">
        <f>+'ODHAV '!H53+RAKHIAL!H53+CHANGODAR!H53+'NEW SHARDA'!H53+ISANPUR!H53+MANINAGAR!H53+'SHANTI COMM'!H53+MASKATI!H53+VEJALPUR!H53+'JODHPUR-SATELLITE'!H53+PANJRAPOLE!H53+'ASHRAM ROAD'!H53+NARAYANNAGAR!H53+NARANPURA!H53+'DRIVE IN'!H54+'VASANA '!H53+SURAT!H53+'LAW GARDEN'!H53+'NEW CLOTH'!H53+BAPUNAGAR!H53+BOPAL!H53+THALTEJ!H53</f>
        <v>0</v>
      </c>
      <c r="I53" s="57">
        <f>+C53</f>
        <v>0</v>
      </c>
      <c r="J53" s="42">
        <v>770202</v>
      </c>
      <c r="K53" s="1209">
        <v>315202</v>
      </c>
      <c r="L53" s="42">
        <f>+J53-K53</f>
        <v>455000</v>
      </c>
      <c r="M53" s="978">
        <f>+I53-L53</f>
        <v>-455000</v>
      </c>
    </row>
    <row r="54" spans="1:22" ht="15.75">
      <c r="A54" s="161">
        <v>3380</v>
      </c>
      <c r="B54" s="70" t="s">
        <v>530</v>
      </c>
      <c r="C54" s="57">
        <f>+'ODHAV '!C54+RAKHIAL!C54+CHANGODAR!C54+'NEW SHARDA'!C54+ISANPUR!C54+MANINAGAR!C54+'SHANTI COMM'!C54+MASKATI!C54+VEJALPUR!C54+'JODHPUR-SATELLITE'!C54+PANJRAPOLE!C54+'ASHRAM ROAD'!C54+NARAYANNAGAR!C54+NARANPURA!C54+'DRIVE IN'!C55+'VASANA '!C54+SURAT!C54+'LAW GARDEN'!C54+'NEW CLOTH'!C54+BAPUNAGAR!C54+BOPAL!C55+THALTEJ!C54+CHANDKHEDA!C54+VASTRAL!C54</f>
        <v>510</v>
      </c>
      <c r="D54" s="4">
        <f>+C54*9%</f>
        <v>45.9</v>
      </c>
      <c r="E54" s="4">
        <f>+D54</f>
        <v>45.9</v>
      </c>
      <c r="F54" s="4"/>
      <c r="G54" s="57"/>
      <c r="H54" s="57"/>
      <c r="I54" s="57">
        <f>+C54</f>
        <v>510</v>
      </c>
      <c r="J54" s="42">
        <v>1010</v>
      </c>
      <c r="K54" s="1209">
        <v>345</v>
      </c>
      <c r="L54" s="42">
        <f>+J54-K54</f>
        <v>665</v>
      </c>
      <c r="M54" s="978">
        <f>+I54-L54</f>
        <v>-155</v>
      </c>
    </row>
    <row r="55" spans="1:22" ht="15.75">
      <c r="A55" s="161">
        <v>3825</v>
      </c>
      <c r="B55" s="70" t="s">
        <v>646</v>
      </c>
      <c r="C55" s="57">
        <f>+'ODHAV '!C55+RAKHIAL!C55+CHANGODAR!C55+'NEW SHARDA'!C55+ISANPUR!C55+MANINAGAR!C55+'SHANTI COMM'!C55+MASKATI!C55+VEJALPUR!C55+'JODHPUR-SATELLITE'!C55+PANJRAPOLE!C55+'ASHRAM ROAD'!C55+NARAYANNAGAR!C55+NARANPURA!C55+'DRIVE IN'!C56+'VASANA '!C55+SURAT!C55+'LAW GARDEN'!C55+'NEW CLOTH'!C55+BAPUNAGAR!C55+BOPAL!C56+THALTEJ!C55+CHANDKHEDA!C55+VASTRAL!C55</f>
        <v>0</v>
      </c>
      <c r="D55" s="4">
        <f>+C55*9%</f>
        <v>0</v>
      </c>
      <c r="E55" s="4">
        <f>+D55</f>
        <v>0</v>
      </c>
      <c r="F55" s="4"/>
      <c r="G55" s="168"/>
      <c r="H55" s="57"/>
      <c r="I55" s="57">
        <f>+C55</f>
        <v>0</v>
      </c>
      <c r="J55" s="42"/>
      <c r="K55" s="1209"/>
      <c r="L55" s="42">
        <f t="shared" ref="L55" si="7">+J55-K55</f>
        <v>0</v>
      </c>
      <c r="M55" s="595">
        <f>+I55-L55</f>
        <v>0</v>
      </c>
    </row>
    <row r="56" spans="1:22" ht="15.75">
      <c r="A56" s="161">
        <v>3362</v>
      </c>
      <c r="B56" s="70" t="s">
        <v>739</v>
      </c>
      <c r="C56" s="57">
        <f>+'ODHAV '!C55+RAKHIAL!C55+'NEW SHARDA'!C55+CHANGODAR!C55+ISANPUR!C55+MANINAGAR!C55+'SHANTI COMM'!C55+MASKATI!C55+VEJALPUR!C55+'JODHPUR-SATELLITE'!C55+PANJRAPOLE!C55+'ASHRAM ROAD'!C55+NARAYANNAGAR!C55+NARANPURA!C55+'DRIVE IN'!C56+'VASANA '!C55+SURAT!C55+'LAW GARDEN'!C55+'NEW CLOTH'!C55+BAPUNAGAR!C55+THALTEJ!C55+CHANDKHEDA!C55+VASTRAL!C55</f>
        <v>0</v>
      </c>
      <c r="D56" s="4">
        <f>+C56*9%</f>
        <v>0</v>
      </c>
      <c r="E56" s="4">
        <f>+D56</f>
        <v>0</v>
      </c>
      <c r="F56" s="4"/>
      <c r="G56" s="168"/>
      <c r="H56" s="57"/>
      <c r="I56" s="57">
        <f>+C56</f>
        <v>0</v>
      </c>
      <c r="J56" s="42">
        <v>714934</v>
      </c>
      <c r="K56" s="1209">
        <v>714934</v>
      </c>
      <c r="L56" s="42">
        <f>+J56-K56</f>
        <v>0</v>
      </c>
      <c r="M56" s="595">
        <f>+I56-L56</f>
        <v>0</v>
      </c>
    </row>
    <row r="57" spans="1:22" ht="15.75">
      <c r="A57" s="14">
        <v>3340</v>
      </c>
      <c r="B57" s="70" t="s">
        <v>785</v>
      </c>
      <c r="C57" s="57">
        <f>+'ODHAV '!C56+RAKHIAL!C56+'NEW SHARDA'!C56+CHANGODAR!C56+ISANPUR!C56+MANINAGAR!C56+'SHANTI COMM'!C56+MASKATI!C56+VEJALPUR!C56+'JODHPUR-SATELLITE'!C56+PANJRAPOLE!C56+'ASHRAM ROAD'!C56+NARAYANNAGAR!C56+NARANPURA!C56+'DRIVE IN'!C57+'VASANA '!C56+SURAT!C56+'LAW GARDEN'!C56+'NEW CLOTH'!C56+BAPUNAGAR!C56+THALTEJ!C56+CHANDKHEDA!C56+VASTRAL!C56</f>
        <v>0</v>
      </c>
      <c r="D57" s="4">
        <f>+C57*9%</f>
        <v>0</v>
      </c>
      <c r="E57" s="4">
        <f>+D57</f>
        <v>0</v>
      </c>
      <c r="F57" s="4">
        <f>IF(D57&gt;0," ",C57*18%)</f>
        <v>0</v>
      </c>
      <c r="G57" s="168"/>
      <c r="H57" s="57"/>
      <c r="I57" s="57">
        <f>+C57</f>
        <v>0</v>
      </c>
      <c r="J57" s="627">
        <v>0</v>
      </c>
      <c r="K57" s="627">
        <v>0</v>
      </c>
      <c r="L57" s="42">
        <f>+J57-K57</f>
        <v>0</v>
      </c>
      <c r="M57" s="595">
        <f>+I57-L57</f>
        <v>0</v>
      </c>
    </row>
    <row r="58" spans="1:22" ht="15.75">
      <c r="A58" s="162" t="s">
        <v>10</v>
      </c>
      <c r="B58" s="70"/>
      <c r="C58" s="4"/>
      <c r="D58" s="4"/>
      <c r="E58" s="4"/>
      <c r="F58" s="4">
        <v>0</v>
      </c>
      <c r="G58" s="168">
        <f>+'ODHAV '!G57+RAKHIAL!G57+CHANGODAR!G58+'NEW SHARDA'!G57+ISANPUR!G57+MANINAGAR!G57+'SHANTI COMM'!G57+MASKATI!G57+VEJALPUR!G57+'JODHPUR-SATELLITE'!G57+PANJRAPOLE!G57+'ASHRAM ROAD'!G57+NARAYANNAGAR!G57+NARANPURA!G57+'DRIVE IN'!G58+'VASANA '!G57+SURAT!G57+'LAW GARDEN'!G57+'NEW CLOTH'!G57+BAPUNAGAR!G57+BOPAL!G58+THALTEJ!G57</f>
        <v>0</v>
      </c>
      <c r="H58" s="57">
        <f>+'ODHAV '!H57+RAKHIAL!H57+CHANGODAR!H58+'NEW SHARDA'!H57+ISANPUR!H57+MANINAGAR!H57+'SHANTI COMM'!H57+MASKATI!H57+VEJALPUR!H57+'JODHPUR-SATELLITE'!H57+PANJRAPOLE!H57+'ASHRAM ROAD'!H57+NARAYANNAGAR!H57+NARANPURA!H57+'DRIVE IN'!H58+'VASANA '!H57+SURAT!H57+'LAW GARDEN'!H57+'NEW CLOTH'!H57+BAPUNAGAR!H57+BOPAL!H58+THALTEJ!H57</f>
        <v>0</v>
      </c>
      <c r="I58" s="750" t="s">
        <v>304</v>
      </c>
      <c r="J58" s="627">
        <f>+C59+C60</f>
        <v>2932646</v>
      </c>
      <c r="T58" s="1">
        <f t="shared" ref="T58:T65" si="8">+C58*18%</f>
        <v>0</v>
      </c>
      <c r="U58" s="1">
        <f t="shared" ref="U58:U65" si="9">+D58+E58</f>
        <v>0</v>
      </c>
      <c r="V58" s="1">
        <f t="shared" ref="V58:V65" si="10">+T58-U58</f>
        <v>0</v>
      </c>
    </row>
    <row r="59" spans="1:22" ht="15.75">
      <c r="A59" s="161" t="s">
        <v>9</v>
      </c>
      <c r="B59" s="70" t="s">
        <v>8</v>
      </c>
      <c r="C59" s="57">
        <f>+'ODHAV '!C58+RAKHIAL!C58+CHANGODAR!C59+'NEW SHARDA'!C58+ISANPUR!C58+MANINAGAR!C58+'SHANTI COMM'!C58+MASKATI!C58+VEJALPUR!C58+'JODHPUR-SATELLITE'!C58+PANJRAPOLE!C58+'ASHRAM ROAD'!C58+NARAYANNAGAR!C58+NARANPURA!C58+'DRIVE IN'!C59+'VASANA '!C58+SURAT!C58+'LAW GARDEN'!C58+'NEW CLOTH'!C58+BAPUNAGAR!C58+BOPAL!C59+THALTEJ!C58+CHANDKHEDA!C58+VASTRAL!C58</f>
        <v>117551</v>
      </c>
      <c r="D59" s="4">
        <f t="shared" si="6"/>
        <v>10579.59</v>
      </c>
      <c r="E59" s="4">
        <f t="shared" si="4"/>
        <v>10579.59</v>
      </c>
      <c r="F59" s="4">
        <v>0</v>
      </c>
      <c r="G59" s="57">
        <f>+'ODHAV '!G58+RAKHIAL!G58+CHANGODAR!G59+'NEW SHARDA'!G58+ISANPUR!G58+MANINAGAR!G58+'SHANTI COMM'!G58+MASKATI!G58+VEJALPUR!G58+'JODHPUR-SATELLITE'!G58+PANJRAPOLE!G58+'ASHRAM ROAD'!G58+NARAYANNAGAR!G58+NARANPURA!G58+'DRIVE IN'!G59+'VASANA '!G58+SURAT!G58+'LAW GARDEN'!G58+'NEW CLOTH'!G58+BAPUNAGAR!G58+BOPAL!G59+THALTEJ!G58+'SUMMARY SHEET GST'!S134</f>
        <v>93303</v>
      </c>
      <c r="H59" s="57">
        <f>+'ODHAV '!H58+RAKHIAL!H58+CHANGODAR!H59+'NEW SHARDA'!H58+ISANPUR!H58+MANINAGAR!H58+'SHANTI COMM'!H58+MASKATI!H58+VEJALPUR!H58+'JODHPUR-SATELLITE'!H58+PANJRAPOLE!H58+'ASHRAM ROAD'!H58+NARAYANNAGAR!H58+NARANPURA!H58+'DRIVE IN'!H59+'VASANA '!H58+SURAT!H58+'LAW GARDEN'!H58+'NEW CLOTH'!H58+BAPUNAGAR!H58+BOPAL!H59+THALTEJ!H58</f>
        <v>0</v>
      </c>
      <c r="I59" s="171" t="s">
        <v>67</v>
      </c>
      <c r="J59" s="156">
        <f>+D59+D60</f>
        <v>263938.14</v>
      </c>
      <c r="T59" s="1">
        <f t="shared" si="8"/>
        <v>21159.18</v>
      </c>
      <c r="U59" s="1">
        <f t="shared" si="9"/>
        <v>21159.18</v>
      </c>
      <c r="V59" s="1">
        <f t="shared" si="10"/>
        <v>0</v>
      </c>
    </row>
    <row r="60" spans="1:22" ht="15.75">
      <c r="A60" s="160" t="s">
        <v>7</v>
      </c>
      <c r="B60" s="70" t="s">
        <v>6</v>
      </c>
      <c r="C60" s="661">
        <f>+'ODHAV '!C59+RAKHIAL!C59+CHANGODAR!C60+'NEW SHARDA'!C59+ISANPUR!C59+MANINAGAR!C59+'SHANTI COMM'!C59+MASKATI!C59+VEJALPUR!C59+'JODHPUR-SATELLITE'!C59+PANJRAPOLE!C59+'ASHRAM ROAD'!C59+NARAYANNAGAR!C59+NARANPURA!C59+'DRIVE IN'!C60+'VASANA '!C59+SURAT!C59+'LAW GARDEN'!C59+'NEW CLOTH'!C59+BAPUNAGAR!C59+BOPAL!C60+THALTEJ!C59+CHANDKHEDA!C59+VASTRAL!C59</f>
        <v>2815095</v>
      </c>
      <c r="D60" s="696">
        <f>+C60*9%</f>
        <v>253358.55</v>
      </c>
      <c r="E60" s="696">
        <f t="shared" si="4"/>
        <v>253358.55</v>
      </c>
      <c r="F60" s="696">
        <v>0</v>
      </c>
      <c r="G60" s="661">
        <f>+'ODHAV '!G59+RAKHIAL!G59+CHANGODAR!G60+'NEW SHARDA'!G59+ISANPUR!G59+MANINAGAR!G59+'SHANTI COMM'!G59+MASKATI!G59+VEJALPUR!G59+'JODHPUR-SATELLITE'!G59+PANJRAPOLE!G59+'ASHRAM ROAD'!G59+NARAYANNAGAR!G59+NARANPURA!G59+'DRIVE IN'!G60+'VASANA '!G59+SURAT!G59+'LAW GARDEN'!G59+'NEW CLOTH'!G59+BAPUNAGAR!G59+BOPAL!G60+THALTEJ!G59</f>
        <v>70361</v>
      </c>
      <c r="H60" s="661">
        <f>+'ODHAV '!H59+RAKHIAL!H59+CHANGODAR!H60+'NEW SHARDA'!H59+ISANPUR!H59+MANINAGAR!H59+'SHANTI COMM'!H59+MASKATI!H59+VEJALPUR!H59+'JODHPUR-SATELLITE'!H59+PANJRAPOLE!H59+'ASHRAM ROAD'!H59+NARAYANNAGAR!H59+NARANPURA!H59+'DRIVE IN'!H60+'VASANA '!H59+SURAT!H59+'LAW GARDEN'!H59+'NEW CLOTH'!H59+BAPUNAGAR!H59+BOPAL!H60+THALTEJ!H59</f>
        <v>0</v>
      </c>
      <c r="I60" s="171" t="s">
        <v>155</v>
      </c>
      <c r="J60" s="156">
        <f>+E59+E60</f>
        <v>263938.14</v>
      </c>
      <c r="T60" s="1">
        <f t="shared" si="8"/>
        <v>506717.1</v>
      </c>
      <c r="U60" s="1">
        <f t="shared" si="9"/>
        <v>506717.1</v>
      </c>
      <c r="V60" s="1">
        <f t="shared" si="10"/>
        <v>0</v>
      </c>
    </row>
    <row r="61" spans="1:22" ht="15.75">
      <c r="A61" s="163" t="s">
        <v>5</v>
      </c>
      <c r="B61" s="70" t="s">
        <v>4</v>
      </c>
      <c r="C61" s="57"/>
      <c r="D61" s="4"/>
      <c r="E61" s="4"/>
      <c r="F61" s="4"/>
      <c r="G61" s="57">
        <f>+'ODHAV '!G60+RAKHIAL!G60+CHANGODAR!G61+'NEW SHARDA'!G60+ISANPUR!G60+MANINAGAR!G60+'SHANTI COMM'!G60+MASKATI!G60+VEJALPUR!G60+'JODHPUR-SATELLITE'!G60+PANJRAPOLE!G60+'ASHRAM ROAD'!G60+NARAYANNAGAR!G60+NARANPURA!G60+'DRIVE IN'!G61+'VASANA '!G60+SURAT!G60+'LAW GARDEN'!G60+'NEW CLOTH'!G60+BAPUNAGAR!G60+BOPAL!G61+THALTEJ!G60</f>
        <v>0</v>
      </c>
      <c r="H61" s="57">
        <f>+'ODHAV '!H60+RAKHIAL!H60+CHANGODAR!H61+'NEW SHARDA'!H60+ISANPUR!H60+MANINAGAR!H60+'SHANTI COMM'!H60+MASKATI!H60+VEJALPUR!H60+'JODHPUR-SATELLITE'!H60+PANJRAPOLE!H60+'ASHRAM ROAD'!H60+NARAYANNAGAR!H60+NARANPURA!H60+'DRIVE IN'!H61+'VASANA '!H60+SURAT!H60+'LAW GARDEN'!H60+'NEW CLOTH'!H60+BAPUNAGAR!H60+BOPAL!H61+THALTEJ!H60</f>
        <v>0</v>
      </c>
      <c r="I61" s="1">
        <f>+C64*0.09</f>
        <v>785556.28709999996</v>
      </c>
      <c r="J61" s="32"/>
      <c r="T61" s="1">
        <f t="shared" si="8"/>
        <v>0</v>
      </c>
      <c r="U61" s="1">
        <f t="shared" si="9"/>
        <v>0</v>
      </c>
      <c r="V61" s="1">
        <f t="shared" si="10"/>
        <v>0</v>
      </c>
    </row>
    <row r="62" spans="1:22" ht="15.75">
      <c r="A62" s="13" t="s">
        <v>410</v>
      </c>
      <c r="B62" s="70" t="s">
        <v>409</v>
      </c>
      <c r="C62" s="57">
        <v>0</v>
      </c>
      <c r="D62" s="4">
        <f>+C62*9%</f>
        <v>0</v>
      </c>
      <c r="E62" s="4">
        <f>+D62</f>
        <v>0</v>
      </c>
      <c r="F62" s="25">
        <v>0</v>
      </c>
      <c r="G62" s="42">
        <f>+SUM(G9:G61)</f>
        <v>164086</v>
      </c>
      <c r="H62" s="42">
        <f>+SUM(H9:H61)</f>
        <v>20</v>
      </c>
      <c r="I62" s="32"/>
      <c r="T62" s="1">
        <f t="shared" si="8"/>
        <v>0</v>
      </c>
      <c r="U62" s="1">
        <f t="shared" si="9"/>
        <v>0</v>
      </c>
      <c r="V62" s="1">
        <f t="shared" si="10"/>
        <v>0</v>
      </c>
    </row>
    <row r="63" spans="1:22" ht="15.75">
      <c r="A63" s="628"/>
      <c r="B63" s="432" t="s">
        <v>466</v>
      </c>
      <c r="C63" s="433">
        <f>+'ODHAV '!C61+RAKHIAL!C61+CHANGODAR!C62+'NEW SHARDA'!C61+ISANPUR!C61+MANINAGAR!C61+'SHANTI COMM'!C61+MASKATI!C61+VEJALPUR!C61+'JODHPUR-SATELLITE'!C61+PANJRAPOLE!C61+'ASHRAM ROAD'!C61+NARAYANNAGAR!C61+NARANPURA!C61+'DRIVE IN'!C62+'VASANA '!C61+SURAT!C61+'LAW GARDEN'!C61+'NEW CLOTH'!C61+BAPUNAGAR!C61+BOPAL!C62+THALTEJ!C61</f>
        <v>0</v>
      </c>
      <c r="D63" s="4">
        <f>+C63*9%</f>
        <v>0</v>
      </c>
      <c r="E63" s="4">
        <f>+D63</f>
        <v>0</v>
      </c>
      <c r="F63" s="436"/>
      <c r="G63" s="73">
        <f>+'ODHAV '!G62+RAKHIAL!G62+CHANGODAR!G63+'NEW SHARDA'!G62+ISANPUR!G62+MANINAGAR!G62+'SHANTI COMM'!G62+MASKATI!G62+VEJALPUR!G62+'JODHPUR-SATELLITE'!G62+PANJRAPOLE!G62+'ASHRAM ROAD'!G62+NARAYANNAGAR!G62+NARANPURA!G62+'DRIVE IN'!G63+'VASANA '!G62+SURAT!G62+'LAW GARDEN'!G62+'NEW CLOTH'!G62+BAPUNAGAR!G62+BOPAL!G63+THALTEJ!G62</f>
        <v>164086</v>
      </c>
      <c r="H63" s="73">
        <f>+'ODHAV '!H62+RAKHIAL!H62+CHANGODAR!H63+'NEW SHARDA'!H62+ISANPUR!H62+MANINAGAR!H62+'SHANTI COMM'!H62+MASKATI!H62+VEJALPUR!H62+'JODHPUR-SATELLITE'!H62+PANJRAPOLE!H62+'ASHRAM ROAD'!H62+NARAYANNAGAR!H62+NARANPURA!H62+'DRIVE IN'!H63+'VASANA '!H62+SURAT!H62+'LAW GARDEN'!H62+'NEW CLOTH'!H62+BAPUNAGAR!H62+BOPAL!H63+THALTEJ!H62</f>
        <v>20</v>
      </c>
      <c r="I63" s="32"/>
      <c r="T63" s="1">
        <f t="shared" si="8"/>
        <v>0</v>
      </c>
      <c r="U63" s="1">
        <f t="shared" si="9"/>
        <v>0</v>
      </c>
      <c r="V63" s="1">
        <f t="shared" si="10"/>
        <v>0</v>
      </c>
    </row>
    <row r="64" spans="1:22" ht="16.5" thickBot="1">
      <c r="A64" s="12"/>
      <c r="B64" s="11" t="s">
        <v>3</v>
      </c>
      <c r="C64" s="10">
        <f>SUM(C9:C63)</f>
        <v>8728403.1899999995</v>
      </c>
      <c r="D64" s="10">
        <f>SUM(D9:D63)</f>
        <v>785556.28710000007</v>
      </c>
      <c r="E64" s="10">
        <f>SUM(E9:E63)</f>
        <v>785556.28710000007</v>
      </c>
      <c r="F64" s="10">
        <f>SUM(F9:F62)</f>
        <v>0</v>
      </c>
      <c r="G64" s="73">
        <f>+'ODHAV '!C62+RAKHIAL!C62+CHANGODAR!C63+'NEW SHARDA'!C62+ISANPUR!C62+MANINAGAR!C62+'SHANTI COMM'!C62+MASKATI!C62+VEJALPUR!C62+'JODHPUR-SATELLITE'!C62+PANJRAPOLE!C62+'ASHRAM ROAD'!C62+NARAYANNAGAR!C62+NARANPURA!C62+'DRIVE IN'!C63+'VASANA '!C62+SURAT!C62+'LAW GARDEN'!C62+'NEW CLOTH'!C62+BAPUNAGAR!C62+BOPAL!C63+THALTEJ!C62</f>
        <v>8632474.089999998</v>
      </c>
      <c r="H64" s="625">
        <f>+C64-G64</f>
        <v>95929.10000000149</v>
      </c>
      <c r="I64" s="32" t="s">
        <v>5</v>
      </c>
      <c r="T64" s="1">
        <f t="shared" si="8"/>
        <v>1571112.5741999999</v>
      </c>
      <c r="U64" s="1">
        <f t="shared" si="9"/>
        <v>1571112.5742000001</v>
      </c>
      <c r="V64" s="1">
        <f t="shared" si="10"/>
        <v>0</v>
      </c>
    </row>
    <row r="65" spans="1:22" ht="16.5" thickTop="1">
      <c r="A65" s="9" t="s">
        <v>2</v>
      </c>
      <c r="B65" s="8"/>
      <c r="C65" s="7"/>
      <c r="D65" s="7"/>
      <c r="E65" s="7"/>
      <c r="F65" s="6"/>
      <c r="G65" s="629"/>
      <c r="I65" s="32">
        <f>+G62-G63</f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</row>
    <row r="66" spans="1:22" ht="15.75">
      <c r="A66" s="5" t="s">
        <v>1</v>
      </c>
      <c r="B66" s="43" t="s">
        <v>0</v>
      </c>
      <c r="C66" s="57">
        <f>+'ODHAV '!C64+RAKHIAL!C64+CHANGODAR!C65+'NEW SHARDA'!C64+ISANPUR!C64+MANINAGAR!C64+'SHANTI COMM'!C64+MASKATI!C64+VEJALPUR!C64+'JODHPUR-SATELLITE'!C64+PANJRAPOLE!C64+'ASHRAM ROAD'!C64+NARAYANNAGAR!C64+NARANPURA!C64+'DRIVE IN'!C65+'VASANA '!C64+SURAT!C64+'LAW GARDEN'!C64+'NEW CLOTH'!C64+BAPUNAGAR!C64+BOPAL!C65+THALTEJ!C65</f>
        <v>8000</v>
      </c>
      <c r="D66" s="4">
        <f>+C66*9%</f>
        <v>720</v>
      </c>
      <c r="E66" s="4">
        <f>+D66</f>
        <v>720</v>
      </c>
      <c r="F66" s="25">
        <v>0</v>
      </c>
      <c r="I66" s="32"/>
    </row>
    <row r="67" spans="1:22" ht="15.75">
      <c r="A67" s="5" t="s">
        <v>359</v>
      </c>
      <c r="B67" s="43" t="s">
        <v>360</v>
      </c>
      <c r="C67" s="57">
        <f>+'ODHAV '!C65+RAKHIAL!C65+CHANGODAR!C66+'NEW SHARDA'!C65+ISANPUR!C65+MANINAGAR!C65+'SHANTI COMM'!C65+MASKATI!C65+VEJALPUR!C65+'JODHPUR-SATELLITE'!C65+PANJRAPOLE!C65+'ASHRAM ROAD'!C65+NARAYANNAGAR!C65+NARANPURA!C65+'DRIVE IN'!C66+'VASANA '!C65+SURAT!C65+'LAW GARDEN'!C65+'NEW CLOTH'!C65+BAPUNAGAR!C65+BOPAL!C66+THALTEJ!C66</f>
        <v>0</v>
      </c>
      <c r="D67" s="4">
        <f>+C67*9%</f>
        <v>0</v>
      </c>
      <c r="E67" s="4">
        <f>+D67</f>
        <v>0</v>
      </c>
      <c r="F67" s="25">
        <f>IF(D67&gt;0," ",C67*18%)</f>
        <v>0</v>
      </c>
      <c r="G67" s="1211"/>
      <c r="I67" s="32"/>
    </row>
    <row r="68" spans="1:22" ht="15.75">
      <c r="A68" s="1228" t="s">
        <v>75</v>
      </c>
      <c r="B68" s="1228"/>
      <c r="C68" s="1228"/>
      <c r="D68" s="1228"/>
      <c r="E68" s="1228"/>
      <c r="F68" s="1228"/>
      <c r="I68" s="32"/>
    </row>
    <row r="69" spans="1:22" ht="15.75">
      <c r="A69" s="28"/>
      <c r="B69" s="28"/>
      <c r="C69" s="28"/>
      <c r="D69" s="28" t="s">
        <v>5</v>
      </c>
      <c r="E69" s="28"/>
      <c r="F69" s="28"/>
      <c r="I69" s="32"/>
    </row>
    <row r="70" spans="1:22" ht="15.75">
      <c r="A70" s="29" t="s">
        <v>76</v>
      </c>
      <c r="B70" s="29"/>
      <c r="C70" s="3"/>
      <c r="D70" s="796"/>
      <c r="E70" s="3"/>
      <c r="F70" s="3"/>
      <c r="I70" s="32"/>
    </row>
    <row r="71" spans="1:22">
      <c r="A71" s="1244" t="s">
        <v>65</v>
      </c>
      <c r="B71" s="1245"/>
      <c r="C71" s="1246"/>
      <c r="D71" s="1236" t="s">
        <v>89</v>
      </c>
      <c r="E71" s="1236" t="s">
        <v>67</v>
      </c>
      <c r="F71" s="1231" t="s">
        <v>68</v>
      </c>
      <c r="I71" s="32"/>
    </row>
    <row r="72" spans="1:22">
      <c r="A72" s="1247"/>
      <c r="B72" s="1248"/>
      <c r="C72" s="1249"/>
      <c r="D72" s="1236"/>
      <c r="E72" s="1236"/>
      <c r="F72" s="1232"/>
      <c r="I72" s="32"/>
    </row>
    <row r="73" spans="1:22" ht="15.75">
      <c r="A73" s="59" t="s">
        <v>80</v>
      </c>
      <c r="B73" s="60"/>
      <c r="C73" s="57">
        <f>+C64</f>
        <v>8728403.1899999995</v>
      </c>
      <c r="D73" s="56">
        <f>+'ODHAV '!D71+RAKHIAL!D71+'NEW SHARDA'!D71+CHANGODAR!D71+ISANPUR!D71+MANINAGAR!D71+'SHANTI COMM'!D71+MASKATI!D71+VEJALPUR!D71+'JODHPUR-SATELLITE'!D71+PANJRAPOLE!D71+'ASHRAM ROAD'!D71+NARAYANNAGAR!D71+NARANPURA!D71+'DRIVE IN'!D71+'VASANA '!D71+SURAT!D71+'LAW GARDEN'!D71+'NEW CLOTH'!D71+BOPAL!D72+THALTEJ!D72+BAPUNAGAR!D71+CHANDKHEDA!D71+VASTRAL!D71</f>
        <v>785556.28709999996</v>
      </c>
      <c r="E73" s="56">
        <f>+'ODHAV '!E71+RAKHIAL!E71+'NEW SHARDA'!E71+CHANGODAR!E71+ISANPUR!E71+MANINAGAR!E71+'SHANTI COMM'!E71+MASKATI!E71+VEJALPUR!E71+'JODHPUR-SATELLITE'!E71+PANJRAPOLE!E71+'ASHRAM ROAD'!E71+NARAYANNAGAR!E71+NARANPURA!E71+'DRIVE IN'!E71+'VASANA '!E71+SURAT!E71+'LAW GARDEN'!E71+'NEW CLOTH'!E71+BOPAL!E72+THALTEJ!E72+BAPUNAGAR!E71+CHANDKHEDA!E71+VASTRAL!E71</f>
        <v>785556.28709999996</v>
      </c>
      <c r="F73" s="56">
        <f>+F64</f>
        <v>0</v>
      </c>
      <c r="G73" s="1">
        <f>+C73*9%</f>
        <v>785556.28709999996</v>
      </c>
      <c r="H73" s="32">
        <f>+G73-D73</f>
        <v>0</v>
      </c>
      <c r="I73" s="32"/>
    </row>
    <row r="74" spans="1:22" ht="15.75">
      <c r="A74" s="43" t="s">
        <v>103</v>
      </c>
      <c r="B74" s="43"/>
      <c r="C74" s="57">
        <f>+'ODHAV '!C72+RAKHIAL!C72+'NEW SHARDA'!C72+CHANGODAR!C72+ISANPUR!C72+MANINAGAR!C72+'SHANTI COMM'!C72+MASKATI!C72+VEJALPUR!C72+'JODHPUR-SATELLITE'!C72+PANJRAPOLE!C72+'ASHRAM ROAD'!C72+NARAYANNAGAR!C72+NARANPURA!C72+'DRIVE IN'!C72+'VASANA '!C72+SURAT!C72+'LAW GARDEN'!C72+'NEW CLOTH'!C72+BAPUNAGAR!C72+BOPAL!C73+THALTEJ!C73</f>
        <v>164086</v>
      </c>
      <c r="D74" s="56">
        <f>+'ODHAV '!D72+RAKHIAL!D72+'NEW SHARDA'!D72+CHANGODAR!D72+ISANPUR!D72+MANINAGAR!D72+'SHANTI COMM'!D72+MASKATI!D72+VEJALPUR!D72+'JODHPUR-SATELLITE'!D72+PANJRAPOLE!D72+'ASHRAM ROAD'!D72+NARAYANNAGAR!D72+NARANPURA!D72+'DRIVE IN'!D72+'VASANA '!D72+SURAT!D72+'LAW GARDEN'!D72+'NEW CLOTH'!D72+BOPAL!D73+THALTEJ!D73+BAPUNAGAR!D72+CHANDKHEDA!D72+VASTRAL!D72</f>
        <v>14767.74</v>
      </c>
      <c r="E74" s="56">
        <f>+'ODHAV '!E72+RAKHIAL!E72+'NEW SHARDA'!E72+CHANGODAR!E72+ISANPUR!E72+MANINAGAR!E72+'SHANTI COMM'!E72+MASKATI!E72+VEJALPUR!E72+'JODHPUR-SATELLITE'!E72+PANJRAPOLE!E72+'ASHRAM ROAD'!E72+NARAYANNAGAR!E72+NARANPURA!E72+'DRIVE IN'!E72+'VASANA '!E72+SURAT!E72+'LAW GARDEN'!E72+'NEW CLOTH'!E72+BOPAL!E73+THALTEJ!E73+BAPUNAGAR!E72+CHANDKHEDA!E72+VASTRAL!E72</f>
        <v>14767.74</v>
      </c>
      <c r="F74" s="56">
        <v>0</v>
      </c>
      <c r="G74" s="1">
        <f>+C75*9%</f>
        <v>800324.02709999995</v>
      </c>
      <c r="I74" s="32"/>
    </row>
    <row r="75" spans="1:22" ht="15.75">
      <c r="A75" s="43"/>
      <c r="B75" s="43"/>
      <c r="C75" s="57">
        <f>+C73+C74</f>
        <v>8892489.1899999995</v>
      </c>
      <c r="D75" s="56">
        <f>SUM(D73:D74)</f>
        <v>800324.02709999995</v>
      </c>
      <c r="E75" s="56">
        <f>SUM(E73:E74)</f>
        <v>800324.02709999995</v>
      </c>
      <c r="F75" s="56">
        <f>+F73+F74</f>
        <v>0</v>
      </c>
      <c r="H75" s="1"/>
      <c r="I75" s="32"/>
    </row>
    <row r="76" spans="1:22" ht="15.75">
      <c r="A76" s="1354" t="s">
        <v>104</v>
      </c>
      <c r="B76" s="1355"/>
      <c r="C76" s="1356"/>
      <c r="D76" s="58">
        <f>+'ODHAV '!D74+RAKHIAL!D74+'NEW SHARDA'!D74+CHANGODAR!D74+ISANPUR!D74+MANINAGAR!D74+'SHANTI COMM'!D74+MASKATI!D74+VEJALPUR!D74+'JODHPUR-SATELLITE'!D74+PANJRAPOLE!D74+'ASHRAM ROAD'!D74+NARAYANNAGAR!D74+NARANPURA!D74+'DRIVE IN'!D74+'VASANA '!D74+SURAT!D74+'LAW GARDEN'!D74+'NEW CLOTH'!D74+BAPUNAGAR!D74+BOPAL!D75+THALTEJ!D75+CHANDKHEDA!D74+VASTRAL!D74</f>
        <v>802424.33000000019</v>
      </c>
      <c r="E76" s="58">
        <f>+'ODHAV '!E74+RAKHIAL!E74+'NEW SHARDA'!E74+CHANGODAR!E74+ISANPUR!E74+MANINAGAR!E74+'SHANTI COMM'!E74+MASKATI!E74+VEJALPUR!E74+'JODHPUR-SATELLITE'!E74+PANJRAPOLE!E74+'ASHRAM ROAD'!E74+NARAYANNAGAR!E74+NARANPURA!E74+'DRIVE IN'!E74+'VASANA '!E74+SURAT!E74+'LAW GARDEN'!E74+'NEW CLOTH'!E74+BAPUNAGAR!E74+BOPAL!E75+THALTEJ!E75+CHANDKHEDA!E74+VASTRAL!E74</f>
        <v>802424.33000000019</v>
      </c>
      <c r="F76" s="58">
        <f>+'ODHAV '!F74+RAKHIAL!F74+CHANGODAR!F74+'NEW SHARDA'!F74+ISANPUR!F74+MANINAGAR!F74+'SHANTI COMM'!F74+MASKATI!F74+VEJALPUR!F74+'JODHPUR-SATELLITE'!F74+PANJRAPOLE!F74+'ASHRAM ROAD'!F74+NARAYANNAGAR!F74+NARANPURA!F74+'DRIVE IN'!F74+'VASANA '!F74+SURAT!F74+'LAW GARDEN'!F74+'NEW CLOTH'!F74+BAPUNAGAR!F74+BOPAL!F75+THALTEJ!F75</f>
        <v>0</v>
      </c>
      <c r="G76" s="1">
        <f>+D76+HO!D60</f>
        <v>807603.28000000014</v>
      </c>
      <c r="H76" s="1">
        <f>+E76+HO!E60</f>
        <v>807603.28000000014</v>
      </c>
      <c r="I76" s="32">
        <f>+D76-D75</f>
        <v>2100.3029000002425</v>
      </c>
    </row>
    <row r="77" spans="1:22" ht="15.75">
      <c r="A77" s="1250" t="s">
        <v>79</v>
      </c>
      <c r="B77" s="1251"/>
      <c r="C77" s="1252"/>
      <c r="D77" s="56">
        <f>+'ODHAV '!D75+RAKHIAL!D75+'NEW SHARDA'!D75+CHANGODAR!D75+ISANPUR!D75+MANINAGAR!D75+'SHANTI COMM'!D75+MASKATI!D75+VEJALPUR!D75+'JODHPUR-SATELLITE'!D75+PANJRAPOLE!D75+'ASHRAM ROAD'!D75+NARAYANNAGAR!D75+NARANPURA!D75+'DRIVE IN'!D75+'VASANA '!D75+SURAT!D75+'LAW GARDEN'!D75+'NEW CLOTH'!D75+BAPUNAGAR!D75+BOPAL!D76+THALTEJ!D76</f>
        <v>-2092.0618999999524</v>
      </c>
      <c r="E77" s="56">
        <f>+'ODHAV '!E75+RAKHIAL!E75+CHANGODAR!E75+'NEW SHARDA'!E75+ISANPUR!E75+MANINAGAR!E75+'SHANTI COMM'!E75+MASKATI!E75+VEJALPUR!E75+'JODHPUR-SATELLITE'!E75+PANJRAPOLE!E75+'ASHRAM ROAD'!E75+NARAYANNAGAR!E75+NARANPURA!E75+'DRIVE IN'!E75+'VASANA '!E75+SURAT!E75+'LAW GARDEN'!E75+'NEW CLOTH'!E75+BAPUNAGAR!E75+BOPAL!E76+THALTEJ!E76</f>
        <v>-2092.0618999999524</v>
      </c>
      <c r="F77" s="56">
        <f>+F75-F76</f>
        <v>0</v>
      </c>
      <c r="G77" s="1">
        <f>+HO!D60</f>
        <v>5178.95</v>
      </c>
      <c r="H77" s="1">
        <f>+HO!E60</f>
        <v>5178.95</v>
      </c>
      <c r="I77" s="32"/>
    </row>
    <row r="78" spans="1:22" ht="15.75">
      <c r="A78" s="3"/>
      <c r="B78" s="2"/>
      <c r="C78" s="3"/>
      <c r="D78" s="3"/>
      <c r="E78" s="3"/>
      <c r="F78" s="3"/>
      <c r="G78" s="1">
        <f>+G76+G77</f>
        <v>812782.2300000001</v>
      </c>
      <c r="H78" s="1">
        <f>+H76+H77</f>
        <v>812782.2300000001</v>
      </c>
      <c r="I78" s="32"/>
    </row>
    <row r="79" spans="1:22" ht="15.75">
      <c r="A79" s="27" t="s">
        <v>77</v>
      </c>
      <c r="B79" s="2"/>
      <c r="C79" s="199"/>
      <c r="D79" s="3"/>
      <c r="E79" s="3"/>
      <c r="F79" s="3"/>
      <c r="I79" s="32"/>
    </row>
    <row r="80" spans="1:22">
      <c r="A80" s="1218" t="s">
        <v>65</v>
      </c>
      <c r="B80" s="1219"/>
      <c r="C80" s="1220"/>
      <c r="D80" s="1253" t="s">
        <v>70</v>
      </c>
      <c r="E80" s="1234" t="s">
        <v>71</v>
      </c>
      <c r="F80" s="1234" t="s">
        <v>72</v>
      </c>
      <c r="G80" s="269" t="s">
        <v>5</v>
      </c>
      <c r="I80" s="32"/>
    </row>
    <row r="81" spans="1:11">
      <c r="A81" s="1221"/>
      <c r="B81" s="1222"/>
      <c r="C81" s="1223"/>
      <c r="D81" s="1254" t="s">
        <v>67</v>
      </c>
      <c r="E81" s="1235"/>
      <c r="F81" s="1235"/>
      <c r="I81" s="32"/>
    </row>
    <row r="82" spans="1:11">
      <c r="A82" s="1225"/>
      <c r="B82" s="1226"/>
      <c r="C82" s="1227"/>
      <c r="D82" s="42"/>
      <c r="E82" s="42"/>
      <c r="F82" s="42"/>
      <c r="I82" s="32"/>
    </row>
    <row r="83" spans="1:11" ht="20.25" customHeight="1">
      <c r="A83" s="1216" t="s">
        <v>69</v>
      </c>
      <c r="B83" s="1216"/>
      <c r="C83" s="1216"/>
      <c r="D83" s="56">
        <f>+'ODHAV '!D81+RAKHIAL!D81+CHANGODAR!D81+'NEW SHARDA'!D81+ISANPUR!D81+MANINAGAR!D81+'SHANTI COMM'!D81+MASKATI!D81+VEJALPUR!D81+'JODHPUR-SATELLITE'!D81+PANJRAPOLE!D81+'ASHRAM ROAD'!D81+NARAYANNAGAR!D82+NARANPURA!D82+'DRIVE IN'!D81+'VASANA '!D81+SURAT!D81+'LAW GARDEN'!D81+'NEW CLOTH'!D81+BAPUNAGAR!D81+BOPAL!D82+THALTEJ!D82+CHANDKHEDA!D81+VASTRAL!D81</f>
        <v>209968.78999999998</v>
      </c>
      <c r="E83" s="56">
        <f>+'ODHAV '!E81+RAKHIAL!E81+CHANGODAR!E81+'NEW SHARDA'!E81+ISANPUR!E81+MANINAGAR!E81+'SHANTI COMM'!E81+MASKATI!E81+VEJALPUR!E81+'JODHPUR-SATELLITE'!E81+PANJRAPOLE!E81+'ASHRAM ROAD'!E81+NARAYANNAGAR!E82+NARANPURA!E82+'DRIVE IN'!E81+'VASANA '!E81+SURAT!E81+'LAW GARDEN'!E81+'NEW CLOTH'!E81+BAPUNAGAR!E81+BOPAL!E82+THALTEJ!E82+CHANDKHEDA!E81+VASTRAL!E81</f>
        <v>209968.78999999998</v>
      </c>
      <c r="F83" s="56">
        <f>+'ODHAV '!F81+RAKHIAL!F81+CHANGODAR!F81+'NEW SHARDA'!F81+ISANPUR!F81+MANINAGAR!F81+'SHANTI COMM'!F81+MASKATI!F81+VEJALPUR!F81+'JODHPUR-SATELLITE'!F81+PANJRAPOLE!F81+'ASHRAM ROAD'!F81+NARAYANNAGAR!F82+NARANPURA!F82+'DRIVE IN'!F81+'VASANA '!F81+SURAT!F81+'LAW GARDEN'!F81+'NEW CLOTH'!F81+BAPUNAGAR!F81+BOPAL!F82+THALTEJ!F82+CHANDKHEDA!F81+VASTRAL!F81</f>
        <v>15093.54</v>
      </c>
      <c r="G83" s="1">
        <f>+D83+HO!D67+DEMAT!D52</f>
        <v>305353.46000000002</v>
      </c>
      <c r="H83" s="32">
        <f>+F83+HO!F67+DEMAT!F52</f>
        <v>656407.22</v>
      </c>
      <c r="I83" s="32"/>
    </row>
    <row r="84" spans="1:11" ht="15.75">
      <c r="A84" s="1224" t="s">
        <v>83</v>
      </c>
      <c r="B84" s="1224"/>
      <c r="C84" s="1224"/>
      <c r="D84" s="56">
        <f>+'ODHAV '!D82+RAKHIAL!D82+CHANGODAR!D82+'NEW SHARDA'!D82+ISANPUR!D82+MANINAGAR!D82+'SHANTI COMM'!D82+MASKATI!D82+VEJALPUR!D82+'JODHPUR-SATELLITE'!D82+PANJRAPOLE!D82+'ASHRAM ROAD'!D82+NARAYANNAGAR!D83+NARANPURA!D83+'DRIVE IN'!D82+'VASANA '!D82+SURAT!D82+'LAW GARDEN'!D82+'NEW CLOTH'!D82+BAPUNAGAR!D82+BOPAL!D83+THALTEJ!D83+CHANDKHEDA!D82+VASTRAL!D82</f>
        <v>643.16</v>
      </c>
      <c r="E84" s="56">
        <f>+'ODHAV '!E82+RAKHIAL!E82+CHANGODAR!E82+'NEW SHARDA'!E82+ISANPUR!E82+MANINAGAR!E82+'SHANTI COMM'!E82+MASKATI!E82+VEJALPUR!E82+'JODHPUR-SATELLITE'!E82+PANJRAPOLE!E82+'ASHRAM ROAD'!E82+NARAYANNAGAR!E83+NARANPURA!E83+'DRIVE IN'!E82+'VASANA '!E82+SURAT!E82+'LAW GARDEN'!E82+'NEW CLOTH'!E82+BAPUNAGAR!E82+BOPAL!E83+THALTEJ!E83+CHANDKHEDA!E82+VASTRAL!E82</f>
        <v>643.16</v>
      </c>
      <c r="F84" s="56">
        <f>+'ODHAV '!F82+RAKHIAL!F82+CHANGODAR!F82+'NEW SHARDA'!F82+ISANPUR!F82+MANINAGAR!F82+'SHANTI COMM'!F82+MASKATI!F82+VEJALPUR!F82+'JODHPUR-SATELLITE'!F82+PANJRAPOLE!F82+'ASHRAM ROAD'!F82+NARAYANNAGAR!F83+NARANPURA!F83+'DRIVE IN'!F82+'VASANA '!F82+SURAT!F82+'LAW GARDEN'!F82+'NEW CLOTH'!F82+BAPUNAGAR!F82+BOPAL!F83+THALTEJ!F83+CHANDKHEDA!F82+VASTRAL!F82</f>
        <v>0</v>
      </c>
      <c r="I84" s="32"/>
    </row>
    <row r="85" spans="1:11" ht="15.75">
      <c r="A85" s="1215" t="s">
        <v>82</v>
      </c>
      <c r="B85" s="1215"/>
      <c r="C85" s="1215"/>
      <c r="D85" s="56">
        <f>+D83-D84</f>
        <v>209325.62999999998</v>
      </c>
      <c r="E85" s="56">
        <f>+E83-E84</f>
        <v>209325.62999999998</v>
      </c>
      <c r="F85" s="56">
        <f>+F83-F84</f>
        <v>15093.54</v>
      </c>
      <c r="I85" s="32"/>
    </row>
    <row r="86" spans="1:11" ht="15.75">
      <c r="A86" s="75"/>
      <c r="B86" s="75"/>
      <c r="C86" s="75"/>
      <c r="D86" s="66"/>
      <c r="E86" s="66"/>
      <c r="F86" s="66"/>
      <c r="I86" s="32"/>
    </row>
    <row r="87" spans="1:11">
      <c r="A87" s="212"/>
    </row>
    <row r="90" spans="1:11" ht="15" customHeight="1">
      <c r="B90" s="1" t="s">
        <v>5</v>
      </c>
    </row>
    <row r="94" spans="1:11">
      <c r="K94" s="1">
        <f>+C27+C28</f>
        <v>0</v>
      </c>
    </row>
    <row r="117" spans="11:11">
      <c r="K117" s="1">
        <f>1673199.61-45-23924</f>
        <v>1649230.61</v>
      </c>
    </row>
  </sheetData>
  <mergeCells count="28">
    <mergeCell ref="G7:G8"/>
    <mergeCell ref="H7:H8"/>
    <mergeCell ref="I7:I8"/>
    <mergeCell ref="A82:C82"/>
    <mergeCell ref="A83:C83"/>
    <mergeCell ref="F80:F81"/>
    <mergeCell ref="A68:F68"/>
    <mergeCell ref="A71:C72"/>
    <mergeCell ref="D71:D72"/>
    <mergeCell ref="E71:E72"/>
    <mergeCell ref="F71:F72"/>
    <mergeCell ref="D80:D81"/>
    <mergeCell ref="E80:E81"/>
    <mergeCell ref="A84:C84"/>
    <mergeCell ref="A85:C85"/>
    <mergeCell ref="A76:C76"/>
    <mergeCell ref="A77:C77"/>
    <mergeCell ref="A80:C81"/>
    <mergeCell ref="A1:F1"/>
    <mergeCell ref="A3:F3"/>
    <mergeCell ref="A5:F5"/>
    <mergeCell ref="D6:E6"/>
    <mergeCell ref="B7:B8"/>
    <mergeCell ref="D7:D8"/>
    <mergeCell ref="E7:E8"/>
    <mergeCell ref="F7:F8"/>
    <mergeCell ref="A7:A8"/>
    <mergeCell ref="C7:C8"/>
  </mergeCells>
  <conditionalFormatting sqref="A28:B34">
    <cfRule type="containsText" dxfId="55" priority="90" operator="containsText" text="LESS COLLECTED">
      <formula>NOT(ISERROR(SEARCH("LESS COLLECTED",A28)))</formula>
    </cfRule>
  </conditionalFormatting>
  <conditionalFormatting sqref="A35:B35">
    <cfRule type="containsText" dxfId="54" priority="85" operator="containsText" text="EXCESS COLLECTED">
      <formula>NOT(ISERROR(SEARCH("EXCESS COLLECTED",A35)))</formula>
    </cfRule>
    <cfRule type="containsText" dxfId="53" priority="86" operator="containsText" text="LESS COLLECTED">
      <formula>NOT(ISERROR(SEARCH("LESS COLLECTED",A35)))</formula>
    </cfRule>
  </conditionalFormatting>
  <conditionalFormatting sqref="A54:B54">
    <cfRule type="containsText" dxfId="52" priority="5" operator="containsText" text="LESS COLLECTED">
      <formula>NOT(ISERROR(SEARCH("LESS COLLECTED",A54)))</formula>
    </cfRule>
  </conditionalFormatting>
  <conditionalFormatting sqref="A55:B57">
    <cfRule type="containsText" dxfId="51" priority="10" operator="containsText" text="LESS COLLECTED">
      <formula>NOT(ISERROR(SEARCH("LESS COLLECTED",A55)))</formula>
    </cfRule>
  </conditionalFormatting>
  <conditionalFormatting sqref="A57:B57">
    <cfRule type="containsText" dxfId="50" priority="9" operator="containsText" text="EXCESS COLLECTED">
      <formula>NOT(ISERROR(SEARCH("EXCESS COLLECTED",A57)))</formula>
    </cfRule>
  </conditionalFormatting>
  <conditionalFormatting sqref="A58:F61 A1:XFD6 B8 D8:F8 M8:O8 M9:P9 N10:P15 N16:S22 O23:S23 R48:S51 J58:S65 J66:XFD86 I82:I86 B87:F87 H87:XFD1048576 A7:F7 J7:XFD7">
    <cfRule type="containsText" dxfId="49" priority="464" operator="containsText" text="LESS COLLECTED">
      <formula>NOT(ISERROR(SEARCH("LESS COLLECTED",A1)))</formula>
    </cfRule>
  </conditionalFormatting>
  <conditionalFormatting sqref="C10:C54">
    <cfRule type="containsText" dxfId="48" priority="7" operator="containsText" text="LESS COLLECTED">
      <formula>NOT(ISERROR(SEARCH("LESS COLLECTED",C10)))</formula>
    </cfRule>
  </conditionalFormatting>
  <conditionalFormatting sqref="C59:C62">
    <cfRule type="containsText" dxfId="47" priority="95" operator="containsText" text="EXCESS COLLECTED">
      <formula>NOT(ISERROR(SEARCH("EXCESS COLLECTED",C59)))</formula>
    </cfRule>
    <cfRule type="containsText" dxfId="46" priority="96" operator="containsText" text="LESS COLLECTED">
      <formula>NOT(ISERROR(SEARCH("LESS COLLECTED",C59)))</formula>
    </cfRule>
  </conditionalFormatting>
  <conditionalFormatting sqref="C56:F57 D55:F55">
    <cfRule type="containsText" dxfId="45" priority="14" operator="containsText" text="LESS COLLECTED">
      <formula>NOT(ISERROR(SEARCH("LESS COLLECTED",C55)))</formula>
    </cfRule>
  </conditionalFormatting>
  <conditionalFormatting sqref="D36:F53 A36:B53 U8:XFD65 A10:B27 G62:G64 A88:F88 A89 C89:F89 A90:F1048576 M52:S57">
    <cfRule type="containsText" dxfId="44" priority="63" operator="containsText" text="LESS COLLECTED">
      <formula>NOT(ISERROR(SEARCH("LESS COLLECTED",A8)))</formula>
    </cfRule>
  </conditionalFormatting>
  <conditionalFormatting sqref="D48:F53">
    <cfRule type="containsText" dxfId="43" priority="46" operator="containsText" text="EXCESS COLLECTED">
      <formula>NOT(ISERROR(SEARCH("EXCESS COLLECTED",D48)))</formula>
    </cfRule>
  </conditionalFormatting>
  <conditionalFormatting sqref="D51:F51">
    <cfRule type="containsText" dxfId="42" priority="42" operator="containsText" text="EXCESS COLLECTED">
      <formula>NOT(ISERROR(SEARCH("EXCESS COLLECTED",D51)))</formula>
    </cfRule>
    <cfRule type="containsText" dxfId="41" priority="43" operator="containsText" text="LESS COLLECTED">
      <formula>NOT(ISERROR(SEARCH("LESS COLLECTED",D51)))</formula>
    </cfRule>
  </conditionalFormatting>
  <conditionalFormatting sqref="D54:F54 A48:B54">
    <cfRule type="containsText" dxfId="40" priority="8" operator="containsText" text="EXCESS COLLECTED">
      <formula>NOT(ISERROR(SEARCH("EXCESS COLLECTED",A48)))</formula>
    </cfRule>
  </conditionalFormatting>
  <conditionalFormatting sqref="D54:F54">
    <cfRule type="containsText" dxfId="39" priority="6" operator="containsText" text="LESS COLLECTED">
      <formula>NOT(ISERROR(SEARCH("LESS COLLECTED",D54)))</formula>
    </cfRule>
  </conditionalFormatting>
  <conditionalFormatting sqref="D55:F56 A55:B56 A28:B32">
    <cfRule type="containsText" dxfId="38" priority="89" operator="containsText" text="EXCESS COLLECTED">
      <formula>NOT(ISERROR(SEARCH("EXCESS COLLECTED",A28)))</formula>
    </cfRule>
  </conditionalFormatting>
  <conditionalFormatting sqref="D57:F57">
    <cfRule type="containsText" dxfId="37" priority="11" operator="containsText" text="EXCESS COLLECTED">
      <formula>NOT(ISERROR(SEARCH("EXCESS COLLECTED",D57)))</formula>
    </cfRule>
  </conditionalFormatting>
  <conditionalFormatting sqref="G10:H61">
    <cfRule type="containsText" dxfId="36" priority="4" operator="containsText" text="LESS COLLECTED">
      <formula>NOT(ISERROR(SEARCH("LESS COLLECTED",G10)))</formula>
    </cfRule>
  </conditionalFormatting>
  <conditionalFormatting sqref="G75:H75">
    <cfRule type="containsText" dxfId="35" priority="111" operator="containsText" text="EXC">
      <formula>NOT(ISERROR(SEARCH("EXC",G75)))</formula>
    </cfRule>
    <cfRule type="containsText" dxfId="34" priority="112" operator="containsText" text="LESS">
      <formula>NOT(ISERROR(SEARCH("LESS",G75)))</formula>
    </cfRule>
    <cfRule type="containsText" dxfId="33" priority="113" operator="containsText" text="EXC">
      <formula>NOT(ISERROR(SEARCH("EXC",G75)))</formula>
    </cfRule>
  </conditionalFormatting>
  <conditionalFormatting sqref="I59:I80 A64:F86">
    <cfRule type="containsText" dxfId="32" priority="457" operator="containsText" text="LESS COLLECTED">
      <formula>NOT(ISERROR(SEARCH("LESS COLLECTED",A59)))</formula>
    </cfRule>
  </conditionalFormatting>
  <conditionalFormatting sqref="I61 C66:C67 D71:E72 A74:F75 D76:E77 D83:F84">
    <cfRule type="containsText" dxfId="31" priority="456" operator="containsText" text="EXCESS COLLECTED">
      <formula>NOT(ISERROR(SEARCH("EXCESS COLLECTED",A61)))</formula>
    </cfRule>
  </conditionalFormatting>
  <conditionalFormatting sqref="M10:M51 N33:S47">
    <cfRule type="containsText" dxfId="30" priority="88" operator="containsText" text="LESS COLLECTED">
      <formula>NOT(ISERROR(SEARCH("LESS COLLECTED",M10)))</formula>
    </cfRule>
  </conditionalFormatting>
  <conditionalFormatting sqref="Q9:Q14">
    <cfRule type="containsText" dxfId="29" priority="2" operator="containsText" text="LESS COLLECTED">
      <formula>NOT(ISERROR(SEARCH("LESS COLLECTED",Q9)))</formula>
    </cfRule>
  </conditionalFormatting>
  <conditionalFormatting sqref="C55">
    <cfRule type="containsText" dxfId="28" priority="1" operator="containsText" text="LESS COLLECTED">
      <formula>NOT(ISERROR(SEARCH("LESS COLLECTED",C55)))</formula>
    </cfRule>
  </conditionalFormatting>
  <pageMargins left="1.405511811" right="0.118110236220472" top="0" bottom="0" header="0.31496062992126" footer="0.31496062992126"/>
  <pageSetup paperSize="9" scale="3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>
    <tabColor rgb="FF92D050"/>
  </sheetPr>
  <dimension ref="A1:K104"/>
  <sheetViews>
    <sheetView topLeftCell="A54" workbookViewId="0">
      <selection activeCell="D69" sqref="D69"/>
    </sheetView>
  </sheetViews>
  <sheetFormatPr defaultColWidth="9.140625" defaultRowHeight="15"/>
  <cols>
    <col min="1" max="1" width="13.28515625" style="45" customWidth="1"/>
    <col min="2" max="2" width="52" style="45" customWidth="1"/>
    <col min="3" max="3" width="18" style="45" customWidth="1"/>
    <col min="4" max="4" width="16.5703125" style="45" customWidth="1"/>
    <col min="5" max="5" width="14.5703125" style="45" customWidth="1"/>
    <col min="6" max="6" width="17.140625" style="45" customWidth="1"/>
    <col min="7" max="7" width="18.28515625" style="45" customWidth="1"/>
    <col min="8" max="8" width="17.5703125" style="45" customWidth="1"/>
    <col min="9" max="9" width="27.7109375" style="45" bestFit="1" customWidth="1"/>
    <col min="10" max="10" width="29.5703125" style="45" bestFit="1" customWidth="1"/>
    <col min="11" max="11" width="14.28515625" style="45" bestFit="1" customWidth="1"/>
    <col min="12" max="16384" width="9.140625" style="45"/>
  </cols>
  <sheetData>
    <row r="1" spans="1:11" ht="18">
      <c r="A1" s="1358" t="s">
        <v>107</v>
      </c>
      <c r="B1" s="1358"/>
      <c r="C1" s="1358"/>
      <c r="D1" s="1358"/>
      <c r="E1" s="1358"/>
      <c r="F1" s="1358"/>
      <c r="G1" s="179"/>
    </row>
    <row r="2" spans="1:11" ht="15.75">
      <c r="A2" s="1359" t="s">
        <v>385</v>
      </c>
      <c r="B2" s="1359"/>
      <c r="C2" s="1359"/>
      <c r="D2" s="1359"/>
      <c r="E2" s="1359"/>
      <c r="F2" s="1359"/>
    </row>
    <row r="3" spans="1:11" ht="15.75">
      <c r="A3" s="1228" t="str">
        <f>+DEMAT!A3</f>
        <v>SUMMARY OF INCOME FOR THE MONTH OF SEP 2026</v>
      </c>
      <c r="B3" s="1228"/>
      <c r="C3" s="1228"/>
      <c r="D3" s="1228"/>
      <c r="E3" s="1228"/>
      <c r="F3" s="1228"/>
      <c r="G3" s="41"/>
    </row>
    <row r="4" spans="1:11">
      <c r="A4" s="77" t="s">
        <v>5</v>
      </c>
      <c r="G4" s="81"/>
      <c r="H4" s="81"/>
    </row>
    <row r="5" spans="1:11" ht="15.75" customHeight="1">
      <c r="A5" s="21" t="s">
        <v>66</v>
      </c>
      <c r="B5" s="78" t="s">
        <v>65</v>
      </c>
      <c r="C5" s="21" t="s">
        <v>64</v>
      </c>
      <c r="D5" s="1231" t="s">
        <v>89</v>
      </c>
      <c r="E5" s="1231" t="s">
        <v>67</v>
      </c>
      <c r="F5" s="1244" t="s">
        <v>68</v>
      </c>
      <c r="G5" s="1363" t="s">
        <v>383</v>
      </c>
      <c r="H5" s="1364" t="s">
        <v>384</v>
      </c>
    </row>
    <row r="6" spans="1:11" ht="15.75" customHeight="1">
      <c r="A6" s="19" t="s">
        <v>63</v>
      </c>
      <c r="B6" s="79"/>
      <c r="C6" s="19" t="s">
        <v>62</v>
      </c>
      <c r="D6" s="1232"/>
      <c r="E6" s="1232"/>
      <c r="F6" s="1247"/>
      <c r="G6" s="1363"/>
      <c r="H6" s="1364"/>
    </row>
    <row r="7" spans="1:11">
      <c r="A7" s="80"/>
      <c r="B7" s="39" t="s">
        <v>5</v>
      </c>
      <c r="C7" s="39">
        <v>0</v>
      </c>
      <c r="D7" s="16"/>
      <c r="E7" s="16"/>
      <c r="F7" s="251">
        <v>0</v>
      </c>
      <c r="G7" s="16"/>
      <c r="H7" s="1084"/>
    </row>
    <row r="8" spans="1:11">
      <c r="A8" s="51">
        <v>3200</v>
      </c>
      <c r="B8" s="70" t="s">
        <v>61</v>
      </c>
      <c r="C8" s="4">
        <v>0</v>
      </c>
      <c r="D8" s="4">
        <f>+C8*9%</f>
        <v>0</v>
      </c>
      <c r="E8" s="4">
        <f>+D8</f>
        <v>0</v>
      </c>
      <c r="F8" s="1082">
        <v>0</v>
      </c>
      <c r="G8" s="1084"/>
      <c r="H8" s="1084"/>
    </row>
    <row r="9" spans="1:11">
      <c r="A9" s="51">
        <v>3215</v>
      </c>
      <c r="B9" s="70" t="s">
        <v>59</v>
      </c>
      <c r="C9" s="4"/>
      <c r="D9" s="4">
        <f>+C9*9%</f>
        <v>0</v>
      </c>
      <c r="E9" s="4">
        <f t="shared" ref="E9:E42" si="0">+D9</f>
        <v>0</v>
      </c>
      <c r="F9" s="1082">
        <v>0</v>
      </c>
      <c r="G9" s="4"/>
      <c r="H9" s="1084"/>
    </row>
    <row r="10" spans="1:11">
      <c r="A10" s="51">
        <v>3225</v>
      </c>
      <c r="B10" s="70" t="s">
        <v>55</v>
      </c>
      <c r="C10" s="4"/>
      <c r="D10" s="4">
        <f t="shared" ref="D10:D42" si="1">+C10*9%</f>
        <v>0</v>
      </c>
      <c r="E10" s="4">
        <f t="shared" si="0"/>
        <v>0</v>
      </c>
      <c r="F10" s="1082">
        <v>0</v>
      </c>
      <c r="G10" s="4"/>
      <c r="H10" s="1084"/>
    </row>
    <row r="11" spans="1:11">
      <c r="A11" s="51">
        <v>3230</v>
      </c>
      <c r="B11" s="70" t="s">
        <v>53</v>
      </c>
      <c r="C11" s="4">
        <v>-140439</v>
      </c>
      <c r="D11" s="4">
        <f t="shared" si="1"/>
        <v>-12639.51</v>
      </c>
      <c r="E11" s="4">
        <f t="shared" si="0"/>
        <v>-12639.51</v>
      </c>
      <c r="F11" s="1082">
        <v>0</v>
      </c>
      <c r="G11" s="4">
        <v>140439</v>
      </c>
      <c r="H11" s="1084"/>
    </row>
    <row r="12" spans="1:11">
      <c r="A12" s="51">
        <v>3235</v>
      </c>
      <c r="B12" s="70" t="s">
        <v>51</v>
      </c>
      <c r="C12" s="4"/>
      <c r="D12" s="4">
        <f t="shared" si="1"/>
        <v>0</v>
      </c>
      <c r="E12" s="4">
        <f t="shared" si="0"/>
        <v>0</v>
      </c>
      <c r="F12" s="1082">
        <v>0</v>
      </c>
      <c r="G12" s="4">
        <v>0</v>
      </c>
      <c r="H12" s="1084"/>
    </row>
    <row r="13" spans="1:11">
      <c r="A13" s="51">
        <v>3250</v>
      </c>
      <c r="B13" s="70" t="s">
        <v>108</v>
      </c>
      <c r="C13" s="4"/>
      <c r="D13" s="4">
        <f t="shared" si="1"/>
        <v>0</v>
      </c>
      <c r="E13" s="4">
        <f t="shared" si="0"/>
        <v>0</v>
      </c>
      <c r="F13" s="1082">
        <v>0</v>
      </c>
      <c r="G13" s="4"/>
      <c r="H13" s="1084"/>
    </row>
    <row r="14" spans="1:11">
      <c r="A14" s="51">
        <v>3270</v>
      </c>
      <c r="B14" s="70" t="s">
        <v>43</v>
      </c>
      <c r="C14" s="4"/>
      <c r="D14" s="4">
        <f>+(C14-F14/18%)*9%</f>
        <v>0</v>
      </c>
      <c r="E14" s="4">
        <f>+D14</f>
        <v>0</v>
      </c>
      <c r="F14" s="1082"/>
      <c r="G14" s="4"/>
      <c r="H14" s="1084"/>
      <c r="I14" s="81"/>
      <c r="J14" s="81"/>
      <c r="K14" s="81"/>
    </row>
    <row r="15" spans="1:11">
      <c r="A15" s="51">
        <v>3274</v>
      </c>
      <c r="B15" s="70" t="s">
        <v>836</v>
      </c>
      <c r="C15" s="367">
        <v>39201.550000000003</v>
      </c>
      <c r="D15" s="4">
        <f>+(C15-F15/18%)*9%</f>
        <v>3528.1395000000002</v>
      </c>
      <c r="E15" s="4">
        <f>+D15</f>
        <v>3528.1395000000002</v>
      </c>
      <c r="F15" s="1082">
        <v>0</v>
      </c>
      <c r="G15" s="4"/>
      <c r="H15" s="1084"/>
      <c r="I15" s="81"/>
      <c r="J15" s="81"/>
      <c r="K15" s="81"/>
    </row>
    <row r="16" spans="1:11">
      <c r="A16" s="51">
        <v>3281</v>
      </c>
      <c r="B16" s="70" t="s">
        <v>291</v>
      </c>
      <c r="C16" s="367"/>
      <c r="D16" s="4">
        <f t="shared" si="1"/>
        <v>0</v>
      </c>
      <c r="E16" s="4">
        <f t="shared" si="0"/>
        <v>0</v>
      </c>
      <c r="F16" s="1082">
        <v>0</v>
      </c>
      <c r="G16" s="4">
        <v>0</v>
      </c>
      <c r="H16" s="1084"/>
      <c r="I16" s="81"/>
      <c r="J16" s="81"/>
      <c r="K16" s="81"/>
    </row>
    <row r="17" spans="1:11">
      <c r="A17" s="51">
        <v>3282</v>
      </c>
      <c r="B17" s="70" t="s">
        <v>109</v>
      </c>
      <c r="C17" s="367"/>
      <c r="D17" s="4">
        <f t="shared" si="1"/>
        <v>0</v>
      </c>
      <c r="E17" s="4">
        <f>+D17</f>
        <v>0</v>
      </c>
      <c r="F17" s="1082">
        <v>0</v>
      </c>
      <c r="G17" s="4">
        <v>0</v>
      </c>
      <c r="H17" s="1084"/>
      <c r="I17" s="81"/>
      <c r="J17" s="81"/>
      <c r="K17" s="81"/>
    </row>
    <row r="18" spans="1:11">
      <c r="A18" s="51">
        <v>3284</v>
      </c>
      <c r="B18" s="70" t="s">
        <v>110</v>
      </c>
      <c r="C18" s="367">
        <v>8587.0400000000009</v>
      </c>
      <c r="D18" s="4">
        <f>+(C18-F18/18%)*9%</f>
        <v>55.478600000000057</v>
      </c>
      <c r="E18" s="4">
        <f>+D18</f>
        <v>55.478600000000057</v>
      </c>
      <c r="F18" s="1082">
        <v>1434.71</v>
      </c>
      <c r="G18" s="4">
        <v>0</v>
      </c>
      <c r="H18" s="1084"/>
      <c r="I18" s="694"/>
      <c r="J18" s="81"/>
      <c r="K18" s="81"/>
    </row>
    <row r="19" spans="1:11">
      <c r="A19" s="51" t="s">
        <v>36</v>
      </c>
      <c r="B19" s="70" t="s">
        <v>111</v>
      </c>
      <c r="C19" s="367"/>
      <c r="D19" s="4">
        <f t="shared" si="1"/>
        <v>0</v>
      </c>
      <c r="E19" s="4">
        <f t="shared" si="0"/>
        <v>0</v>
      </c>
      <c r="F19" s="1082">
        <v>0</v>
      </c>
      <c r="G19" s="4">
        <v>0</v>
      </c>
      <c r="H19" s="1084"/>
      <c r="I19" s="694"/>
      <c r="J19" s="81"/>
      <c r="K19" s="81"/>
    </row>
    <row r="20" spans="1:11">
      <c r="A20" s="51" t="s">
        <v>34</v>
      </c>
      <c r="B20" s="70" t="s">
        <v>292</v>
      </c>
      <c r="C20" s="367">
        <v>55.92</v>
      </c>
      <c r="D20" s="4">
        <f>+(C20-F20/18%)*9%</f>
        <v>5.0327999999999999</v>
      </c>
      <c r="E20" s="4">
        <f>D20</f>
        <v>5.0327999999999999</v>
      </c>
      <c r="F20" s="1082">
        <v>0</v>
      </c>
      <c r="G20" s="4">
        <v>0</v>
      </c>
      <c r="H20" s="1084">
        <v>0</v>
      </c>
      <c r="I20" s="694"/>
      <c r="J20" s="81"/>
      <c r="K20" s="81"/>
    </row>
    <row r="21" spans="1:11">
      <c r="A21" s="51">
        <v>3287</v>
      </c>
      <c r="B21" s="70" t="s">
        <v>292</v>
      </c>
      <c r="C21" s="367"/>
      <c r="D21" s="4">
        <f>+(C21-F21/18%)*9%</f>
        <v>0</v>
      </c>
      <c r="E21" s="4">
        <f t="shared" si="0"/>
        <v>0</v>
      </c>
      <c r="F21" s="1082">
        <v>0</v>
      </c>
      <c r="G21" s="4">
        <v>0</v>
      </c>
      <c r="H21" s="1084"/>
      <c r="I21" s="694"/>
      <c r="J21" s="81"/>
      <c r="K21" s="81"/>
    </row>
    <row r="22" spans="1:11">
      <c r="A22" s="51">
        <v>3288</v>
      </c>
      <c r="B22" s="70" t="s">
        <v>586</v>
      </c>
      <c r="C22" s="367">
        <f>130659.05-132984.77</f>
        <v>-2325.7199999999866</v>
      </c>
      <c r="D22" s="4">
        <f t="shared" ref="D22" si="2">+(C22-F22/18%)*9%</f>
        <v>-209.3147999999988</v>
      </c>
      <c r="E22" s="4">
        <f>+D22</f>
        <v>-209.3147999999988</v>
      </c>
      <c r="F22" s="1082">
        <v>0</v>
      </c>
      <c r="G22" s="4">
        <v>2325.7199999999998</v>
      </c>
      <c r="H22" s="1084"/>
      <c r="I22" s="694"/>
      <c r="J22" s="81"/>
      <c r="K22" s="81"/>
    </row>
    <row r="23" spans="1:11">
      <c r="A23" s="51">
        <v>3289</v>
      </c>
      <c r="B23" s="70" t="s">
        <v>447</v>
      </c>
      <c r="C23" s="367"/>
      <c r="D23" s="4">
        <f t="shared" si="1"/>
        <v>0</v>
      </c>
      <c r="E23" s="4">
        <f t="shared" si="0"/>
        <v>0</v>
      </c>
      <c r="F23" s="1082">
        <v>0</v>
      </c>
      <c r="G23" s="4">
        <v>0</v>
      </c>
      <c r="H23" s="1084"/>
      <c r="I23" s="694"/>
      <c r="J23" s="81"/>
      <c r="K23" s="81"/>
    </row>
    <row r="24" spans="1:11">
      <c r="A24" s="158" t="s">
        <v>403</v>
      </c>
      <c r="B24" s="70" t="s">
        <v>408</v>
      </c>
      <c r="C24" s="367"/>
      <c r="D24" s="4">
        <f>+(C24-F24/18%)*9%</f>
        <v>0</v>
      </c>
      <c r="E24" s="4">
        <f>+D24</f>
        <v>0</v>
      </c>
      <c r="F24" s="1082">
        <v>0</v>
      </c>
      <c r="G24" s="4">
        <v>0</v>
      </c>
      <c r="H24" s="1084"/>
      <c r="I24" s="694"/>
      <c r="J24" s="81"/>
      <c r="K24" s="81"/>
    </row>
    <row r="25" spans="1:11">
      <c r="A25" s="158">
        <v>3293</v>
      </c>
      <c r="B25" s="70" t="s">
        <v>415</v>
      </c>
      <c r="C25" s="367"/>
      <c r="D25" s="4">
        <f>+(C25-F25/18%)*9%</f>
        <v>0</v>
      </c>
      <c r="E25" s="4">
        <f>+D25</f>
        <v>0</v>
      </c>
      <c r="F25" s="1082"/>
      <c r="G25" s="4">
        <v>0</v>
      </c>
      <c r="H25" s="1084"/>
      <c r="I25" s="694"/>
      <c r="J25" s="81"/>
      <c r="K25" s="81"/>
    </row>
    <row r="26" spans="1:11">
      <c r="A26" s="158">
        <v>3294</v>
      </c>
      <c r="B26" s="70" t="s">
        <v>436</v>
      </c>
      <c r="C26" s="367"/>
      <c r="D26" s="4">
        <f>+(C26-F26/18%)*9%</f>
        <v>0</v>
      </c>
      <c r="E26" s="4">
        <f>+D26</f>
        <v>0</v>
      </c>
      <c r="F26" s="1082">
        <v>0</v>
      </c>
      <c r="G26" s="4">
        <v>0</v>
      </c>
      <c r="H26" s="1085"/>
      <c r="I26" s="694"/>
      <c r="J26" s="81"/>
      <c r="K26" s="81"/>
    </row>
    <row r="27" spans="1:11" ht="15.75" customHeight="1">
      <c r="A27" s="51" t="s">
        <v>30</v>
      </c>
      <c r="B27" s="70" t="s">
        <v>29</v>
      </c>
      <c r="C27" s="367"/>
      <c r="D27" s="4">
        <f t="shared" si="1"/>
        <v>0</v>
      </c>
      <c r="E27" s="4">
        <f t="shared" si="0"/>
        <v>0</v>
      </c>
      <c r="F27" s="1082">
        <v>0</v>
      </c>
      <c r="G27" s="4">
        <v>0</v>
      </c>
      <c r="H27" s="1086"/>
      <c r="I27" s="694"/>
      <c r="J27" s="344"/>
      <c r="K27" s="344"/>
    </row>
    <row r="28" spans="1:11" ht="15" customHeight="1">
      <c r="A28" s="51" t="s">
        <v>28</v>
      </c>
      <c r="B28" s="70" t="s">
        <v>113</v>
      </c>
      <c r="C28" s="367">
        <v>5482</v>
      </c>
      <c r="D28" s="4">
        <f>+(C28-F28/18%)*9%</f>
        <v>489.38</v>
      </c>
      <c r="E28" s="4">
        <f>D28</f>
        <v>489.38</v>
      </c>
      <c r="F28" s="1082">
        <v>8</v>
      </c>
      <c r="G28" s="4"/>
      <c r="H28" s="1084"/>
      <c r="I28" s="694"/>
      <c r="J28" s="344"/>
      <c r="K28" s="344"/>
    </row>
    <row r="29" spans="1:11" ht="15" customHeight="1">
      <c r="A29" s="51">
        <v>3308</v>
      </c>
      <c r="B29" s="979" t="s">
        <v>657</v>
      </c>
      <c r="C29" s="367"/>
      <c r="D29" s="4">
        <f>+(C29-F29/18%)*9%</f>
        <v>0</v>
      </c>
      <c r="E29" s="4">
        <f>D29</f>
        <v>0</v>
      </c>
      <c r="F29" s="1082">
        <v>0</v>
      </c>
      <c r="G29" s="4">
        <v>0</v>
      </c>
      <c r="H29" s="1084"/>
      <c r="I29" s="694"/>
      <c r="J29" s="344"/>
      <c r="K29" s="344"/>
    </row>
    <row r="30" spans="1:11" ht="15.75" customHeight="1">
      <c r="A30" s="51" t="s">
        <v>114</v>
      </c>
      <c r="B30" s="70" t="s">
        <v>537</v>
      </c>
      <c r="C30" s="367">
        <v>23031.75</v>
      </c>
      <c r="D30" s="4">
        <f>+(C30-F30/18%)*9%</f>
        <v>4.6224999999998539</v>
      </c>
      <c r="E30" s="4">
        <f>D30</f>
        <v>4.6224999999998539</v>
      </c>
      <c r="F30" s="1082">
        <v>4136.47</v>
      </c>
      <c r="G30" s="4">
        <v>0</v>
      </c>
      <c r="H30" s="1084"/>
      <c r="I30" s="694"/>
      <c r="J30" s="344"/>
      <c r="K30" s="344"/>
    </row>
    <row r="31" spans="1:11" ht="15.75" customHeight="1">
      <c r="A31" s="51">
        <v>3309</v>
      </c>
      <c r="B31" s="70" t="s">
        <v>753</v>
      </c>
      <c r="C31" s="367">
        <v>0</v>
      </c>
      <c r="D31" s="4">
        <f>+C31*2.5%</f>
        <v>0</v>
      </c>
      <c r="E31" s="4">
        <f>D31</f>
        <v>0</v>
      </c>
      <c r="F31" s="1082">
        <v>0</v>
      </c>
      <c r="G31" s="4">
        <v>0</v>
      </c>
      <c r="H31" s="1084"/>
      <c r="I31" s="694"/>
      <c r="J31" s="344"/>
      <c r="K31" s="344"/>
    </row>
    <row r="32" spans="1:11">
      <c r="A32" s="51" t="s">
        <v>26</v>
      </c>
      <c r="B32" s="70" t="s">
        <v>25</v>
      </c>
      <c r="C32" s="367">
        <v>246.99</v>
      </c>
      <c r="D32" s="4">
        <f t="shared" si="1"/>
        <v>22.229099999999999</v>
      </c>
      <c r="E32" s="4">
        <f>+D32</f>
        <v>22.229099999999999</v>
      </c>
      <c r="F32" s="1082">
        <v>0</v>
      </c>
      <c r="G32" s="4">
        <v>0</v>
      </c>
      <c r="H32" s="1084">
        <v>0</v>
      </c>
      <c r="I32" s="694"/>
      <c r="J32" s="345"/>
      <c r="K32" s="81"/>
    </row>
    <row r="33" spans="1:11">
      <c r="A33" s="51" t="s">
        <v>24</v>
      </c>
      <c r="B33" s="70" t="s">
        <v>23</v>
      </c>
      <c r="C33" s="367"/>
      <c r="D33" s="4">
        <f t="shared" si="1"/>
        <v>0</v>
      </c>
      <c r="E33" s="4">
        <f t="shared" si="0"/>
        <v>0</v>
      </c>
      <c r="F33" s="1082">
        <v>0</v>
      </c>
      <c r="G33" s="4">
        <v>0</v>
      </c>
      <c r="H33" s="1084"/>
      <c r="I33" s="694"/>
      <c r="J33" s="345"/>
      <c r="K33" s="81"/>
    </row>
    <row r="34" spans="1:11">
      <c r="A34" s="51" t="s">
        <v>22</v>
      </c>
      <c r="B34" s="70" t="s">
        <v>21</v>
      </c>
      <c r="C34" s="367"/>
      <c r="D34" s="4">
        <f t="shared" si="1"/>
        <v>0</v>
      </c>
      <c r="E34" s="4">
        <f t="shared" si="0"/>
        <v>0</v>
      </c>
      <c r="F34" s="1082">
        <v>0</v>
      </c>
      <c r="G34" s="4">
        <v>0</v>
      </c>
      <c r="H34" s="1084">
        <v>0</v>
      </c>
      <c r="I34" s="694"/>
      <c r="J34" s="345"/>
      <c r="K34" s="81"/>
    </row>
    <row r="35" spans="1:11" ht="15.75">
      <c r="A35" s="51" t="s">
        <v>20</v>
      </c>
      <c r="B35" s="70" t="s">
        <v>19</v>
      </c>
      <c r="C35" s="367"/>
      <c r="D35" s="4">
        <f t="shared" si="1"/>
        <v>0</v>
      </c>
      <c r="E35" s="4">
        <f t="shared" si="0"/>
        <v>0</v>
      </c>
      <c r="F35" s="1082">
        <v>0</v>
      </c>
      <c r="G35" s="4">
        <v>0</v>
      </c>
      <c r="H35" s="85"/>
      <c r="I35" s="694"/>
      <c r="J35" s="345"/>
      <c r="K35" s="81"/>
    </row>
    <row r="36" spans="1:11" ht="15.75">
      <c r="A36" s="51" t="s">
        <v>18</v>
      </c>
      <c r="B36" s="70" t="s">
        <v>17</v>
      </c>
      <c r="C36" s="367"/>
      <c r="D36" s="4">
        <f t="shared" si="1"/>
        <v>0</v>
      </c>
      <c r="E36" s="4">
        <f t="shared" si="0"/>
        <v>0</v>
      </c>
      <c r="F36" s="1082">
        <v>0</v>
      </c>
      <c r="G36" s="4">
        <v>0</v>
      </c>
      <c r="H36" s="85"/>
      <c r="I36" s="694"/>
      <c r="J36"/>
      <c r="K36" s="81"/>
    </row>
    <row r="37" spans="1:11" ht="15.75">
      <c r="A37" s="51" t="s">
        <v>16</v>
      </c>
      <c r="B37" s="70" t="s">
        <v>15</v>
      </c>
      <c r="C37" s="367"/>
      <c r="D37" s="4">
        <f t="shared" si="1"/>
        <v>0</v>
      </c>
      <c r="E37" s="4">
        <f t="shared" si="0"/>
        <v>0</v>
      </c>
      <c r="F37" s="1082">
        <v>0</v>
      </c>
      <c r="G37" s="4">
        <v>0</v>
      </c>
      <c r="H37" s="1084">
        <v>0</v>
      </c>
      <c r="I37" s="694"/>
      <c r="J37"/>
      <c r="K37" s="81"/>
    </row>
    <row r="38" spans="1:11" ht="15.75">
      <c r="A38" s="51" t="s">
        <v>14</v>
      </c>
      <c r="B38" s="70" t="s">
        <v>13</v>
      </c>
      <c r="C38" s="367"/>
      <c r="D38" s="4">
        <f t="shared" si="1"/>
        <v>0</v>
      </c>
      <c r="E38" s="4">
        <f t="shared" si="0"/>
        <v>0</v>
      </c>
      <c r="F38" s="1082">
        <v>0</v>
      </c>
      <c r="G38" s="4">
        <v>0</v>
      </c>
      <c r="H38" s="1084"/>
      <c r="I38" s="694"/>
      <c r="J38"/>
      <c r="K38" s="81"/>
    </row>
    <row r="39" spans="1:11" ht="15.75">
      <c r="A39" s="51" t="s">
        <v>12</v>
      </c>
      <c r="B39" s="70" t="s">
        <v>11</v>
      </c>
      <c r="C39" s="367"/>
      <c r="D39" s="4">
        <f t="shared" si="1"/>
        <v>0</v>
      </c>
      <c r="E39" s="4">
        <f t="shared" si="0"/>
        <v>0</v>
      </c>
      <c r="F39" s="1082">
        <v>0</v>
      </c>
      <c r="G39" s="4">
        <v>0</v>
      </c>
      <c r="H39" s="1084"/>
      <c r="I39" s="694"/>
      <c r="J39"/>
      <c r="K39" s="81"/>
    </row>
    <row r="40" spans="1:11" ht="15.75">
      <c r="A40" s="51" t="s">
        <v>116</v>
      </c>
      <c r="B40" s="1029" t="s">
        <v>117</v>
      </c>
      <c r="C40" s="367"/>
      <c r="D40" s="4">
        <f>+(C40-F40/18%)*9%</f>
        <v>0</v>
      </c>
      <c r="E40" s="4">
        <f>+D40</f>
        <v>0</v>
      </c>
      <c r="F40" s="1082">
        <v>0</v>
      </c>
      <c r="G40" s="4">
        <v>0</v>
      </c>
      <c r="H40" s="1084"/>
      <c r="I40" s="694"/>
      <c r="J40"/>
      <c r="K40" s="81"/>
    </row>
    <row r="41" spans="1:11">
      <c r="A41" s="51">
        <v>3335</v>
      </c>
      <c r="B41" s="980" t="s">
        <v>407</v>
      </c>
      <c r="C41" s="367"/>
      <c r="D41" s="4">
        <f>+C41*9%</f>
        <v>0</v>
      </c>
      <c r="E41" s="4">
        <f t="shared" si="0"/>
        <v>0</v>
      </c>
      <c r="F41" s="1082">
        <v>0</v>
      </c>
      <c r="G41" s="4">
        <v>0</v>
      </c>
      <c r="H41" s="1084"/>
      <c r="I41" s="694"/>
      <c r="J41" s="345"/>
      <c r="K41" s="81"/>
    </row>
    <row r="42" spans="1:11">
      <c r="A42" s="51">
        <v>3322</v>
      </c>
      <c r="B42" s="980" t="s">
        <v>305</v>
      </c>
      <c r="C42" s="367"/>
      <c r="D42" s="4">
        <f t="shared" si="1"/>
        <v>0</v>
      </c>
      <c r="E42" s="4">
        <f t="shared" si="0"/>
        <v>0</v>
      </c>
      <c r="F42" s="1082">
        <v>0</v>
      </c>
      <c r="G42" s="4"/>
      <c r="H42" s="39"/>
      <c r="I42" s="694"/>
      <c r="J42" s="345"/>
      <c r="K42" s="81"/>
    </row>
    <row r="43" spans="1:11">
      <c r="A43" s="51">
        <v>3940</v>
      </c>
      <c r="B43" s="980" t="s">
        <v>674</v>
      </c>
      <c r="C43" s="367">
        <v>-2100</v>
      </c>
      <c r="D43" s="4">
        <f>+C43*9%</f>
        <v>-189</v>
      </c>
      <c r="E43" s="4">
        <f>+D43</f>
        <v>-189</v>
      </c>
      <c r="F43" s="1082">
        <v>0</v>
      </c>
      <c r="G43" s="4">
        <v>2100</v>
      </c>
      <c r="H43" s="39"/>
      <c r="I43" s="694"/>
      <c r="J43" s="345"/>
      <c r="K43" s="81"/>
    </row>
    <row r="44" spans="1:11" ht="18">
      <c r="A44" s="51">
        <v>3290</v>
      </c>
      <c r="B44" s="1207" t="s">
        <v>323</v>
      </c>
      <c r="C44" s="367">
        <v>103665.32</v>
      </c>
      <c r="D44" s="4">
        <f>+(C44-F44/18%)*9%</f>
        <v>1087.5188000000003</v>
      </c>
      <c r="E44" s="4">
        <f>+D44</f>
        <v>1087.5188000000003</v>
      </c>
      <c r="F44" s="1082">
        <v>16484.72</v>
      </c>
      <c r="G44" s="4"/>
      <c r="H44" s="4"/>
      <c r="I44" s="694"/>
      <c r="J44" s="346"/>
      <c r="K44" s="347"/>
    </row>
    <row r="45" spans="1:11" ht="15.75">
      <c r="A45" s="37" t="s">
        <v>10</v>
      </c>
      <c r="B45" s="70"/>
      <c r="C45" s="367"/>
      <c r="D45" s="4"/>
      <c r="E45" s="4"/>
      <c r="F45" s="1082">
        <v>0</v>
      </c>
      <c r="G45" s="4"/>
      <c r="H45" s="1084"/>
      <c r="I45" s="694"/>
      <c r="J45" s="113"/>
    </row>
    <row r="46" spans="1:11" ht="15.75">
      <c r="A46" s="16" t="s">
        <v>9</v>
      </c>
      <c r="B46" s="70" t="s">
        <v>118</v>
      </c>
      <c r="C46" s="367">
        <v>0</v>
      </c>
      <c r="D46" s="4">
        <f>+C46*9%</f>
        <v>0</v>
      </c>
      <c r="E46" s="4">
        <f>+D46</f>
        <v>0</v>
      </c>
      <c r="F46" s="1082">
        <v>0</v>
      </c>
      <c r="G46" s="4"/>
      <c r="H46" s="1084"/>
      <c r="I46" s="694"/>
      <c r="J46" s="268"/>
    </row>
    <row r="47" spans="1:11">
      <c r="A47" s="16" t="s">
        <v>7</v>
      </c>
      <c r="B47" s="70" t="s">
        <v>6</v>
      </c>
      <c r="C47" s="367">
        <v>0</v>
      </c>
      <c r="D47" s="4">
        <f>+C47*9%</f>
        <v>0</v>
      </c>
      <c r="E47" s="4">
        <f>+D47</f>
        <v>0</v>
      </c>
      <c r="F47" s="1082">
        <v>0</v>
      </c>
      <c r="G47" s="4"/>
      <c r="H47" s="1087"/>
      <c r="I47" s="694"/>
    </row>
    <row r="48" spans="1:11">
      <c r="A48" s="83" t="s">
        <v>5</v>
      </c>
      <c r="B48" s="70" t="s">
        <v>4</v>
      </c>
      <c r="C48" s="4"/>
      <c r="D48" s="4"/>
      <c r="E48" s="4"/>
      <c r="F48" s="1082">
        <v>0</v>
      </c>
      <c r="G48" s="1088"/>
      <c r="H48" s="1084"/>
      <c r="I48" s="694"/>
    </row>
    <row r="49" spans="1:11" ht="15.75">
      <c r="A49" s="37" t="s">
        <v>2</v>
      </c>
      <c r="B49" s="38"/>
      <c r="C49" s="4">
        <v>0</v>
      </c>
      <c r="D49" s="84"/>
      <c r="E49" s="84"/>
      <c r="F49" s="1082">
        <v>0</v>
      </c>
      <c r="G49" s="1088"/>
      <c r="H49" s="1084"/>
      <c r="I49" s="694"/>
    </row>
    <row r="50" spans="1:11">
      <c r="A50" s="80" t="s">
        <v>1</v>
      </c>
      <c r="B50" s="70" t="s">
        <v>119</v>
      </c>
      <c r="C50" s="4"/>
      <c r="D50" s="84">
        <f>+C50*9%</f>
        <v>0</v>
      </c>
      <c r="E50" s="84">
        <f>+D50</f>
        <v>0</v>
      </c>
      <c r="F50" s="1082">
        <v>0</v>
      </c>
      <c r="G50" s="1088"/>
      <c r="H50" s="1084"/>
      <c r="I50" s="694"/>
    </row>
    <row r="51" spans="1:11">
      <c r="A51" s="80" t="s">
        <v>359</v>
      </c>
      <c r="B51" s="43" t="s">
        <v>363</v>
      </c>
      <c r="C51" s="4">
        <v>0</v>
      </c>
      <c r="D51" s="84">
        <f>+C51*9%</f>
        <v>0</v>
      </c>
      <c r="E51" s="84">
        <f>+D51</f>
        <v>0</v>
      </c>
      <c r="F51" s="1082">
        <v>0</v>
      </c>
      <c r="G51" s="1088"/>
      <c r="H51" s="1084"/>
      <c r="I51" s="694"/>
    </row>
    <row r="52" spans="1:11" ht="15.75">
      <c r="A52" s="85"/>
      <c r="B52" s="86" t="s">
        <v>3</v>
      </c>
      <c r="C52" s="87">
        <f t="shared" ref="C52:H52" si="3">SUM(C8:C48)</f>
        <v>35405.85000000002</v>
      </c>
      <c r="D52" s="87">
        <f t="shared" si="3"/>
        <v>-7845.423499999999</v>
      </c>
      <c r="E52" s="87">
        <f t="shared" si="3"/>
        <v>-7845.423499999999</v>
      </c>
      <c r="F52" s="1083">
        <f t="shared" si="3"/>
        <v>22063.9</v>
      </c>
      <c r="G52" s="87">
        <f t="shared" si="3"/>
        <v>144864.72</v>
      </c>
      <c r="H52" s="87">
        <f t="shared" si="3"/>
        <v>0</v>
      </c>
      <c r="I52" s="694"/>
    </row>
    <row r="53" spans="1:11" ht="15.75">
      <c r="A53" s="82"/>
      <c r="B53" s="89"/>
      <c r="C53" s="88"/>
      <c r="D53" s="695" t="s">
        <v>5</v>
      </c>
      <c r="E53" s="88"/>
      <c r="F53" s="88"/>
      <c r="G53" s="35"/>
    </row>
    <row r="54" spans="1:11" ht="15.75">
      <c r="A54" s="29" t="s">
        <v>76</v>
      </c>
      <c r="B54" s="29"/>
      <c r="C54" s="3"/>
      <c r="D54" s="3"/>
      <c r="E54" s="3"/>
      <c r="F54" s="3"/>
      <c r="G54" s="88">
        <f>+C52*18%</f>
        <v>6373.0530000000035</v>
      </c>
      <c r="H54" s="45">
        <f>+F52+E52+D52</f>
        <v>6373.0530000000035</v>
      </c>
    </row>
    <row r="55" spans="1:11" ht="15.75">
      <c r="A55" s="1244" t="s">
        <v>65</v>
      </c>
      <c r="B55" s="1245"/>
      <c r="C55" s="1246"/>
      <c r="D55" s="1236" t="s">
        <v>89</v>
      </c>
      <c r="E55" s="1236" t="s">
        <v>67</v>
      </c>
      <c r="F55" s="1231" t="s">
        <v>68</v>
      </c>
      <c r="G55" s="981"/>
    </row>
    <row r="56" spans="1:11" ht="15.75">
      <c r="A56" s="1247"/>
      <c r="B56" s="1248"/>
      <c r="C56" s="1249"/>
      <c r="D56" s="1236"/>
      <c r="E56" s="1236"/>
      <c r="F56" s="1232"/>
      <c r="G56" s="981"/>
    </row>
    <row r="57" spans="1:11">
      <c r="A57" s="59" t="s">
        <v>80</v>
      </c>
      <c r="B57" s="60"/>
      <c r="C57" s="63">
        <f>+C52</f>
        <v>35405.85000000002</v>
      </c>
      <c r="D57" s="105">
        <f>+D52</f>
        <v>-7845.423499999999</v>
      </c>
      <c r="E57" s="105">
        <f>+E52</f>
        <v>-7845.423499999999</v>
      </c>
      <c r="F57" s="105">
        <f>+F52</f>
        <v>22063.9</v>
      </c>
      <c r="G57" s="3"/>
      <c r="H57" s="45">
        <f>+D57-D60</f>
        <v>-13024.373499999998</v>
      </c>
    </row>
    <row r="58" spans="1:11">
      <c r="A58" s="43" t="s">
        <v>103</v>
      </c>
      <c r="B58" s="43"/>
      <c r="C58" s="1025">
        <f>+G52</f>
        <v>144864.72</v>
      </c>
      <c r="D58" s="106">
        <f>+C58*0.09</f>
        <v>13037.8248</v>
      </c>
      <c r="E58" s="106">
        <f>+C58*0.09</f>
        <v>13037.8248</v>
      </c>
      <c r="F58" s="106">
        <f>G30*18%</f>
        <v>0</v>
      </c>
      <c r="H58" s="487"/>
      <c r="K58" s="213"/>
    </row>
    <row r="59" spans="1:11">
      <c r="A59" s="43"/>
      <c r="B59" s="43"/>
      <c r="C59" s="1026">
        <f>SUM(C57:C58)</f>
        <v>180270.57</v>
      </c>
      <c r="D59" s="1024">
        <f>+D57+D58</f>
        <v>5192.4013000000014</v>
      </c>
      <c r="E59" s="105">
        <f>+E57+E58</f>
        <v>5192.4013000000014</v>
      </c>
      <c r="F59" s="105">
        <f>+F57+F58</f>
        <v>22063.9</v>
      </c>
      <c r="G59" s="3"/>
      <c r="H59" s="213"/>
    </row>
    <row r="60" spans="1:11" ht="15.75">
      <c r="A60" s="1241" t="s">
        <v>104</v>
      </c>
      <c r="B60" s="1242"/>
      <c r="C60" s="1367"/>
      <c r="D60" s="108">
        <v>5178.95</v>
      </c>
      <c r="E60" s="108">
        <f>+D60</f>
        <v>5178.95</v>
      </c>
      <c r="F60" s="108">
        <v>22063.9</v>
      </c>
      <c r="G60" s="3"/>
    </row>
    <row r="61" spans="1:11" ht="15.75">
      <c r="A61" s="1250" t="s">
        <v>79</v>
      </c>
      <c r="B61" s="1251"/>
      <c r="C61" s="1252"/>
      <c r="D61" s="107">
        <f>+D59-D60</f>
        <v>13.451300000001538</v>
      </c>
      <c r="E61" s="107">
        <f>+E59-E60</f>
        <v>13.451300000001538</v>
      </c>
      <c r="F61" s="107">
        <f>+F59-F60</f>
        <v>0</v>
      </c>
      <c r="G61" s="45">
        <f>+D61/9*100</f>
        <v>149.45888888890596</v>
      </c>
      <c r="H61" s="213"/>
      <c r="I61" s="45">
        <f>1214.11-1222.61</f>
        <v>-8.5</v>
      </c>
    </row>
    <row r="62" spans="1:11" ht="15.75">
      <c r="A62" s="62"/>
      <c r="B62" s="62"/>
      <c r="C62" s="62"/>
      <c r="D62" s="1003"/>
      <c r="E62" s="1003"/>
      <c r="F62" s="1003"/>
      <c r="H62" s="213"/>
    </row>
    <row r="63" spans="1:11" ht="15.75">
      <c r="A63" s="27" t="s">
        <v>77</v>
      </c>
      <c r="B63" s="2"/>
      <c r="C63" s="3"/>
      <c r="D63" s="982"/>
      <c r="E63" s="3"/>
      <c r="F63" s="3"/>
      <c r="G63" s="933"/>
      <c r="H63" s="933"/>
      <c r="J63" s="330"/>
    </row>
    <row r="64" spans="1:11" ht="15.75">
      <c r="A64" s="1218" t="s">
        <v>65</v>
      </c>
      <c r="B64" s="1219"/>
      <c r="C64" s="1220"/>
      <c r="D64" s="1360" t="s">
        <v>70</v>
      </c>
      <c r="E64" s="1360" t="s">
        <v>71</v>
      </c>
      <c r="F64" s="1234" t="s">
        <v>72</v>
      </c>
      <c r="J64" s="331"/>
    </row>
    <row r="65" spans="1:11" ht="15.75">
      <c r="A65" s="1221"/>
      <c r="B65" s="1222"/>
      <c r="C65" s="1223"/>
      <c r="D65" s="1361" t="s">
        <v>67</v>
      </c>
      <c r="E65" s="1361"/>
      <c r="F65" s="1235"/>
      <c r="G65" s="983"/>
      <c r="H65" s="983"/>
      <c r="I65" s="983"/>
      <c r="J65" s="330"/>
    </row>
    <row r="66" spans="1:11" ht="15.75">
      <c r="A66" s="1225"/>
      <c r="B66" s="1226"/>
      <c r="C66" s="1227"/>
      <c r="D66" s="42"/>
      <c r="E66" s="154"/>
      <c r="F66" s="42"/>
      <c r="H66" s="208"/>
      <c r="I66" s="209"/>
      <c r="J66" s="330"/>
    </row>
    <row r="67" spans="1:11" ht="15.75">
      <c r="A67" s="1216" t="s">
        <v>69</v>
      </c>
      <c r="B67" s="1216"/>
      <c r="C67" s="1216"/>
      <c r="D67" s="108">
        <v>95347.77</v>
      </c>
      <c r="E67" s="108">
        <f>+D67</f>
        <v>95347.77</v>
      </c>
      <c r="F67" s="108">
        <v>639133.82999999996</v>
      </c>
      <c r="G67" s="203">
        <f>+D67/2</f>
        <v>47673.885000000002</v>
      </c>
      <c r="H67" s="203">
        <f>+E67/2</f>
        <v>47673.885000000002</v>
      </c>
      <c r="I67" s="203">
        <f>+F67/2</f>
        <v>319566.91499999998</v>
      </c>
      <c r="J67" s="113"/>
      <c r="K67" s="113"/>
    </row>
    <row r="68" spans="1:11" ht="15.75">
      <c r="A68" s="1241" t="s">
        <v>698</v>
      </c>
      <c r="B68" s="1242"/>
      <c r="C68" s="1243"/>
      <c r="D68" s="108">
        <f>+'SUMMARY SHEET GST'!D55</f>
        <v>0</v>
      </c>
      <c r="E68" s="108">
        <f>+'SUMMARY SHEET GST'!E55</f>
        <v>0</v>
      </c>
      <c r="F68" s="108">
        <f>+'SUMMARY SHEET GST'!F55</f>
        <v>0</v>
      </c>
      <c r="G68" s="203"/>
      <c r="H68" s="203"/>
      <c r="I68" s="203"/>
      <c r="J68" s="113"/>
      <c r="K68" s="113"/>
    </row>
    <row r="69" spans="1:11" ht="15.75">
      <c r="A69" s="1354" t="s">
        <v>699</v>
      </c>
      <c r="B69" s="1355"/>
      <c r="C69" s="1356"/>
      <c r="D69" s="108">
        <f>+D67-D68</f>
        <v>95347.77</v>
      </c>
      <c r="E69" s="108">
        <f>+E67-E68</f>
        <v>95347.77</v>
      </c>
      <c r="F69" s="108">
        <f>+F67-F68</f>
        <v>639133.82999999996</v>
      </c>
      <c r="G69" s="203"/>
      <c r="H69" s="203"/>
      <c r="I69" s="203"/>
      <c r="J69" s="113"/>
      <c r="K69" s="113"/>
    </row>
    <row r="70" spans="1:11" ht="15.75">
      <c r="A70" s="1224" t="s">
        <v>83</v>
      </c>
      <c r="B70" s="1224"/>
      <c r="C70" s="1224"/>
      <c r="D70" s="105">
        <f>+C98</f>
        <v>3231.77</v>
      </c>
      <c r="E70" s="114">
        <f>+D98</f>
        <v>3231.77</v>
      </c>
      <c r="F70" s="105">
        <f>+E98</f>
        <v>0</v>
      </c>
      <c r="G70" s="203">
        <f t="shared" ref="G70:I71" si="4">+D70/2</f>
        <v>1615.885</v>
      </c>
      <c r="H70" s="203">
        <f t="shared" si="4"/>
        <v>1615.885</v>
      </c>
      <c r="I70" s="203">
        <f t="shared" si="4"/>
        <v>0</v>
      </c>
      <c r="J70" s="113"/>
      <c r="K70" s="113"/>
    </row>
    <row r="71" spans="1:11" ht="15.75">
      <c r="A71" s="1215" t="s">
        <v>82</v>
      </c>
      <c r="B71" s="1215"/>
      <c r="C71" s="1215"/>
      <c r="D71" s="105">
        <f>+D67-D70</f>
        <v>92116</v>
      </c>
      <c r="E71" s="114">
        <f>+E67-E70</f>
        <v>92116</v>
      </c>
      <c r="F71" s="105">
        <f>+F67-F70</f>
        <v>639133.82999999996</v>
      </c>
      <c r="G71" s="203">
        <f>+D71/2</f>
        <v>46058</v>
      </c>
      <c r="H71" s="203">
        <f t="shared" si="4"/>
        <v>46058</v>
      </c>
      <c r="I71" s="203">
        <f t="shared" si="4"/>
        <v>319566.91499999998</v>
      </c>
      <c r="J71" s="113"/>
      <c r="K71" s="113"/>
    </row>
    <row r="72" spans="1:11" ht="16.5" thickBot="1">
      <c r="A72" s="75"/>
      <c r="B72" s="75"/>
      <c r="C72" s="75"/>
      <c r="D72" s="199"/>
      <c r="E72" s="199"/>
      <c r="F72" s="199"/>
      <c r="G72" s="203"/>
      <c r="H72" s="203"/>
      <c r="I72" s="203"/>
      <c r="J72" s="113"/>
      <c r="K72" s="113"/>
    </row>
    <row r="73" spans="1:11" ht="15.75" customHeight="1">
      <c r="A73" s="1276"/>
      <c r="B73" s="1277"/>
      <c r="C73" s="1277"/>
      <c r="D73" s="1277"/>
      <c r="E73" s="1277"/>
      <c r="F73" s="1278"/>
      <c r="G73" s="203"/>
      <c r="H73" s="203"/>
      <c r="I73" s="203"/>
      <c r="J73" s="113"/>
      <c r="K73" s="113"/>
    </row>
    <row r="74" spans="1:11" ht="15.75" customHeight="1" thickBot="1">
      <c r="A74" s="1279"/>
      <c r="B74" s="1280"/>
      <c r="C74" s="1280"/>
      <c r="D74" s="1280"/>
      <c r="E74" s="1280"/>
      <c r="F74" s="1281"/>
      <c r="G74" s="203"/>
      <c r="H74" s="203"/>
      <c r="I74" s="203"/>
      <c r="J74" s="113"/>
      <c r="K74" s="113"/>
    </row>
    <row r="75" spans="1:11" ht="16.5" thickBot="1">
      <c r="A75" s="135"/>
      <c r="B75" s="1"/>
      <c r="C75" s="1"/>
      <c r="D75" s="1"/>
      <c r="E75" s="1"/>
      <c r="F75" s="1"/>
      <c r="G75" s="208"/>
      <c r="H75" s="113"/>
      <c r="I75" s="113"/>
      <c r="J75" s="113"/>
      <c r="K75" s="113"/>
    </row>
    <row r="76" spans="1:11" ht="15.75" customHeight="1" thickBot="1">
      <c r="A76" s="1285" t="s">
        <v>840</v>
      </c>
      <c r="B76" s="1286"/>
      <c r="C76" s="1286"/>
      <c r="D76" s="1286"/>
      <c r="E76" s="1287"/>
      <c r="F76" s="1"/>
      <c r="G76" s="208"/>
      <c r="H76" s="113"/>
      <c r="I76" s="113"/>
      <c r="J76" s="113"/>
      <c r="K76" s="113"/>
    </row>
    <row r="77" spans="1:11" ht="16.5" customHeight="1" thickBot="1">
      <c r="A77" s="1365" t="s">
        <v>414</v>
      </c>
      <c r="B77" s="1366"/>
      <c r="C77" s="410" t="s">
        <v>89</v>
      </c>
      <c r="D77" s="410" t="s">
        <v>67</v>
      </c>
      <c r="E77" s="410" t="s">
        <v>68</v>
      </c>
      <c r="F77" s="410" t="s">
        <v>496</v>
      </c>
      <c r="G77" s="208"/>
      <c r="H77" s="113"/>
      <c r="I77" s="113"/>
      <c r="J77" s="113"/>
      <c r="K77" s="113"/>
    </row>
    <row r="78" spans="1:11" ht="15.75">
      <c r="A78" s="525"/>
      <c r="B78" s="486" t="s">
        <v>102</v>
      </c>
      <c r="C78" s="411">
        <v>2490.77</v>
      </c>
      <c r="D78" s="411">
        <f t="shared" ref="D78:D97" si="5">+C78</f>
        <v>2490.77</v>
      </c>
      <c r="E78" s="411"/>
      <c r="F78" s="469" t="s">
        <v>534</v>
      </c>
      <c r="G78" s="208"/>
      <c r="H78" s="113"/>
      <c r="I78" s="113"/>
      <c r="J78" s="113"/>
      <c r="K78" s="113"/>
    </row>
    <row r="79" spans="1:11" ht="15.75">
      <c r="A79" s="469"/>
      <c r="B79" s="486" t="s">
        <v>720</v>
      </c>
      <c r="C79" s="411"/>
      <c r="D79" s="411">
        <f t="shared" si="5"/>
        <v>0</v>
      </c>
      <c r="E79" s="411"/>
      <c r="F79" s="469" t="s">
        <v>534</v>
      </c>
      <c r="G79" s="208"/>
      <c r="H79" s="113"/>
      <c r="I79" s="113"/>
      <c r="J79" s="113"/>
      <c r="K79" s="113"/>
    </row>
    <row r="80" spans="1:11" ht="15.75">
      <c r="A80" s="486"/>
      <c r="B80" s="486" t="s">
        <v>771</v>
      </c>
      <c r="C80" s="411"/>
      <c r="D80" s="411">
        <f t="shared" si="5"/>
        <v>0</v>
      </c>
      <c r="E80" s="411"/>
      <c r="F80" s="469" t="s">
        <v>534</v>
      </c>
      <c r="G80" s="1"/>
      <c r="H80" s="1"/>
      <c r="I80" s="1"/>
    </row>
    <row r="81" spans="1:9" ht="15.75">
      <c r="A81" s="486"/>
      <c r="B81" s="486" t="s">
        <v>953</v>
      </c>
      <c r="C81" s="411">
        <v>741</v>
      </c>
      <c r="D81" s="411">
        <f t="shared" ref="D81" si="6">+C81</f>
        <v>741</v>
      </c>
      <c r="E81" s="411"/>
      <c r="F81" s="469" t="s">
        <v>534</v>
      </c>
      <c r="G81" s="1"/>
      <c r="H81" s="1"/>
      <c r="I81" s="1"/>
    </row>
    <row r="82" spans="1:9" ht="15.75">
      <c r="A82" s="486"/>
      <c r="B82" s="486" t="s">
        <v>839</v>
      </c>
      <c r="C82" s="411"/>
      <c r="D82" s="411">
        <f t="shared" si="5"/>
        <v>0</v>
      </c>
      <c r="E82" s="411"/>
      <c r="F82" s="469" t="s">
        <v>534</v>
      </c>
      <c r="G82" s="1"/>
      <c r="H82" s="1"/>
      <c r="I82" s="1"/>
    </row>
    <row r="83" spans="1:9" ht="15.75">
      <c r="A83" s="486"/>
      <c r="B83" s="662" t="s">
        <v>613</v>
      </c>
      <c r="C83" s="411"/>
      <c r="D83" s="411">
        <f t="shared" si="5"/>
        <v>0</v>
      </c>
      <c r="E83" s="411"/>
      <c r="F83" s="469" t="s">
        <v>534</v>
      </c>
    </row>
    <row r="84" spans="1:9" ht="15.75">
      <c r="A84" s="486"/>
      <c r="B84" s="662" t="s">
        <v>721</v>
      </c>
      <c r="C84" s="411"/>
      <c r="D84" s="681">
        <f t="shared" si="5"/>
        <v>0</v>
      </c>
      <c r="E84" s="411"/>
      <c r="F84" s="469" t="s">
        <v>534</v>
      </c>
    </row>
    <row r="85" spans="1:9" ht="15.75">
      <c r="A85" s="486"/>
      <c r="B85" s="662" t="s">
        <v>102</v>
      </c>
      <c r="C85" s="411"/>
      <c r="D85" s="411">
        <f t="shared" si="5"/>
        <v>0</v>
      </c>
      <c r="E85" s="411"/>
      <c r="F85" s="469"/>
    </row>
    <row r="86" spans="1:9" ht="15.75">
      <c r="A86" s="526"/>
      <c r="B86" s="663" t="s">
        <v>809</v>
      </c>
      <c r="C86" s="411"/>
      <c r="D86" s="411">
        <f t="shared" si="5"/>
        <v>0</v>
      </c>
      <c r="E86" s="411"/>
      <c r="F86" s="469"/>
    </row>
    <row r="87" spans="1:9" ht="15.75">
      <c r="A87" s="469"/>
      <c r="B87" s="663" t="s">
        <v>810</v>
      </c>
      <c r="C87" s="411"/>
      <c r="D87" s="411">
        <f t="shared" si="5"/>
        <v>0</v>
      </c>
      <c r="E87" s="411"/>
      <c r="F87" s="469"/>
    </row>
    <row r="88" spans="1:9" ht="15.75">
      <c r="A88" s="469"/>
      <c r="B88" s="861" t="s">
        <v>788</v>
      </c>
      <c r="C88" s="411"/>
      <c r="D88" s="411">
        <f t="shared" si="5"/>
        <v>0</v>
      </c>
      <c r="E88" s="411"/>
      <c r="F88" s="469"/>
    </row>
    <row r="89" spans="1:9" ht="15.75">
      <c r="A89" s="469"/>
      <c r="B89" s="662" t="s">
        <v>770</v>
      </c>
      <c r="C89" s="411"/>
      <c r="D89" s="681">
        <f>+C89</f>
        <v>0</v>
      </c>
      <c r="E89" s="411"/>
      <c r="F89" s="469"/>
    </row>
    <row r="90" spans="1:9" ht="15.75">
      <c r="A90" s="469"/>
      <c r="B90" s="486" t="s">
        <v>677</v>
      </c>
      <c r="C90" s="411"/>
      <c r="D90" s="681">
        <f t="shared" si="5"/>
        <v>0</v>
      </c>
      <c r="E90" s="411"/>
      <c r="F90" s="469"/>
    </row>
    <row r="91" spans="1:9" ht="15.75">
      <c r="A91" s="469"/>
      <c r="B91" s="710" t="s">
        <v>658</v>
      </c>
      <c r="C91" s="411"/>
      <c r="D91" s="681">
        <f t="shared" si="5"/>
        <v>0</v>
      </c>
      <c r="E91" s="411"/>
      <c r="F91" s="469"/>
    </row>
    <row r="92" spans="1:9" ht="15.75">
      <c r="A92" s="469"/>
      <c r="B92" s="486" t="s">
        <v>748</v>
      </c>
      <c r="C92" s="411"/>
      <c r="D92" s="681">
        <f t="shared" si="5"/>
        <v>0</v>
      </c>
      <c r="E92" s="411"/>
      <c r="F92" s="469"/>
    </row>
    <row r="93" spans="1:9" ht="15.75">
      <c r="A93" s="469"/>
      <c r="B93" s="486" t="s">
        <v>768</v>
      </c>
      <c r="C93" s="411"/>
      <c r="D93" s="681">
        <f t="shared" si="5"/>
        <v>0</v>
      </c>
      <c r="E93" s="411"/>
      <c r="F93" s="469"/>
    </row>
    <row r="94" spans="1:9" ht="15.75">
      <c r="A94" s="469"/>
      <c r="B94" s="486" t="s">
        <v>769</v>
      </c>
      <c r="C94" s="411"/>
      <c r="D94" s="681">
        <f t="shared" si="5"/>
        <v>0</v>
      </c>
      <c r="E94" s="411"/>
      <c r="F94" s="469"/>
    </row>
    <row r="95" spans="1:9" ht="15.75">
      <c r="A95" s="469"/>
      <c r="B95" s="486" t="s">
        <v>761</v>
      </c>
      <c r="C95" s="411"/>
      <c r="D95" s="681">
        <f t="shared" si="5"/>
        <v>0</v>
      </c>
      <c r="E95" s="411"/>
      <c r="F95" s="469"/>
    </row>
    <row r="96" spans="1:9" ht="15.75">
      <c r="A96" s="469"/>
      <c r="B96" s="486" t="s">
        <v>440</v>
      </c>
      <c r="C96" s="411"/>
      <c r="D96" s="681">
        <f>+C96</f>
        <v>0</v>
      </c>
      <c r="E96" s="411"/>
      <c r="F96" s="469"/>
    </row>
    <row r="97" spans="1:6" ht="16.5" thickBot="1">
      <c r="A97" s="491"/>
      <c r="B97" s="710" t="s">
        <v>658</v>
      </c>
      <c r="C97" s="411">
        <v>0</v>
      </c>
      <c r="D97" s="681">
        <f t="shared" si="5"/>
        <v>0</v>
      </c>
      <c r="E97" s="411"/>
      <c r="F97" s="469"/>
    </row>
    <row r="98" spans="1:6" ht="16.5" thickBot="1">
      <c r="A98" s="1285" t="s">
        <v>135</v>
      </c>
      <c r="B98" s="1287"/>
      <c r="C98" s="412">
        <f>+SUM(C78:C97)</f>
        <v>3231.77</v>
      </c>
      <c r="D98" s="412">
        <f>+SUM(D78:D97)</f>
        <v>3231.77</v>
      </c>
      <c r="E98" s="412">
        <f>+SUM(E78:E97)</f>
        <v>0</v>
      </c>
    </row>
    <row r="99" spans="1:6" ht="18">
      <c r="A99" s="403"/>
      <c r="B99" s="403"/>
      <c r="C99" s="403"/>
      <c r="D99" s="403"/>
      <c r="E99" s="403"/>
      <c r="F99" s="403"/>
    </row>
    <row r="100" spans="1:6" ht="15.75">
      <c r="A100" s="872"/>
      <c r="B100" s="872"/>
      <c r="C100" s="872"/>
      <c r="D100" s="872"/>
      <c r="E100" s="872"/>
      <c r="F100" s="793"/>
    </row>
    <row r="101" spans="1:6" ht="15.75">
      <c r="A101" s="872"/>
      <c r="B101" s="872"/>
      <c r="C101" s="872"/>
      <c r="D101" s="872"/>
      <c r="E101" s="872"/>
      <c r="F101" s="793"/>
    </row>
    <row r="102" spans="1:6" ht="15" customHeight="1">
      <c r="A102" s="1362"/>
      <c r="B102" s="1362"/>
      <c r="C102" s="1362"/>
      <c r="D102" s="1362"/>
      <c r="E102" s="1362"/>
      <c r="F102" s="1362"/>
    </row>
    <row r="103" spans="1:6" ht="15" customHeight="1">
      <c r="A103" s="1362"/>
      <c r="B103" s="1362"/>
      <c r="C103" s="1362"/>
      <c r="D103" s="1362"/>
      <c r="E103" s="1362"/>
      <c r="F103" s="1362"/>
    </row>
    <row r="104" spans="1:6">
      <c r="A104" s="1362"/>
      <c r="B104" s="1362"/>
      <c r="C104" s="1362"/>
      <c r="D104" s="1362"/>
      <c r="E104" s="1362"/>
      <c r="F104" s="1362"/>
    </row>
  </sheetData>
  <mergeCells count="29">
    <mergeCell ref="A102:F104"/>
    <mergeCell ref="G5:G6"/>
    <mergeCell ref="D55:D56"/>
    <mergeCell ref="H5:H6"/>
    <mergeCell ref="A77:B77"/>
    <mergeCell ref="E64:E65"/>
    <mergeCell ref="F64:F65"/>
    <mergeCell ref="A66:C66"/>
    <mergeCell ref="A67:C67"/>
    <mergeCell ref="A70:C70"/>
    <mergeCell ref="A71:C71"/>
    <mergeCell ref="F55:F56"/>
    <mergeCell ref="A60:C60"/>
    <mergeCell ref="A61:C61"/>
    <mergeCell ref="A64:C65"/>
    <mergeCell ref="A76:E76"/>
    <mergeCell ref="E55:E56"/>
    <mergeCell ref="D64:D65"/>
    <mergeCell ref="A55:C56"/>
    <mergeCell ref="A98:B98"/>
    <mergeCell ref="A68:C68"/>
    <mergeCell ref="A69:C69"/>
    <mergeCell ref="A73:F74"/>
    <mergeCell ref="A1:F1"/>
    <mergeCell ref="A3:F3"/>
    <mergeCell ref="D5:D6"/>
    <mergeCell ref="E5:E6"/>
    <mergeCell ref="F5:F6"/>
    <mergeCell ref="A2:F2"/>
  </mergeCells>
  <conditionalFormatting sqref="A76:A80 A82:A98">
    <cfRule type="containsText" dxfId="27" priority="23" operator="containsText" text="EXCESS COLLECTED">
      <formula>NOT(ISERROR(SEARCH("EXCESS COLLECTED",A76)))</formula>
    </cfRule>
  </conditionalFormatting>
  <conditionalFormatting sqref="A54:G57 A75:G75 F76:F80 C78:E80 A1:M1 A2 G2:M2 A3:M4 A5:H5 I5:M6 A6:F6 A7:M7 H8:M8 H16:M18 G16:G41 H19:H26 J19:M26 I19:I52 A25:B28 H28:H39 A29 A30:B48 M30:M53 J32:K32 J33:J35 K34:K44 L36:L53 J41:J44 G42:H51 J45:K57 A49:F51 C52:F52 A52:D53 E53:F53 H53:I53 H54:H60 I54:I62 L54:M66 K58 J59:K65 K66 A67:I67 J67:M80 A68:A69 D68:I69 A70:I72 A73 G73:I80 A105:XFD1048576 G9:M15 N1:XFD80 A8:F24 C25:F48 G82:XFD104 C82:F97">
    <cfRule type="containsText" dxfId="26" priority="172" operator="containsText" text="LESS COLLECTED">
      <formula>NOT(ISERROR(SEARCH("LESS COLLECTED",A1)))</formula>
    </cfRule>
  </conditionalFormatting>
  <conditionalFormatting sqref="D55:E56 G57 A58:F58 A59:G59 D63:E63 A65:I65 A66:F66 H66 G75:G79 C77:D79 C78:F80 C82:F97">
    <cfRule type="containsText" dxfId="25" priority="169" operator="containsText" text="EXCESS COLLECTED">
      <formula>NOT(ISERROR(SEARCH("EXCESS COLLECTED",A55)))</formula>
    </cfRule>
  </conditionalFormatting>
  <conditionalFormatting sqref="D55:E56 G57 A58:F58 A59:G62 A63:H63 A64:F66 A65:I65 H66:I66 C77:F80 C82:F98">
    <cfRule type="containsText" dxfId="24" priority="170" operator="containsText" text="LESS COLLECTED">
      <formula>NOT(ISERROR(SEARCH("LESS COLLECTED",A55)))</formula>
    </cfRule>
  </conditionalFormatting>
  <conditionalFormatting sqref="G52:G54">
    <cfRule type="containsText" dxfId="23" priority="8" operator="containsText" text="LESS COLLECTED">
      <formula>NOT(ISERROR(SEARCH("LESS COLLECTED",G52)))</formula>
    </cfRule>
  </conditionalFormatting>
  <conditionalFormatting sqref="H52">
    <cfRule type="containsText" dxfId="22" priority="7" operator="containsText" text="LESS COLLECTED">
      <formula>NOT(ISERROR(SEARCH("LESS COLLECTED",H52)))</formula>
    </cfRule>
  </conditionalFormatting>
  <conditionalFormatting sqref="A81">
    <cfRule type="containsText" dxfId="21" priority="1" operator="containsText" text="EXCESS COLLECTED">
      <formula>NOT(ISERROR(SEARCH("EXCESS COLLECTED",A81)))</formula>
    </cfRule>
  </conditionalFormatting>
  <conditionalFormatting sqref="C81:XFD81">
    <cfRule type="containsText" dxfId="20" priority="4" operator="containsText" text="LESS COLLECTED">
      <formula>NOT(ISERROR(SEARCH("LESS COLLECTED",C81)))</formula>
    </cfRule>
  </conditionalFormatting>
  <conditionalFormatting sqref="C81:F81">
    <cfRule type="containsText" dxfId="19" priority="2" operator="containsText" text="EXCESS COLLECTED">
      <formula>NOT(ISERROR(SEARCH("EXCESS COLLECTED",C81)))</formula>
    </cfRule>
  </conditionalFormatting>
  <conditionalFormatting sqref="C81:F81">
    <cfRule type="containsText" dxfId="18" priority="3" operator="containsText" text="LESS COLLECTED">
      <formula>NOT(ISERROR(SEARCH("LESS COLLECTED",C81)))</formula>
    </cfRule>
  </conditionalFormatting>
  <pageMargins left="0.51181102362204722" right="0.19685039370078741" top="0.35433070866141736" bottom="0.74803149606299213" header="0.31496062992125984" footer="0.31496062992125984"/>
  <pageSetup paperSize="9" scale="46" orientation="portrait" r:id="rId1"/>
  <ignoredErrors>
    <ignoredError sqref="D27 D40 D18:D19 E20 D14 D23" formula="1"/>
    <ignoredError sqref="F52 C52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92D050"/>
  </sheetPr>
  <dimension ref="A1:W101"/>
  <sheetViews>
    <sheetView topLeftCell="A47" zoomScale="90" zoomScaleNormal="90" workbookViewId="0">
      <selection activeCell="D44" sqref="D44"/>
    </sheetView>
  </sheetViews>
  <sheetFormatPr defaultColWidth="9.140625" defaultRowHeight="15"/>
  <cols>
    <col min="1" max="1" width="18.140625" style="1" customWidth="1"/>
    <col min="2" max="2" width="38" style="1" customWidth="1"/>
    <col min="3" max="3" width="29.42578125" style="1" customWidth="1"/>
    <col min="4" max="4" width="17.7109375" style="1" bestFit="1" customWidth="1"/>
    <col min="5" max="5" width="29" style="1" customWidth="1"/>
    <col min="6" max="6" width="28.42578125" style="1" customWidth="1"/>
    <col min="7" max="7" width="21.7109375" style="1" bestFit="1" customWidth="1"/>
    <col min="8" max="8" width="24.42578125" style="1" customWidth="1"/>
    <col min="9" max="9" width="17" style="1" bestFit="1" customWidth="1"/>
    <col min="10" max="10" width="12.42578125" style="1" bestFit="1" customWidth="1"/>
    <col min="11" max="11" width="9.85546875" style="1" bestFit="1" customWidth="1"/>
    <col min="12" max="16384" width="9.140625" style="1"/>
  </cols>
  <sheetData>
    <row r="1" spans="1:10" ht="15.75">
      <c r="A1" s="1228" t="s">
        <v>120</v>
      </c>
      <c r="B1" s="1228"/>
      <c r="C1" s="1228"/>
      <c r="D1" s="1228"/>
      <c r="E1" s="1228"/>
      <c r="F1" s="1228"/>
    </row>
    <row r="2" spans="1:10" ht="15.75">
      <c r="A2" s="1359" t="s">
        <v>835</v>
      </c>
      <c r="B2" s="1359"/>
      <c r="C2" s="1359"/>
      <c r="D2" s="1359"/>
      <c r="E2" s="1359"/>
      <c r="F2" s="1359"/>
    </row>
    <row r="3" spans="1:10" ht="15.75">
      <c r="A3" s="1228" t="str">
        <f>+THALTEJ!A5</f>
        <v>SUMMARY OF INCOME FOR THE MONTH OF SEP 2026</v>
      </c>
      <c r="B3" s="1228"/>
      <c r="C3" s="1228"/>
      <c r="D3" s="1228"/>
      <c r="E3" s="1228"/>
      <c r="F3" s="1228"/>
      <c r="G3" s="1">
        <v>0</v>
      </c>
    </row>
    <row r="4" spans="1:10" ht="15.75">
      <c r="A4" s="24" t="s">
        <v>5</v>
      </c>
      <c r="B4" s="3"/>
      <c r="C4" s="44"/>
      <c r="D4" s="45"/>
      <c r="E4" s="3"/>
      <c r="F4" s="3"/>
      <c r="G4" s="1">
        <v>0</v>
      </c>
    </row>
    <row r="5" spans="1:10" ht="26.25" customHeight="1">
      <c r="A5" s="264" t="s">
        <v>66</v>
      </c>
      <c r="B5" s="47" t="s">
        <v>65</v>
      </c>
      <c r="C5" s="21" t="s">
        <v>64</v>
      </c>
      <c r="D5" s="1231" t="s">
        <v>89</v>
      </c>
      <c r="E5" s="1231" t="s">
        <v>67</v>
      </c>
      <c r="F5" s="1231" t="s">
        <v>68</v>
      </c>
      <c r="G5" s="1368" t="s">
        <v>383</v>
      </c>
      <c r="H5" s="1368" t="s">
        <v>384</v>
      </c>
      <c r="I5" s="1368" t="s">
        <v>431</v>
      </c>
    </row>
    <row r="6" spans="1:10" ht="25.5" customHeight="1">
      <c r="A6" s="48" t="s">
        <v>63</v>
      </c>
      <c r="B6" s="49"/>
      <c r="C6" s="19" t="s">
        <v>62</v>
      </c>
      <c r="D6" s="1232"/>
      <c r="E6" s="1232"/>
      <c r="F6" s="1232"/>
      <c r="G6" s="1368"/>
      <c r="H6" s="1368"/>
      <c r="I6" s="1368"/>
    </row>
    <row r="7" spans="1:10" ht="15.75">
      <c r="A7" s="658"/>
      <c r="B7" s="49"/>
      <c r="C7" s="4"/>
      <c r="D7" s="36"/>
      <c r="E7" s="36"/>
      <c r="F7" s="148"/>
      <c r="G7" s="266"/>
      <c r="H7" s="266"/>
      <c r="I7" s="266">
        <v>0</v>
      </c>
      <c r="J7" s="342"/>
    </row>
    <row r="8" spans="1:10" ht="15.75">
      <c r="A8" s="160">
        <v>3310</v>
      </c>
      <c r="B8" s="70" t="s">
        <v>364</v>
      </c>
      <c r="C8" s="1202">
        <v>1.3</v>
      </c>
      <c r="D8" s="592">
        <f>+C8*0.09</f>
        <v>0.11699999999999999</v>
      </c>
      <c r="E8" s="592">
        <f>+D8</f>
        <v>0.11699999999999999</v>
      </c>
      <c r="F8" s="4">
        <v>0</v>
      </c>
      <c r="G8" s="266"/>
      <c r="H8" s="266"/>
      <c r="I8" s="266">
        <v>0</v>
      </c>
      <c r="J8" s="342"/>
    </row>
    <row r="9" spans="1:10" ht="15.75">
      <c r="A9" s="51">
        <v>3315</v>
      </c>
      <c r="B9" s="70" t="s">
        <v>15</v>
      </c>
      <c r="C9" s="1201">
        <v>0</v>
      </c>
      <c r="D9" s="592">
        <f>+(C9-F9/18%)*9%</f>
        <v>0</v>
      </c>
      <c r="E9" s="592">
        <f t="shared" ref="E9:E28" si="0">+D9</f>
        <v>0</v>
      </c>
      <c r="F9" s="4">
        <v>0</v>
      </c>
      <c r="G9" s="266"/>
      <c r="H9" s="266"/>
      <c r="I9" s="266">
        <v>0</v>
      </c>
      <c r="J9" s="342"/>
    </row>
    <row r="10" spans="1:10" ht="15.75">
      <c r="A10" s="160">
        <v>3322</v>
      </c>
      <c r="B10" s="70" t="s">
        <v>335</v>
      </c>
      <c r="C10" s="1201">
        <v>0</v>
      </c>
      <c r="D10" s="592">
        <f>+(C10-F10/18%)*9%</f>
        <v>0</v>
      </c>
      <c r="E10" s="592">
        <f t="shared" si="0"/>
        <v>0</v>
      </c>
      <c r="F10" s="4">
        <v>0</v>
      </c>
      <c r="G10" s="266"/>
      <c r="H10" s="266"/>
      <c r="I10" s="266">
        <v>0</v>
      </c>
      <c r="J10" s="342"/>
    </row>
    <row r="11" spans="1:10" ht="15.75">
      <c r="A11" s="51">
        <v>3332</v>
      </c>
      <c r="B11" s="70" t="s">
        <v>121</v>
      </c>
      <c r="C11" s="1201">
        <v>14501.83</v>
      </c>
      <c r="D11" s="592">
        <f>+(C11-F11/18%)*9%</f>
        <v>1.0996999999998116</v>
      </c>
      <c r="E11" s="592">
        <f>+D11</f>
        <v>1.0996999999998116</v>
      </c>
      <c r="F11" s="4">
        <f>2610.33-2.2</f>
        <v>2608.13</v>
      </c>
      <c r="G11" s="266">
        <v>0</v>
      </c>
      <c r="H11" s="266">
        <v>0</v>
      </c>
      <c r="I11" s="266">
        <v>0</v>
      </c>
      <c r="J11" s="342"/>
    </row>
    <row r="12" spans="1:10" ht="15.75">
      <c r="A12" s="51" t="s">
        <v>468</v>
      </c>
      <c r="B12" s="1077" t="s">
        <v>495</v>
      </c>
      <c r="C12" s="1201"/>
      <c r="D12" s="592">
        <f t="shared" ref="D12:D28" si="1">+(C12-F12/18%)*9%</f>
        <v>0</v>
      </c>
      <c r="E12" s="592">
        <f t="shared" si="0"/>
        <v>0</v>
      </c>
      <c r="F12" s="4">
        <v>0</v>
      </c>
      <c r="G12" s="266"/>
      <c r="H12" s="266"/>
      <c r="I12" s="266">
        <v>0</v>
      </c>
      <c r="J12" s="342"/>
    </row>
    <row r="13" spans="1:10" ht="15.75">
      <c r="A13" s="51"/>
      <c r="B13" s="70" t="s">
        <v>121</v>
      </c>
      <c r="C13" s="1201"/>
      <c r="D13" s="592">
        <f t="shared" si="1"/>
        <v>0</v>
      </c>
      <c r="E13" s="592">
        <f t="shared" si="0"/>
        <v>0</v>
      </c>
      <c r="F13" s="4">
        <v>0</v>
      </c>
      <c r="G13" s="266"/>
      <c r="H13" s="266"/>
      <c r="I13" s="266">
        <v>0</v>
      </c>
      <c r="J13" s="342"/>
    </row>
    <row r="14" spans="1:10" ht="15.75">
      <c r="A14" s="51">
        <v>3334</v>
      </c>
      <c r="B14" s="70" t="s">
        <v>122</v>
      </c>
      <c r="C14" s="1201">
        <v>0</v>
      </c>
      <c r="D14" s="592">
        <f t="shared" si="1"/>
        <v>0</v>
      </c>
      <c r="E14" s="592">
        <f t="shared" si="0"/>
        <v>0</v>
      </c>
      <c r="F14" s="4">
        <v>0</v>
      </c>
      <c r="G14" s="266"/>
      <c r="H14" s="266"/>
      <c r="I14" s="266">
        <v>0</v>
      </c>
      <c r="J14" s="342"/>
    </row>
    <row r="15" spans="1:10" ht="15.75">
      <c r="A15" s="51">
        <v>3341</v>
      </c>
      <c r="B15" s="70" t="s">
        <v>123</v>
      </c>
      <c r="C15" s="1201">
        <v>0</v>
      </c>
      <c r="D15" s="592">
        <f t="shared" si="1"/>
        <v>0</v>
      </c>
      <c r="E15" s="592">
        <f t="shared" si="0"/>
        <v>0</v>
      </c>
      <c r="F15" s="4">
        <v>0</v>
      </c>
      <c r="G15" s="266"/>
      <c r="H15" s="266"/>
      <c r="I15" s="266">
        <v>0</v>
      </c>
      <c r="J15" s="342"/>
    </row>
    <row r="16" spans="1:10" ht="15.75">
      <c r="A16" s="51">
        <v>3345</v>
      </c>
      <c r="B16" s="70" t="s">
        <v>124</v>
      </c>
      <c r="C16" s="1201">
        <f>3240-200</f>
        <v>3040</v>
      </c>
      <c r="D16" s="592">
        <f t="shared" si="1"/>
        <v>273.59999999999997</v>
      </c>
      <c r="E16" s="592">
        <f t="shared" si="0"/>
        <v>273.59999999999997</v>
      </c>
      <c r="F16" s="4">
        <v>0</v>
      </c>
      <c r="G16" s="266"/>
      <c r="H16" s="266"/>
      <c r="I16" s="266">
        <v>0</v>
      </c>
      <c r="J16" s="342"/>
    </row>
    <row r="17" spans="1:10" ht="15.75">
      <c r="A17" s="51">
        <v>3346</v>
      </c>
      <c r="B17" s="70" t="s">
        <v>125</v>
      </c>
      <c r="C17" s="1201">
        <v>0</v>
      </c>
      <c r="D17" s="592">
        <f t="shared" si="1"/>
        <v>0</v>
      </c>
      <c r="E17" s="592">
        <f t="shared" si="0"/>
        <v>0</v>
      </c>
      <c r="F17" s="4">
        <v>0</v>
      </c>
      <c r="G17" s="266">
        <v>0</v>
      </c>
      <c r="H17" s="266"/>
      <c r="I17" s="266">
        <v>0</v>
      </c>
      <c r="J17" s="342"/>
    </row>
    <row r="18" spans="1:10" ht="15.75">
      <c r="A18" s="51">
        <v>3347</v>
      </c>
      <c r="B18" s="1196" t="s">
        <v>945</v>
      </c>
      <c r="C18" s="1201">
        <v>100</v>
      </c>
      <c r="D18" s="592">
        <f t="shared" ref="D18" si="2">+(C18-F18/18%)*9%</f>
        <v>9</v>
      </c>
      <c r="E18" s="592">
        <f t="shared" ref="E18" si="3">+D18</f>
        <v>9</v>
      </c>
      <c r="F18" s="4">
        <v>0</v>
      </c>
      <c r="G18" s="266">
        <v>0</v>
      </c>
      <c r="H18" s="266"/>
      <c r="I18" s="266">
        <v>0</v>
      </c>
      <c r="J18" s="342"/>
    </row>
    <row r="19" spans="1:10" ht="15.75">
      <c r="A19" s="51">
        <v>3350</v>
      </c>
      <c r="B19" s="70" t="s">
        <v>126</v>
      </c>
      <c r="C19" s="1201">
        <v>19691.34</v>
      </c>
      <c r="D19" s="592">
        <f t="shared" si="1"/>
        <v>1605.2206000000001</v>
      </c>
      <c r="E19" s="592">
        <f t="shared" si="0"/>
        <v>1605.2206000000001</v>
      </c>
      <c r="F19" s="4">
        <v>334</v>
      </c>
      <c r="G19" s="266">
        <v>0</v>
      </c>
      <c r="H19" s="266">
        <v>0</v>
      </c>
      <c r="I19" s="266">
        <v>0</v>
      </c>
      <c r="J19" s="342"/>
    </row>
    <row r="20" spans="1:10" ht="15.75">
      <c r="A20" s="51">
        <v>3358</v>
      </c>
      <c r="B20" s="70" t="s">
        <v>467</v>
      </c>
      <c r="C20" s="1201">
        <v>35</v>
      </c>
      <c r="D20" s="592">
        <f>+(C20-F20/18%)*9%</f>
        <v>3.15</v>
      </c>
      <c r="E20" s="592">
        <f>+D20</f>
        <v>3.15</v>
      </c>
      <c r="F20" s="4">
        <v>0</v>
      </c>
      <c r="G20" s="266">
        <v>0</v>
      </c>
      <c r="H20" s="266"/>
      <c r="I20" s="266">
        <v>0</v>
      </c>
      <c r="J20" s="342"/>
    </row>
    <row r="21" spans="1:10" ht="15" customHeight="1">
      <c r="A21" s="51">
        <v>3360</v>
      </c>
      <c r="B21" s="70" t="s">
        <v>127</v>
      </c>
      <c r="C21" s="1201">
        <v>86805</v>
      </c>
      <c r="D21" s="592">
        <f t="shared" si="1"/>
        <v>7812.45</v>
      </c>
      <c r="E21" s="592">
        <f t="shared" si="0"/>
        <v>7812.45</v>
      </c>
      <c r="F21" s="4">
        <v>0</v>
      </c>
      <c r="G21" s="266"/>
      <c r="H21" s="266"/>
      <c r="I21" s="266">
        <v>0</v>
      </c>
      <c r="J21" s="342"/>
    </row>
    <row r="22" spans="1:10" ht="15.75">
      <c r="A22" s="51">
        <v>3361</v>
      </c>
      <c r="B22" s="70" t="s">
        <v>128</v>
      </c>
      <c r="C22" s="1201">
        <f>1450-500</f>
        <v>950</v>
      </c>
      <c r="D22" s="592">
        <f t="shared" si="1"/>
        <v>85.5</v>
      </c>
      <c r="E22" s="592">
        <f t="shared" si="0"/>
        <v>85.5</v>
      </c>
      <c r="F22" s="4">
        <v>0</v>
      </c>
      <c r="G22" s="266"/>
      <c r="H22" s="266"/>
      <c r="I22" s="266">
        <v>0</v>
      </c>
      <c r="J22" s="342"/>
    </row>
    <row r="23" spans="1:10" ht="15.75">
      <c r="A23" s="51">
        <v>3370</v>
      </c>
      <c r="B23" s="70" t="s">
        <v>129</v>
      </c>
      <c r="C23" s="1201">
        <v>33144.11</v>
      </c>
      <c r="D23" s="592">
        <f t="shared" si="1"/>
        <v>2982.9699000000001</v>
      </c>
      <c r="E23" s="592">
        <f t="shared" si="0"/>
        <v>2982.9699000000001</v>
      </c>
      <c r="F23" s="4">
        <v>0</v>
      </c>
      <c r="G23" s="266">
        <v>0</v>
      </c>
      <c r="H23" s="266">
        <v>0</v>
      </c>
      <c r="I23" s="266">
        <v>0</v>
      </c>
      <c r="J23" s="342"/>
    </row>
    <row r="24" spans="1:10" ht="15.75">
      <c r="A24" s="51">
        <v>3380</v>
      </c>
      <c r="B24" s="70" t="s">
        <v>130</v>
      </c>
      <c r="C24" s="1201">
        <v>85</v>
      </c>
      <c r="D24" s="592">
        <f t="shared" si="1"/>
        <v>7.6499999999999995</v>
      </c>
      <c r="E24" s="592">
        <f t="shared" si="0"/>
        <v>7.6499999999999995</v>
      </c>
      <c r="F24" s="4">
        <v>0</v>
      </c>
      <c r="G24" s="266"/>
      <c r="H24" s="266"/>
      <c r="I24" s="266">
        <v>0</v>
      </c>
      <c r="J24" s="342"/>
    </row>
    <row r="25" spans="1:10" ht="15.75">
      <c r="A25" s="51">
        <v>3385</v>
      </c>
      <c r="B25" s="70" t="s">
        <v>131</v>
      </c>
      <c r="C25" s="1201">
        <v>0</v>
      </c>
      <c r="D25" s="592">
        <f t="shared" si="1"/>
        <v>0</v>
      </c>
      <c r="E25" s="592">
        <f t="shared" si="0"/>
        <v>0</v>
      </c>
      <c r="F25" s="4">
        <v>0</v>
      </c>
      <c r="G25" s="266"/>
      <c r="H25" s="266"/>
      <c r="I25" s="266">
        <v>0</v>
      </c>
      <c r="J25" s="342"/>
    </row>
    <row r="26" spans="1:10" ht="15.75">
      <c r="A26" s="51">
        <v>3396</v>
      </c>
      <c r="B26" s="70" t="s">
        <v>132</v>
      </c>
      <c r="C26" s="1201">
        <v>0</v>
      </c>
      <c r="D26" s="592">
        <f t="shared" si="1"/>
        <v>0</v>
      </c>
      <c r="E26" s="592">
        <f t="shared" si="0"/>
        <v>0</v>
      </c>
      <c r="F26" s="4">
        <v>0</v>
      </c>
      <c r="G26" s="266"/>
      <c r="H26" s="266"/>
      <c r="I26" s="266">
        <v>0</v>
      </c>
      <c r="J26" s="342"/>
    </row>
    <row r="27" spans="1:10" ht="15.75">
      <c r="A27" s="51">
        <v>3397</v>
      </c>
      <c r="B27" s="70" t="s">
        <v>303</v>
      </c>
      <c r="C27" s="1201">
        <v>102.71</v>
      </c>
      <c r="D27" s="592">
        <f t="shared" si="1"/>
        <v>9.2438999999999982</v>
      </c>
      <c r="E27" s="592">
        <f t="shared" si="0"/>
        <v>9.2438999999999982</v>
      </c>
      <c r="F27" s="4">
        <v>0</v>
      </c>
      <c r="G27" s="266"/>
      <c r="H27" s="266"/>
      <c r="I27" s="266">
        <v>0</v>
      </c>
      <c r="J27" s="342"/>
    </row>
    <row r="28" spans="1:10" ht="15.75">
      <c r="A28" s="51">
        <v>3398</v>
      </c>
      <c r="B28" s="70" t="s">
        <v>355</v>
      </c>
      <c r="C28" s="1201">
        <v>0</v>
      </c>
      <c r="D28" s="36">
        <f t="shared" si="1"/>
        <v>0</v>
      </c>
      <c r="E28" s="36">
        <f t="shared" si="0"/>
        <v>0</v>
      </c>
      <c r="F28" s="4">
        <v>0</v>
      </c>
      <c r="G28" s="266"/>
      <c r="H28" s="266"/>
      <c r="I28" s="266">
        <v>0</v>
      </c>
      <c r="J28" s="342"/>
    </row>
    <row r="29" spans="1:10" ht="15.75">
      <c r="A29" s="52" t="s">
        <v>10</v>
      </c>
      <c r="B29" s="70"/>
      <c r="C29" s="1202"/>
      <c r="D29" s="36">
        <f>+C29*9%</f>
        <v>0</v>
      </c>
      <c r="E29" s="4">
        <f t="shared" ref="E29:E34" si="4">+D29</f>
        <v>0</v>
      </c>
      <c r="F29" s="4">
        <v>0</v>
      </c>
      <c r="G29" s="266"/>
      <c r="H29" s="266"/>
      <c r="I29" s="266">
        <v>0</v>
      </c>
      <c r="J29" s="342"/>
    </row>
    <row r="30" spans="1:10" ht="15.75">
      <c r="A30" s="51">
        <v>1870</v>
      </c>
      <c r="B30" s="1077" t="s">
        <v>133</v>
      </c>
      <c r="C30" s="1202">
        <v>0</v>
      </c>
      <c r="D30" s="36">
        <f>+C30*9%</f>
        <v>0</v>
      </c>
      <c r="E30" s="4">
        <f t="shared" si="4"/>
        <v>0</v>
      </c>
      <c r="F30" s="4">
        <v>0</v>
      </c>
      <c r="G30" s="266"/>
      <c r="H30" s="266"/>
      <c r="I30" s="266">
        <v>0</v>
      </c>
      <c r="J30" s="342"/>
    </row>
    <row r="31" spans="1:10" ht="15.75">
      <c r="A31" s="51"/>
      <c r="B31" s="1077" t="s">
        <v>466</v>
      </c>
      <c r="C31" s="4">
        <v>0</v>
      </c>
      <c r="D31" s="4">
        <f>+C31*9%</f>
        <v>0</v>
      </c>
      <c r="E31" s="4">
        <f t="shared" si="4"/>
        <v>0</v>
      </c>
      <c r="F31" s="4">
        <v>0</v>
      </c>
      <c r="G31" s="266"/>
      <c r="H31" s="266"/>
      <c r="I31" s="266">
        <v>0</v>
      </c>
      <c r="J31" s="342"/>
    </row>
    <row r="32" spans="1:10" ht="16.5" thickBot="1">
      <c r="A32" s="129"/>
      <c r="B32" s="130" t="s">
        <v>135</v>
      </c>
      <c r="C32" s="131">
        <f>+SUM(C8:C30)</f>
        <v>158456.29</v>
      </c>
      <c r="D32" s="593">
        <f>+SUM(D8:D30)</f>
        <v>12790.001099999999</v>
      </c>
      <c r="E32" s="593">
        <f>+SUM(E8:E30)</f>
        <v>12790.001099999999</v>
      </c>
      <c r="F32" s="131">
        <f>+SUM(F8:F30)</f>
        <v>2942.13</v>
      </c>
      <c r="G32" s="343">
        <f>+SUM(G7:G31)</f>
        <v>0</v>
      </c>
      <c r="H32" s="343">
        <f>+SUM(H7:H31)</f>
        <v>0</v>
      </c>
      <c r="I32" s="343">
        <f>+SUM(I7:I31)</f>
        <v>0</v>
      </c>
      <c r="J32" s="342"/>
    </row>
    <row r="33" spans="1:14" ht="16.5" thickTop="1">
      <c r="A33" s="9" t="s">
        <v>2</v>
      </c>
      <c r="B33" s="659"/>
      <c r="C33" s="127"/>
      <c r="D33" s="128">
        <v>0</v>
      </c>
      <c r="E33" s="128">
        <v>0</v>
      </c>
      <c r="F33" s="4">
        <f>IF(D33&gt;0," ",C33*18%)</f>
        <v>0</v>
      </c>
    </row>
    <row r="34" spans="1:14" ht="15.75">
      <c r="A34" s="5" t="s">
        <v>1</v>
      </c>
      <c r="B34" s="70" t="s">
        <v>119</v>
      </c>
      <c r="C34" s="111">
        <v>0</v>
      </c>
      <c r="D34" s="4">
        <f>+C34*9%</f>
        <v>0</v>
      </c>
      <c r="E34" s="4">
        <f t="shared" si="4"/>
        <v>0</v>
      </c>
      <c r="F34" s="4">
        <f>IF(D34&gt;0," ",C34*18%)</f>
        <v>0</v>
      </c>
      <c r="G34" s="1">
        <f>+C32*18%</f>
        <v>28522.1322</v>
      </c>
      <c r="H34" s="1">
        <f>+D32+E32+F32</f>
        <v>28522.1322</v>
      </c>
      <c r="I34" s="1">
        <f>+G34-H34</f>
        <v>0</v>
      </c>
    </row>
    <row r="35" spans="1:14" ht="15.75">
      <c r="A35" s="3"/>
      <c r="B35" s="3"/>
      <c r="C35" s="44"/>
      <c r="D35" s="45"/>
      <c r="E35" s="3"/>
      <c r="F35" s="3"/>
      <c r="G35" s="32"/>
      <c r="I35" s="1" t="s">
        <v>5</v>
      </c>
      <c r="J35" s="1" t="s">
        <v>5</v>
      </c>
      <c r="K35" s="1" t="s">
        <v>5</v>
      </c>
    </row>
    <row r="36" spans="1:14" ht="15.75">
      <c r="A36" s="1228" t="s">
        <v>75</v>
      </c>
      <c r="B36" s="1228"/>
      <c r="C36" s="1228"/>
      <c r="D36" s="1228"/>
      <c r="E36" s="1228"/>
      <c r="F36" s="1228"/>
      <c r="G36" s="265"/>
    </row>
    <row r="37" spans="1:14" ht="15.75">
      <c r="A37" s="28"/>
      <c r="B37" s="28"/>
      <c r="C37" s="28"/>
      <c r="D37" s="28"/>
      <c r="E37" s="28"/>
      <c r="F37" s="28"/>
    </row>
    <row r="38" spans="1:14" ht="15.75">
      <c r="A38" s="29" t="s">
        <v>76</v>
      </c>
      <c r="B38" s="29"/>
      <c r="C38" s="3"/>
      <c r="D38" s="3"/>
      <c r="E38" s="3"/>
      <c r="F38" s="3"/>
    </row>
    <row r="39" spans="1:14">
      <c r="A39" s="1244" t="s">
        <v>65</v>
      </c>
      <c r="B39" s="1245"/>
      <c r="C39" s="1246"/>
      <c r="D39" s="1236" t="s">
        <v>89</v>
      </c>
      <c r="E39" s="1236" t="s">
        <v>67</v>
      </c>
      <c r="F39" s="1231" t="s">
        <v>68</v>
      </c>
      <c r="M39" s="1" t="s">
        <v>5</v>
      </c>
      <c r="N39" s="1" t="s">
        <v>5</v>
      </c>
    </row>
    <row r="40" spans="1:14">
      <c r="A40" s="1247"/>
      <c r="B40" s="1248"/>
      <c r="C40" s="1249"/>
      <c r="D40" s="1236"/>
      <c r="E40" s="1236"/>
      <c r="F40" s="1232"/>
      <c r="I40" s="1" t="s">
        <v>5</v>
      </c>
    </row>
    <row r="41" spans="1:14" ht="15.75">
      <c r="A41" s="59" t="s">
        <v>80</v>
      </c>
      <c r="B41" s="60"/>
      <c r="C41" s="50">
        <f>+C32</f>
        <v>158456.29</v>
      </c>
      <c r="D41" s="105">
        <f>+D32</f>
        <v>12790.001099999999</v>
      </c>
      <c r="E41" s="105">
        <f>+E32</f>
        <v>12790.001099999999</v>
      </c>
      <c r="F41" s="105">
        <f>+F32</f>
        <v>2942.13</v>
      </c>
      <c r="H41" s="1" t="s">
        <v>5</v>
      </c>
    </row>
    <row r="42" spans="1:14" ht="15.75">
      <c r="A42" s="43" t="s">
        <v>103</v>
      </c>
      <c r="B42" s="43"/>
      <c r="C42" s="61">
        <f>+G32</f>
        <v>0</v>
      </c>
      <c r="D42" s="106">
        <f>+C42*9%</f>
        <v>0</v>
      </c>
      <c r="E42" s="106">
        <f>+D42</f>
        <v>0</v>
      </c>
      <c r="F42" s="34">
        <v>0</v>
      </c>
      <c r="G42" s="32"/>
      <c r="H42" s="1" t="s">
        <v>5</v>
      </c>
      <c r="J42" s="1" t="s">
        <v>5</v>
      </c>
      <c r="M42" s="1" t="s">
        <v>5</v>
      </c>
    </row>
    <row r="43" spans="1:14" ht="15.75">
      <c r="A43" s="43"/>
      <c r="B43" s="43"/>
      <c r="C43" s="50">
        <f>+C41+C42</f>
        <v>158456.29</v>
      </c>
      <c r="D43" s="105">
        <f>+D41+D42</f>
        <v>12790.001099999999</v>
      </c>
      <c r="E43" s="105">
        <f>+E41+E42</f>
        <v>12790.001099999999</v>
      </c>
      <c r="F43" s="105">
        <f>+F41+F42</f>
        <v>2942.13</v>
      </c>
      <c r="H43" s="1" t="s">
        <v>5</v>
      </c>
      <c r="K43" s="1" t="s">
        <v>5</v>
      </c>
      <c r="L43" s="1" t="s">
        <v>5</v>
      </c>
    </row>
    <row r="44" spans="1:14" ht="15.75">
      <c r="A44" s="1241" t="s">
        <v>104</v>
      </c>
      <c r="B44" s="1242"/>
      <c r="C44" s="1243"/>
      <c r="D44" s="657">
        <v>12781.02</v>
      </c>
      <c r="E44" s="657">
        <f>+D44</f>
        <v>12781.02</v>
      </c>
      <c r="F44" s="657">
        <v>2942.13</v>
      </c>
      <c r="G44" s="53"/>
      <c r="H44" s="1" t="s">
        <v>5</v>
      </c>
      <c r="I44" s="1" t="s">
        <v>5</v>
      </c>
      <c r="K44" s="1" t="s">
        <v>5</v>
      </c>
      <c r="L44" s="1" t="s">
        <v>5</v>
      </c>
    </row>
    <row r="45" spans="1:14" ht="15.75">
      <c r="A45" s="1250" t="s">
        <v>79</v>
      </c>
      <c r="B45" s="1251"/>
      <c r="C45" s="1252"/>
      <c r="D45" s="107">
        <f>+D43-D44</f>
        <v>8.9810999999990599</v>
      </c>
      <c r="E45" s="107">
        <f>+E43-E44</f>
        <v>8.9810999999990599</v>
      </c>
      <c r="F45" s="107">
        <f>+F43-F44</f>
        <v>0</v>
      </c>
      <c r="H45" s="1">
        <f>+D45+E45</f>
        <v>17.96219999999812</v>
      </c>
      <c r="I45" s="1">
        <f>+H45/9*100</f>
        <v>199.57999999997909</v>
      </c>
    </row>
    <row r="46" spans="1:14" ht="15.75">
      <c r="A46" s="570"/>
      <c r="B46" s="570"/>
      <c r="C46" s="570"/>
      <c r="D46" s="571"/>
      <c r="E46" s="571"/>
      <c r="F46" s="571"/>
    </row>
    <row r="47" spans="1:14" ht="15.75">
      <c r="A47" s="570"/>
      <c r="B47" s="570"/>
      <c r="C47" s="570"/>
      <c r="D47" s="934"/>
      <c r="E47" s="571"/>
      <c r="F47" s="571"/>
    </row>
    <row r="48" spans="1:14" ht="15.75">
      <c r="A48" s="27" t="s">
        <v>77</v>
      </c>
      <c r="B48" s="2"/>
      <c r="C48" s="3"/>
      <c r="D48" s="3"/>
      <c r="E48" s="3"/>
      <c r="F48" s="3"/>
    </row>
    <row r="49" spans="1:11">
      <c r="A49" s="1218" t="s">
        <v>65</v>
      </c>
      <c r="B49" s="1219"/>
      <c r="C49" s="1220"/>
      <c r="D49" s="1234" t="s">
        <v>70</v>
      </c>
      <c r="E49" s="1234" t="s">
        <v>71</v>
      </c>
      <c r="F49" s="1234" t="s">
        <v>72</v>
      </c>
    </row>
    <row r="50" spans="1:11">
      <c r="A50" s="1221"/>
      <c r="B50" s="1222"/>
      <c r="C50" s="1223"/>
      <c r="D50" s="1235" t="s">
        <v>67</v>
      </c>
      <c r="E50" s="1235"/>
      <c r="F50" s="1235"/>
    </row>
    <row r="51" spans="1:11">
      <c r="A51" s="1225"/>
      <c r="B51" s="1226"/>
      <c r="C51" s="1227"/>
      <c r="D51" s="42"/>
      <c r="E51" s="42"/>
      <c r="F51" s="42"/>
    </row>
    <row r="52" spans="1:11" ht="15.75">
      <c r="A52" s="1216" t="s">
        <v>69</v>
      </c>
      <c r="B52" s="1216"/>
      <c r="C52" s="1216"/>
      <c r="D52" s="791">
        <v>36.9</v>
      </c>
      <c r="E52" s="108">
        <f>+D52</f>
        <v>36.9</v>
      </c>
      <c r="F52" s="108">
        <v>2179.85</v>
      </c>
      <c r="G52" s="221">
        <f>+D52/2</f>
        <v>18.45</v>
      </c>
      <c r="H52" s="221">
        <f>+E52/2</f>
        <v>18.45</v>
      </c>
      <c r="I52" s="221">
        <f t="shared" ref="G52:I54" si="5">+F52/2</f>
        <v>1089.925</v>
      </c>
      <c r="J52" s="54"/>
      <c r="K52" s="54"/>
    </row>
    <row r="53" spans="1:11" ht="15.75">
      <c r="A53" s="1224" t="s">
        <v>83</v>
      </c>
      <c r="B53" s="1224"/>
      <c r="C53" s="1224"/>
      <c r="D53" s="105"/>
      <c r="E53" s="105">
        <f>+D59</f>
        <v>0</v>
      </c>
      <c r="F53" s="105">
        <v>0</v>
      </c>
      <c r="G53" s="221">
        <f t="shared" si="5"/>
        <v>0</v>
      </c>
      <c r="H53" s="221">
        <f t="shared" si="5"/>
        <v>0</v>
      </c>
      <c r="I53" s="221">
        <f t="shared" si="5"/>
        <v>0</v>
      </c>
    </row>
    <row r="54" spans="1:11" ht="15.75">
      <c r="A54" s="1215" t="s">
        <v>82</v>
      </c>
      <c r="B54" s="1215"/>
      <c r="C54" s="1215"/>
      <c r="D54" s="105">
        <f>+D52-D53</f>
        <v>36.9</v>
      </c>
      <c r="E54" s="105">
        <f>+E52-E53</f>
        <v>36.9</v>
      </c>
      <c r="F54" s="105">
        <f>+F52-F53</f>
        <v>2179.85</v>
      </c>
      <c r="G54" s="221">
        <f t="shared" si="5"/>
        <v>18.45</v>
      </c>
      <c r="H54" s="221">
        <f t="shared" si="5"/>
        <v>18.45</v>
      </c>
      <c r="I54" s="221">
        <f t="shared" si="5"/>
        <v>1089.925</v>
      </c>
      <c r="J54" s="55"/>
      <c r="K54" s="55"/>
    </row>
    <row r="55" spans="1:11">
      <c r="D55" s="554" t="s">
        <v>5</v>
      </c>
    </row>
    <row r="56" spans="1:11">
      <c r="A56" s="40"/>
      <c r="B56" s="1369" t="s">
        <v>287</v>
      </c>
      <c r="C56" s="1369"/>
      <c r="D56" s="1369"/>
      <c r="E56" s="1369"/>
      <c r="F56" s="1369"/>
    </row>
    <row r="57" spans="1:11">
      <c r="A57" s="40"/>
      <c r="B57" s="169" t="s">
        <v>322</v>
      </c>
      <c r="C57" s="169" t="s">
        <v>67</v>
      </c>
      <c r="D57" s="169" t="s">
        <v>155</v>
      </c>
      <c r="E57" s="169" t="s">
        <v>68</v>
      </c>
      <c r="F57" s="169" t="s">
        <v>673</v>
      </c>
    </row>
    <row r="58" spans="1:11">
      <c r="A58" s="40"/>
      <c r="B58" s="755" t="s">
        <v>440</v>
      </c>
      <c r="C58" s="156">
        <v>0</v>
      </c>
      <c r="D58" s="156">
        <f>+C58</f>
        <v>0</v>
      </c>
      <c r="E58" s="42">
        <v>0</v>
      </c>
      <c r="F58" s="1078"/>
    </row>
    <row r="59" spans="1:11">
      <c r="A59" s="40"/>
      <c r="B59" s="1189" t="s">
        <v>102</v>
      </c>
      <c r="C59" s="1067"/>
      <c r="D59" s="156">
        <f>+C59</f>
        <v>0</v>
      </c>
      <c r="E59" s="42">
        <f>SUM(E58)</f>
        <v>0</v>
      </c>
      <c r="F59" s="1078"/>
    </row>
    <row r="60" spans="1:11" ht="15.75" customHeight="1">
      <c r="A60" s="3"/>
      <c r="B60" s="5"/>
      <c r="C60" s="30"/>
      <c r="D60" s="30"/>
      <c r="E60" s="42"/>
      <c r="F60" s="1078"/>
    </row>
    <row r="61" spans="1:11" ht="15.75">
      <c r="A61" s="3"/>
      <c r="B61" s="5"/>
      <c r="C61" s="30"/>
      <c r="D61" s="30"/>
      <c r="E61" s="42"/>
      <c r="F61" s="1078"/>
    </row>
    <row r="62" spans="1:11" ht="15.75">
      <c r="A62" s="3"/>
      <c r="B62" s="24"/>
      <c r="C62" s="3"/>
      <c r="D62" s="3"/>
    </row>
    <row r="63" spans="1:11" ht="15.75">
      <c r="A63" s="933"/>
      <c r="B63" s="24"/>
      <c r="C63" s="3"/>
      <c r="D63" s="3"/>
    </row>
    <row r="64" spans="1:11">
      <c r="A64" s="803"/>
      <c r="B64" s="803"/>
      <c r="C64" s="803"/>
      <c r="D64" s="1373"/>
      <c r="E64" s="1373"/>
      <c r="F64" s="1373"/>
    </row>
    <row r="65" spans="1:7">
      <c r="A65" s="804"/>
      <c r="B65" s="804"/>
      <c r="C65" s="804"/>
      <c r="D65" s="1370"/>
      <c r="E65" s="1370"/>
      <c r="F65" s="1370"/>
    </row>
    <row r="66" spans="1:7">
      <c r="A66" s="804"/>
      <c r="B66" s="804"/>
      <c r="C66" s="804"/>
      <c r="D66" s="1370"/>
      <c r="E66" s="1370"/>
      <c r="F66" s="1370"/>
    </row>
    <row r="67" spans="1:7">
      <c r="A67" s="804"/>
      <c r="B67" s="804"/>
      <c r="C67" s="804"/>
      <c r="D67" s="1370"/>
      <c r="E67" s="1370"/>
      <c r="F67" s="1370"/>
    </row>
    <row r="68" spans="1:7">
      <c r="A68" s="804"/>
      <c r="B68" s="804"/>
      <c r="C68" s="804"/>
      <c r="D68" s="1370"/>
      <c r="E68" s="1370"/>
      <c r="F68" s="1370"/>
    </row>
    <row r="69" spans="1:7">
      <c r="A69" s="804"/>
      <c r="B69" s="804"/>
      <c r="C69" s="804"/>
      <c r="D69" s="1370"/>
      <c r="E69" s="1370"/>
      <c r="F69" s="1370"/>
    </row>
    <row r="70" spans="1:7">
      <c r="A70" s="805"/>
      <c r="B70" s="804"/>
      <c r="C70" s="805"/>
      <c r="D70" s="1370"/>
      <c r="E70" s="1370"/>
      <c r="F70" s="1370"/>
    </row>
    <row r="71" spans="1:7">
      <c r="A71" s="1371"/>
      <c r="B71" s="1371"/>
      <c r="C71" s="135"/>
      <c r="D71" s="1372"/>
      <c r="E71" s="1372"/>
      <c r="F71" s="1372"/>
      <c r="G71" s="481"/>
    </row>
    <row r="72" spans="1:7">
      <c r="A72" s="40"/>
      <c r="B72" s="40"/>
      <c r="C72" s="40"/>
      <c r="D72" s="40"/>
      <c r="E72" s="40"/>
      <c r="F72" s="40"/>
      <c r="G72" s="40"/>
    </row>
    <row r="74" spans="1:7">
      <c r="A74" s="478"/>
    </row>
    <row r="75" spans="1:7">
      <c r="A75" s="40"/>
      <c r="B75" s="40"/>
      <c r="C75" s="40"/>
      <c r="D75" s="40"/>
      <c r="E75" s="40"/>
      <c r="F75" s="479"/>
      <c r="G75" s="40"/>
    </row>
    <row r="76" spans="1:7">
      <c r="D76" s="480"/>
      <c r="E76" s="480"/>
      <c r="G76" s="204"/>
    </row>
    <row r="77" spans="1:7">
      <c r="D77" s="480"/>
      <c r="E77" s="480"/>
      <c r="G77" s="204"/>
    </row>
    <row r="78" spans="1:7" ht="15.75" customHeight="1">
      <c r="A78" s="40"/>
      <c r="B78" s="40"/>
      <c r="C78" s="40"/>
      <c r="D78" s="40"/>
      <c r="E78" s="40"/>
      <c r="F78" s="479"/>
      <c r="G78" s="40"/>
    </row>
    <row r="79" spans="1:7" ht="15.75" customHeight="1">
      <c r="A79" s="40"/>
      <c r="B79" s="40"/>
      <c r="C79" s="40"/>
      <c r="D79" s="40"/>
      <c r="E79" s="40"/>
      <c r="F79" s="479"/>
      <c r="G79" s="40"/>
    </row>
    <row r="80" spans="1:7" ht="15.75" customHeight="1">
      <c r="A80" s="478"/>
      <c r="F80" s="32">
        <f>5556222-4592137-C43</f>
        <v>805628.71</v>
      </c>
    </row>
    <row r="81" spans="1:23" ht="15.75" customHeight="1">
      <c r="A81" s="40"/>
      <c r="B81" s="40"/>
      <c r="C81" s="40"/>
      <c r="D81" s="40"/>
      <c r="E81" s="40"/>
      <c r="F81" s="479"/>
      <c r="G81" s="40"/>
    </row>
    <row r="82" spans="1:23" ht="15.75" customHeight="1">
      <c r="A82"/>
      <c r="B82" s="456"/>
      <c r="C82" s="457"/>
      <c r="D82" s="480"/>
      <c r="E82" s="480"/>
      <c r="F82" s="480"/>
      <c r="G82"/>
      <c r="H82"/>
      <c r="I82"/>
      <c r="J82"/>
      <c r="K82" s="456"/>
      <c r="L82" s="457"/>
      <c r="M82"/>
      <c r="N82"/>
    </row>
    <row r="83" spans="1:23">
      <c r="A83"/>
      <c r="B83" s="456"/>
      <c r="C83" s="457"/>
      <c r="D83" s="480"/>
      <c r="E83" s="480"/>
      <c r="F83" s="480"/>
      <c r="G83"/>
      <c r="H83"/>
      <c r="I83"/>
      <c r="J83"/>
      <c r="K83" s="456"/>
      <c r="L83" s="457"/>
      <c r="M83"/>
      <c r="N83"/>
    </row>
    <row r="84" spans="1:23">
      <c r="A84"/>
      <c r="B84" s="456"/>
      <c r="C84"/>
      <c r="D84" s="480"/>
      <c r="E84" s="480"/>
      <c r="F84" s="480"/>
      <c r="G84"/>
      <c r="H84"/>
      <c r="I84"/>
      <c r="J84"/>
      <c r="K84" s="456"/>
      <c r="L84"/>
      <c r="M84"/>
      <c r="N84"/>
    </row>
    <row r="85" spans="1:23">
      <c r="A85"/>
      <c r="B85" s="456"/>
      <c r="C85"/>
      <c r="D85" s="480"/>
      <c r="E85" s="480"/>
      <c r="F85" s="480"/>
      <c r="G85"/>
      <c r="H85"/>
      <c r="I85"/>
      <c r="J85"/>
      <c r="K85" s="456"/>
      <c r="L85"/>
      <c r="M85"/>
      <c r="N85"/>
    </row>
    <row r="86" spans="1:23">
      <c r="A86"/>
      <c r="B86" s="456"/>
      <c r="C86"/>
      <c r="D86" s="480"/>
      <c r="E86" s="480"/>
      <c r="F86" s="480"/>
      <c r="G86"/>
      <c r="H86"/>
      <c r="I86"/>
      <c r="J86"/>
      <c r="K86" s="456"/>
      <c r="L86"/>
      <c r="M86"/>
      <c r="N86"/>
    </row>
    <row r="87" spans="1:23">
      <c r="A87"/>
      <c r="B87" s="456"/>
      <c r="C87"/>
      <c r="D87" s="480"/>
      <c r="E87" s="480"/>
      <c r="F87" s="480"/>
      <c r="G87"/>
    </row>
    <row r="88" spans="1:23">
      <c r="A88"/>
      <c r="B88" s="456"/>
      <c r="C88"/>
      <c r="D88" s="480"/>
      <c r="E88" s="480"/>
      <c r="F88" s="480"/>
      <c r="G88"/>
    </row>
    <row r="89" spans="1:23">
      <c r="A89"/>
      <c r="B89" s="456"/>
      <c r="C89"/>
      <c r="D89" s="480"/>
      <c r="E89" s="480"/>
      <c r="F89" s="480"/>
      <c r="G89"/>
    </row>
    <row r="90" spans="1:23">
      <c r="A90" s="40"/>
      <c r="B90" s="40"/>
      <c r="C90" s="40"/>
      <c r="D90" s="40"/>
      <c r="E90" s="40"/>
      <c r="F90" s="40"/>
    </row>
    <row r="91" spans="1:23">
      <c r="A91" s="40"/>
      <c r="B91" s="40"/>
      <c r="C91" s="40"/>
      <c r="D91" s="40"/>
      <c r="E91" s="40"/>
      <c r="F91" s="40"/>
    </row>
    <row r="92" spans="1:23">
      <c r="A92" s="478"/>
      <c r="F92" s="32"/>
    </row>
    <row r="93" spans="1:23">
      <c r="A93" s="40"/>
      <c r="B93" s="40"/>
      <c r="C93" s="40"/>
      <c r="D93" s="40"/>
      <c r="E93" s="40"/>
      <c r="F93" s="479"/>
    </row>
    <row r="94" spans="1:23">
      <c r="A94" s="40"/>
      <c r="B94" s="40"/>
      <c r="C94" s="40"/>
      <c r="D94" s="40"/>
      <c r="E94" s="40"/>
      <c r="F94" s="40"/>
    </row>
    <row r="95" spans="1:23">
      <c r="A95" s="40"/>
      <c r="B95" s="40"/>
      <c r="C95" s="40"/>
      <c r="D95" s="40"/>
      <c r="E95" s="40"/>
      <c r="F95" s="40"/>
      <c r="O95"/>
      <c r="P95"/>
      <c r="Q95"/>
      <c r="R95"/>
      <c r="S95"/>
      <c r="T95"/>
      <c r="U95"/>
      <c r="V95"/>
      <c r="W95"/>
    </row>
    <row r="96" spans="1:23">
      <c r="A96" s="40"/>
      <c r="B96" s="40"/>
      <c r="C96" s="40"/>
      <c r="D96" s="40"/>
      <c r="E96" s="40"/>
      <c r="F96" s="40"/>
      <c r="O96"/>
      <c r="P96"/>
      <c r="Q96"/>
      <c r="R96"/>
      <c r="S96"/>
      <c r="T96"/>
      <c r="U96"/>
      <c r="V96"/>
      <c r="W96"/>
    </row>
    <row r="97" spans="1:23">
      <c r="A97" s="40"/>
      <c r="B97" s="40"/>
      <c r="C97" s="40"/>
      <c r="D97" s="40"/>
      <c r="E97" s="40"/>
      <c r="F97" s="40"/>
      <c r="O97"/>
      <c r="P97"/>
      <c r="Q97"/>
      <c r="R97"/>
      <c r="S97"/>
      <c r="T97"/>
      <c r="U97"/>
      <c r="V97"/>
      <c r="W97"/>
    </row>
    <row r="98" spans="1:23">
      <c r="A98" s="40"/>
      <c r="B98" s="40"/>
      <c r="C98" s="40"/>
      <c r="D98" s="40"/>
      <c r="E98" s="40"/>
      <c r="F98" s="40"/>
      <c r="O98"/>
      <c r="P98"/>
      <c r="Q98"/>
      <c r="R98"/>
      <c r="S98"/>
      <c r="T98"/>
      <c r="U98"/>
      <c r="V98"/>
      <c r="W98"/>
    </row>
    <row r="99" spans="1:23">
      <c r="A99" s="40"/>
      <c r="B99" s="40"/>
      <c r="C99" s="40"/>
      <c r="D99" s="40"/>
      <c r="E99" s="40"/>
      <c r="F99" s="40"/>
      <c r="O99"/>
      <c r="P99"/>
      <c r="Q99"/>
      <c r="R99"/>
      <c r="S99"/>
      <c r="T99"/>
      <c r="U99"/>
      <c r="V99"/>
      <c r="W99"/>
    </row>
    <row r="100" spans="1:23">
      <c r="A100" s="40"/>
      <c r="B100" s="40"/>
      <c r="C100" s="40"/>
      <c r="D100" s="40"/>
      <c r="E100" s="40"/>
      <c r="F100" s="40"/>
    </row>
    <row r="101" spans="1:23">
      <c r="F101" s="1">
        <f>+F45-F90</f>
        <v>0</v>
      </c>
    </row>
  </sheetData>
  <mergeCells count="34">
    <mergeCell ref="D69:F69"/>
    <mergeCell ref="D70:F70"/>
    <mergeCell ref="A71:B71"/>
    <mergeCell ref="D71:F71"/>
    <mergeCell ref="D64:F64"/>
    <mergeCell ref="D65:F65"/>
    <mergeCell ref="D66:F66"/>
    <mergeCell ref="D67:F67"/>
    <mergeCell ref="D68:F68"/>
    <mergeCell ref="A1:F1"/>
    <mergeCell ref="A3:F3"/>
    <mergeCell ref="D5:D6"/>
    <mergeCell ref="E5:E6"/>
    <mergeCell ref="F5:F6"/>
    <mergeCell ref="A2:F2"/>
    <mergeCell ref="B56:F56"/>
    <mergeCell ref="A44:C44"/>
    <mergeCell ref="D49:D50"/>
    <mergeCell ref="E49:E50"/>
    <mergeCell ref="F49:F50"/>
    <mergeCell ref="A45:C45"/>
    <mergeCell ref="A49:C50"/>
    <mergeCell ref="A51:C51"/>
    <mergeCell ref="A52:C52"/>
    <mergeCell ref="A53:C53"/>
    <mergeCell ref="A54:C54"/>
    <mergeCell ref="H5:H6"/>
    <mergeCell ref="I5:I6"/>
    <mergeCell ref="A36:F36"/>
    <mergeCell ref="G5:G6"/>
    <mergeCell ref="A39:C40"/>
    <mergeCell ref="D39:D40"/>
    <mergeCell ref="E39:E40"/>
    <mergeCell ref="F39:F40"/>
  </mergeCells>
  <conditionalFormatting sqref="A2">
    <cfRule type="containsText" dxfId="17" priority="1" operator="containsText" text="LESS COLLECTED">
      <formula>NOT(ISERROR(SEARCH("LESS COLLECTED",A2)))</formula>
    </cfRule>
  </conditionalFormatting>
  <conditionalFormatting sqref="A3:F3 C5:F6 E29:E30 D31:E31 B33:B34 D33:F34">
    <cfRule type="containsText" dxfId="16" priority="65" operator="containsText" text="LESS COLLECTED">
      <formula>NOT(ISERROR(SEARCH("LESS COLLECTED",A3)))</formula>
    </cfRule>
  </conditionalFormatting>
  <conditionalFormatting sqref="A36:F47 C48:F55 A48:B59 A50:F51 C57:E59">
    <cfRule type="containsText" dxfId="15" priority="59" operator="containsText" text="LESS COLLECTED">
      <formula>NOT(ISERROR(SEARCH("LESS COLLECTED",A36)))</formula>
    </cfRule>
  </conditionalFormatting>
  <conditionalFormatting sqref="D39:E40 A42:F43 E44 D48:E48 A50:F51 B58:C59">
    <cfRule type="containsText" dxfId="14" priority="58" operator="containsText" text="EXCESS COLLECTED">
      <formula>NOT(ISERROR(SEARCH("EXCESS COLLECTED",A39)))</formula>
    </cfRule>
  </conditionalFormatting>
  <pageMargins left="0.70866141732283505" right="0.61811023600000004" top="1.1574803149999999" bottom="0.94685039400000004" header="0.31496062992126" footer="0.31496062992126"/>
  <pageSetup paperSize="9" scale="45" orientation="portrait" r:id="rId1"/>
  <colBreaks count="1" manualBreakCount="1">
    <brk id="6" max="70" man="1"/>
  </colBreaks>
  <ignoredErrors>
    <ignoredError sqref="E43" formula="1"/>
    <ignoredError sqref="F32" formulaRange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V891"/>
  <sheetViews>
    <sheetView tabSelected="1" view="pageBreakPreview" topLeftCell="A71" zoomScale="80" zoomScaleNormal="85" zoomScaleSheetLayoutView="80" workbookViewId="0">
      <selection activeCell="G33" sqref="G33"/>
    </sheetView>
  </sheetViews>
  <sheetFormatPr defaultColWidth="68.28515625" defaultRowHeight="15.75"/>
  <cols>
    <col min="1" max="1" width="7.7109375" style="263" customWidth="1"/>
    <col min="2" max="2" width="80.7109375" style="263" customWidth="1"/>
    <col min="3" max="3" width="23.28515625" style="263" bestFit="1" customWidth="1"/>
    <col min="4" max="4" width="28.5703125" style="263" bestFit="1" customWidth="1"/>
    <col min="5" max="5" width="23.5703125" style="263" bestFit="1" customWidth="1"/>
    <col min="6" max="6" width="23.5703125" style="263" customWidth="1"/>
    <col min="7" max="7" width="25" style="273" customWidth="1"/>
    <col min="8" max="8" width="18.5703125" style="273" customWidth="1"/>
    <col min="9" max="9" width="20.7109375" style="273" customWidth="1"/>
    <col min="10" max="10" width="45.5703125" style="263" bestFit="1" customWidth="1"/>
    <col min="11" max="11" width="39.5703125" style="263" bestFit="1" customWidth="1"/>
    <col min="12" max="12" width="21.140625" style="263" customWidth="1"/>
    <col min="13" max="13" width="28" style="263" bestFit="1" customWidth="1"/>
    <col min="14" max="14" width="24.42578125" style="263" bestFit="1" customWidth="1"/>
    <col min="15" max="15" width="32.42578125" style="263" bestFit="1" customWidth="1"/>
    <col min="16" max="16" width="17.140625" style="263" bestFit="1" customWidth="1"/>
    <col min="17" max="17" width="16.42578125" style="263" bestFit="1" customWidth="1"/>
    <col min="18" max="18" width="16.7109375" style="263" bestFit="1" customWidth="1"/>
    <col min="19" max="19" width="24.28515625" style="263" customWidth="1"/>
    <col min="20" max="20" width="31.42578125" style="263" customWidth="1"/>
    <col min="21" max="21" width="26.140625" style="263" customWidth="1"/>
    <col min="22" max="16384" width="68.28515625" style="263"/>
  </cols>
  <sheetData>
    <row r="1" spans="1:10">
      <c r="A1" s="263" t="s">
        <v>5</v>
      </c>
      <c r="B1" s="1228" t="s">
        <v>134</v>
      </c>
      <c r="C1" s="1228"/>
      <c r="D1" s="1228"/>
      <c r="E1" s="1228"/>
      <c r="F1" s="1228"/>
      <c r="G1" s="1228"/>
      <c r="H1" s="1228"/>
    </row>
    <row r="2" spans="1:10">
      <c r="B2" s="41"/>
      <c r="C2" s="41"/>
      <c r="D2" s="41"/>
      <c r="E2" s="41"/>
      <c r="F2" s="41"/>
    </row>
    <row r="3" spans="1:10">
      <c r="B3" s="1228" t="s">
        <v>948</v>
      </c>
      <c r="C3" s="1228"/>
      <c r="D3" s="1228"/>
      <c r="E3" s="1228"/>
      <c r="F3" s="1228"/>
      <c r="G3" s="1228"/>
      <c r="H3" s="1228"/>
    </row>
    <row r="4" spans="1:10" ht="16.5" thickBot="1">
      <c r="B4" s="41"/>
      <c r="C4" s="41"/>
      <c r="D4" s="41"/>
      <c r="E4" s="41"/>
      <c r="F4" s="41"/>
      <c r="G4" s="274"/>
    </row>
    <row r="5" spans="1:10" ht="18.75" thickBot="1">
      <c r="B5" s="1376" t="s">
        <v>329</v>
      </c>
      <c r="C5" s="1377"/>
      <c r="D5" s="1377"/>
      <c r="E5" s="1377"/>
      <c r="F5" s="1378"/>
    </row>
    <row r="6" spans="1:10" ht="54" customHeight="1" thickBot="1">
      <c r="B6" s="1388" t="s">
        <v>65</v>
      </c>
      <c r="C6" s="1389"/>
      <c r="D6" s="497" t="s">
        <v>946</v>
      </c>
      <c r="E6" s="497" t="s">
        <v>928</v>
      </c>
      <c r="F6" s="660" t="s">
        <v>326</v>
      </c>
      <c r="G6" s="274"/>
      <c r="H6" s="275"/>
      <c r="I6" s="276"/>
    </row>
    <row r="7" spans="1:10">
      <c r="B7" s="1390" t="s">
        <v>136</v>
      </c>
      <c r="C7" s="1391"/>
      <c r="D7" s="572">
        <f>796281048.48+375261723.77</f>
        <v>1171542772.25</v>
      </c>
      <c r="E7" s="572">
        <f>658456791.54+321289565.56-1080.04</f>
        <v>979745277.05999994</v>
      </c>
      <c r="F7" s="776">
        <f t="shared" ref="F7:F20" si="0">+D7-E7</f>
        <v>191797495.19000006</v>
      </c>
      <c r="G7" s="946"/>
      <c r="I7" s="966" t="s">
        <v>5</v>
      </c>
      <c r="J7" s="369" t="s">
        <v>5</v>
      </c>
    </row>
    <row r="8" spans="1:10">
      <c r="B8" s="1374" t="s">
        <v>610</v>
      </c>
      <c r="C8" s="1375"/>
      <c r="D8" s="572"/>
      <c r="E8" s="572"/>
      <c r="F8" s="166">
        <f t="shared" si="0"/>
        <v>0</v>
      </c>
      <c r="G8" s="489"/>
      <c r="H8" s="591">
        <v>0</v>
      </c>
      <c r="I8" s="967"/>
    </row>
    <row r="9" spans="1:10">
      <c r="B9" s="697" t="s">
        <v>443</v>
      </c>
      <c r="C9" s="698"/>
      <c r="D9" s="572"/>
      <c r="E9" s="572"/>
      <c r="F9" s="166">
        <f t="shared" si="0"/>
        <v>0</v>
      </c>
      <c r="G9" s="274"/>
      <c r="H9" s="590"/>
    </row>
    <row r="10" spans="1:10">
      <c r="B10" s="1374" t="s">
        <v>599</v>
      </c>
      <c r="C10" s="1375"/>
      <c r="D10" s="572">
        <v>2768500</v>
      </c>
      <c r="E10" s="572">
        <v>2713500</v>
      </c>
      <c r="F10" s="166">
        <f>+D10-E10</f>
        <v>55000</v>
      </c>
      <c r="H10" s="299"/>
    </row>
    <row r="11" spans="1:10">
      <c r="B11" s="697" t="s">
        <v>566</v>
      </c>
      <c r="C11" s="698"/>
      <c r="D11" s="666">
        <v>1525635.47</v>
      </c>
      <c r="E11" s="666">
        <v>0</v>
      </c>
      <c r="F11" s="166">
        <f t="shared" si="0"/>
        <v>1525635.47</v>
      </c>
      <c r="H11" s="591"/>
    </row>
    <row r="12" spans="1:10">
      <c r="B12" s="697" t="s">
        <v>567</v>
      </c>
      <c r="C12" s="698"/>
      <c r="D12" s="572"/>
      <c r="E12" s="572"/>
      <c r="F12" s="166">
        <f t="shared" si="0"/>
        <v>0</v>
      </c>
      <c r="G12" s="545"/>
      <c r="H12" s="590"/>
      <c r="I12" s="299"/>
    </row>
    <row r="13" spans="1:10">
      <c r="B13" s="749" t="s">
        <v>684</v>
      </c>
      <c r="C13" s="698"/>
      <c r="D13" s="572"/>
      <c r="E13" s="572"/>
      <c r="F13" s="166">
        <f t="shared" si="0"/>
        <v>0</v>
      </c>
    </row>
    <row r="14" spans="1:10">
      <c r="B14" s="1407" t="s">
        <v>590</v>
      </c>
      <c r="C14" s="1408"/>
      <c r="D14" s="572">
        <v>38000</v>
      </c>
      <c r="E14" s="572">
        <v>35000</v>
      </c>
      <c r="F14" s="166">
        <f t="shared" si="0"/>
        <v>3000</v>
      </c>
    </row>
    <row r="15" spans="1:10">
      <c r="B15" s="1394" t="s">
        <v>602</v>
      </c>
      <c r="C15" s="1395"/>
      <c r="D15" s="666"/>
      <c r="E15" s="666"/>
      <c r="F15" s="166">
        <f t="shared" si="0"/>
        <v>0</v>
      </c>
    </row>
    <row r="16" spans="1:10">
      <c r="B16" s="697" t="s">
        <v>453</v>
      </c>
      <c r="C16" s="698"/>
      <c r="D16" s="572"/>
      <c r="E16" s="572"/>
      <c r="F16" s="166">
        <f t="shared" si="0"/>
        <v>0</v>
      </c>
    </row>
    <row r="17" spans="2:17">
      <c r="B17" s="697" t="s">
        <v>452</v>
      </c>
      <c r="C17" s="698"/>
      <c r="D17" s="572"/>
      <c r="E17" s="572"/>
      <c r="F17" s="166">
        <f t="shared" si="0"/>
        <v>0</v>
      </c>
    </row>
    <row r="18" spans="2:17" ht="18" customHeight="1">
      <c r="B18" s="697" t="s">
        <v>580</v>
      </c>
      <c r="C18" s="698"/>
      <c r="D18" s="572">
        <v>0</v>
      </c>
      <c r="E18" s="572">
        <v>29047187.52</v>
      </c>
      <c r="F18" s="166">
        <f>+D18-E18</f>
        <v>-29047187.52</v>
      </c>
    </row>
    <row r="19" spans="2:17">
      <c r="B19" s="697" t="s">
        <v>603</v>
      </c>
      <c r="C19" s="698"/>
      <c r="D19" s="572">
        <v>264000</v>
      </c>
      <c r="E19" s="572">
        <v>264000</v>
      </c>
      <c r="F19" s="166">
        <f>+D19-E19</f>
        <v>0</v>
      </c>
    </row>
    <row r="20" spans="2:17" ht="16.5" thickBot="1">
      <c r="B20" s="1409" t="s">
        <v>471</v>
      </c>
      <c r="C20" s="1410"/>
      <c r="D20" s="542"/>
      <c r="E20" s="542"/>
      <c r="F20" s="166">
        <f t="shared" si="0"/>
        <v>0</v>
      </c>
    </row>
    <row r="21" spans="2:17" ht="16.5" thickBot="1">
      <c r="B21" s="1405" t="s">
        <v>135</v>
      </c>
      <c r="C21" s="1406"/>
      <c r="D21" s="630">
        <f>+SUM(D7:D20)</f>
        <v>1176138907.72</v>
      </c>
      <c r="E21" s="630">
        <f>+SUM(E7:E20)</f>
        <v>1011804964.5799999</v>
      </c>
      <c r="F21" s="921">
        <f>+SUM(F7:F20)</f>
        <v>164333943.14000005</v>
      </c>
      <c r="G21" s="277"/>
    </row>
    <row r="22" spans="2:17">
      <c r="B22" s="667"/>
      <c r="C22" s="667"/>
      <c r="D22" s="667"/>
      <c r="E22" s="667"/>
      <c r="F22" s="667"/>
    </row>
    <row r="23" spans="2:17">
      <c r="B23" s="668"/>
      <c r="C23" s="668"/>
      <c r="D23" s="668"/>
      <c r="E23" s="668"/>
      <c r="F23" s="668"/>
      <c r="I23" s="274"/>
    </row>
    <row r="24" spans="2:17" ht="16.5" thickBot="1">
      <c r="B24" s="27"/>
      <c r="C24" s="64"/>
      <c r="D24" s="65"/>
      <c r="E24" s="65"/>
      <c r="F24" s="118"/>
      <c r="I24" s="274"/>
    </row>
    <row r="25" spans="2:17" ht="18.75" thickBot="1">
      <c r="B25" s="1376" t="s">
        <v>826</v>
      </c>
      <c r="C25" s="1377"/>
      <c r="D25" s="1377"/>
      <c r="E25" s="1377"/>
      <c r="F25" s="1377"/>
      <c r="G25" s="1377"/>
      <c r="H25" s="1377"/>
      <c r="I25" s="1378"/>
      <c r="J25" s="273"/>
    </row>
    <row r="26" spans="2:17" ht="48.75" customHeight="1">
      <c r="B26" s="906" t="s">
        <v>65</v>
      </c>
      <c r="C26" s="907" t="s">
        <v>62</v>
      </c>
      <c r="D26" s="907" t="s">
        <v>89</v>
      </c>
      <c r="E26" s="907" t="s">
        <v>67</v>
      </c>
      <c r="F26" s="907" t="s">
        <v>68</v>
      </c>
      <c r="G26" s="907" t="s">
        <v>135</v>
      </c>
      <c r="H26" s="908" t="s">
        <v>536</v>
      </c>
      <c r="I26" s="1090" t="s">
        <v>79</v>
      </c>
      <c r="J26"/>
      <c r="K26" s="759"/>
      <c r="L26" s="759"/>
      <c r="O26" s="287"/>
    </row>
    <row r="27" spans="2:17" ht="41.25" customHeight="1">
      <c r="B27" s="530" t="s">
        <v>564</v>
      </c>
      <c r="C27" s="699">
        <f>+Sheet1!C73+HO!C57+DEMAT!C41</f>
        <v>8922265.3299999982</v>
      </c>
      <c r="D27" s="197">
        <f>+Sheet1!D73+HO!D57+DEMAT!D41-D28</f>
        <v>790500.86469999992</v>
      </c>
      <c r="E27" s="197">
        <f>+Sheet1!E73+HO!E57+DEMAT!E41-E28</f>
        <v>790500.86469999992</v>
      </c>
      <c r="F27" s="700">
        <f>+Sheet1!F73+HO!F57+DEMAT!F41</f>
        <v>25006.030000000002</v>
      </c>
      <c r="G27" s="589">
        <f>SUM(D27:F27)</f>
        <v>1606007.7593999999</v>
      </c>
      <c r="H27" s="795">
        <f>C27*0.18</f>
        <v>1606007.7593999996</v>
      </c>
      <c r="I27" s="1091">
        <f>+G27-H27</f>
        <v>0</v>
      </c>
      <c r="J27"/>
      <c r="K27" s="759"/>
      <c r="L27" s="759"/>
      <c r="P27" s="273"/>
    </row>
    <row r="28" spans="2:17" ht="16.5" customHeight="1">
      <c r="B28" s="463" t="s">
        <v>565</v>
      </c>
      <c r="C28" s="701">
        <v>0</v>
      </c>
      <c r="D28" s="50">
        <v>0</v>
      </c>
      <c r="E28" s="50">
        <f>+D28</f>
        <v>0</v>
      </c>
      <c r="F28" s="702">
        <v>0</v>
      </c>
      <c r="G28" s="589">
        <f>SUM(D28:F28)</f>
        <v>0</v>
      </c>
      <c r="H28" s="589">
        <f>+C28*0.12</f>
        <v>0</v>
      </c>
      <c r="I28" s="874">
        <f>+G28-H28</f>
        <v>0</v>
      </c>
      <c r="J28" s="905"/>
      <c r="K28" s="759"/>
      <c r="L28" s="759"/>
      <c r="P28" s="273"/>
    </row>
    <row r="29" spans="2:17" ht="16.5" thickBot="1">
      <c r="B29" s="529" t="s">
        <v>448</v>
      </c>
      <c r="C29" s="703">
        <f>+Sheet1!C74+HO!C58+DEMAT!C42</f>
        <v>308950.71999999997</v>
      </c>
      <c r="D29" s="703">
        <f>+Sheet1!D74+HO!D58+DEMAT!D42</f>
        <v>27805.5648</v>
      </c>
      <c r="E29" s="703">
        <f>+Sheet1!E74+HO!E58+DEMAT!E42</f>
        <v>27805.5648</v>
      </c>
      <c r="F29" s="704">
        <f>+Sheet1!F74+HO!F58+DEMAT!F42</f>
        <v>0</v>
      </c>
      <c r="G29" s="875">
        <f>SUM(D29:F29)</f>
        <v>55611.1296</v>
      </c>
      <c r="H29" s="875">
        <f>+C29*0.18</f>
        <v>55611.129599999993</v>
      </c>
      <c r="I29" s="876">
        <f>+G29-H29</f>
        <v>0</v>
      </c>
      <c r="J29" s="360" t="s">
        <v>5</v>
      </c>
      <c r="K29" s="260"/>
      <c r="P29" s="273"/>
      <c r="Q29" s="260"/>
    </row>
    <row r="30" spans="2:17" ht="20.25" thickBot="1">
      <c r="B30" s="441" t="s">
        <v>135</v>
      </c>
      <c r="C30" s="705">
        <f>+C27+C29+C28</f>
        <v>9231216.0499999989</v>
      </c>
      <c r="D30" s="706">
        <f>SUM(D27:D29)</f>
        <v>818306.42949999997</v>
      </c>
      <c r="E30" s="706">
        <f>SUM(E27:E29)</f>
        <v>818306.42949999997</v>
      </c>
      <c r="F30" s="707">
        <f>SUM(F27:F29)</f>
        <v>25006.030000000002</v>
      </c>
      <c r="G30" s="873">
        <f>SUM(D30:F30)</f>
        <v>1661618.889</v>
      </c>
      <c r="H30" s="299">
        <f>+C30*0.18</f>
        <v>1661618.8889999997</v>
      </c>
      <c r="I30" s="299"/>
      <c r="J30" s="360" t="s">
        <v>5</v>
      </c>
      <c r="K30" s="260"/>
      <c r="P30" s="273"/>
      <c r="Q30" s="260"/>
    </row>
    <row r="31" spans="2:17">
      <c r="B31" s="1392" t="s">
        <v>294</v>
      </c>
      <c r="C31" s="1393"/>
      <c r="D31" s="493">
        <f>+Sheet1!D76+HO!D60+DEMAT!D44</f>
        <v>820384.30000000016</v>
      </c>
      <c r="E31" s="493">
        <f>+Sheet1!E76+HO!E60+DEMAT!E44</f>
        <v>820384.30000000016</v>
      </c>
      <c r="F31" s="543">
        <f>+Sheet1!F76+HO!F60+DEMAT!F44</f>
        <v>25006.030000000002</v>
      </c>
      <c r="I31" s="277"/>
      <c r="K31" s="260"/>
      <c r="P31" s="273"/>
      <c r="Q31" s="279"/>
    </row>
    <row r="32" spans="2:17" ht="19.5" customHeight="1" thickBot="1">
      <c r="B32" s="1383" t="s">
        <v>514</v>
      </c>
      <c r="C32" s="1384"/>
      <c r="D32" s="947">
        <f>+D30-D31-D28</f>
        <v>-2077.8705000001937</v>
      </c>
      <c r="E32" s="947">
        <f>+E30-E31-E28</f>
        <v>-2077.8705000001937</v>
      </c>
      <c r="F32" s="644">
        <f>+F30-F31-F28</f>
        <v>0</v>
      </c>
      <c r="H32" s="909"/>
      <c r="I32" s="605"/>
      <c r="J32" s="605"/>
      <c r="K32" s="605"/>
      <c r="L32" s="605"/>
      <c r="P32" s="273"/>
    </row>
    <row r="33" spans="1:18" ht="19.5" customHeight="1">
      <c r="B33" s="263" t="s">
        <v>615</v>
      </c>
      <c r="C33" s="466">
        <f>2128.5-2074.98-13.5-10.8</f>
        <v>29.219999999999981</v>
      </c>
      <c r="D33" s="282"/>
      <c r="E33" s="1035"/>
      <c r="F33" s="282"/>
      <c r="I33" s="605"/>
      <c r="J33" s="605"/>
      <c r="K33" s="605"/>
      <c r="L33" s="605"/>
      <c r="P33" s="273"/>
    </row>
    <row r="34" spans="1:18" ht="19.5" customHeight="1" thickBot="1">
      <c r="C34" s="474"/>
      <c r="D34" s="474"/>
      <c r="E34" s="1094"/>
      <c r="G34" s="474"/>
      <c r="H34" s="474"/>
      <c r="I34" s="605"/>
      <c r="J34" s="605"/>
      <c r="K34" s="605"/>
      <c r="L34" s="605"/>
      <c r="P34" s="273"/>
    </row>
    <row r="35" spans="1:18" ht="19.5" customHeight="1" thickBot="1">
      <c r="B35" s="1398" t="s">
        <v>949</v>
      </c>
      <c r="C35" s="1399"/>
      <c r="D35" s="1399"/>
      <c r="E35" s="1399"/>
      <c r="F35" s="1399"/>
      <c r="G35" s="1400"/>
      <c r="H35" s="474"/>
      <c r="I35" s="605"/>
      <c r="J35" s="605"/>
      <c r="K35" s="605"/>
      <c r="L35" s="605"/>
      <c r="P35" s="273"/>
    </row>
    <row r="36" spans="1:18" ht="10.5" customHeight="1" thickBot="1">
      <c r="B36" s="1092"/>
      <c r="C36" s="1092"/>
      <c r="D36" s="1092"/>
      <c r="E36" s="1092"/>
      <c r="F36" s="1092"/>
      <c r="G36" s="1092"/>
      <c r="H36" s="474"/>
      <c r="I36" s="605"/>
      <c r="J36" s="605"/>
      <c r="K36" s="605"/>
      <c r="L36" s="605"/>
      <c r="P36" s="273"/>
    </row>
    <row r="37" spans="1:18" ht="16.5" customHeight="1" thickBot="1">
      <c r="B37" s="1398" t="s">
        <v>950</v>
      </c>
      <c r="C37" s="1399"/>
      <c r="D37" s="1399"/>
      <c r="E37" s="1399"/>
      <c r="F37" s="1399"/>
      <c r="G37" s="1400"/>
      <c r="H37" s="474"/>
      <c r="I37" s="605"/>
      <c r="J37" s="605"/>
      <c r="K37" s="605"/>
      <c r="L37" s="605"/>
      <c r="P37" s="273"/>
    </row>
    <row r="38" spans="1:18" ht="19.5" customHeight="1" thickBot="1">
      <c r="B38" s="426"/>
      <c r="C38" s="426"/>
      <c r="D38" s="426"/>
      <c r="E38" s="426"/>
      <c r="F38" s="426"/>
      <c r="G38" s="426"/>
      <c r="I38" s="605"/>
      <c r="J38" s="605"/>
      <c r="K38" s="605"/>
      <c r="L38" s="605"/>
      <c r="P38" s="273"/>
    </row>
    <row r="39" spans="1:18" ht="18.75" customHeight="1" thickBot="1">
      <c r="A39" s="283"/>
      <c r="B39" s="1376" t="s">
        <v>462</v>
      </c>
      <c r="C39" s="1377"/>
      <c r="D39" s="1377"/>
      <c r="E39" s="1377"/>
      <c r="F39" s="1377"/>
      <c r="G39" s="1378"/>
      <c r="H39" s="284"/>
      <c r="I39" s="605"/>
      <c r="J39" s="1005"/>
      <c r="K39" s="1005"/>
      <c r="L39" s="1005"/>
      <c r="M39" s="1005"/>
      <c r="N39" s="1005"/>
      <c r="P39" s="273"/>
      <c r="Q39" s="285"/>
    </row>
    <row r="40" spans="1:18" ht="36.75" customHeight="1">
      <c r="A40" s="283"/>
      <c r="B40" s="148" t="s">
        <v>65</v>
      </c>
      <c r="C40" s="531" t="s">
        <v>952</v>
      </c>
      <c r="D40" s="531" t="s">
        <v>930</v>
      </c>
      <c r="E40" s="532" t="s">
        <v>137</v>
      </c>
      <c r="F40" s="148" t="s">
        <v>89</v>
      </c>
      <c r="G40" s="533" t="s">
        <v>67</v>
      </c>
      <c r="H40"/>
      <c r="I40"/>
      <c r="J40" s="1006"/>
      <c r="K40" s="1006"/>
      <c r="L40" s="1007"/>
      <c r="M40" s="1007"/>
      <c r="N40" s="1007"/>
    </row>
    <row r="41" spans="1:18" ht="19.5">
      <c r="A41" s="283"/>
      <c r="B41" s="523" t="s">
        <v>379</v>
      </c>
      <c r="C41" s="578">
        <v>739120</v>
      </c>
      <c r="D41" s="578">
        <v>597620.43999999994</v>
      </c>
      <c r="E41" s="578">
        <f>+C41-D41</f>
        <v>141499.56000000006</v>
      </c>
      <c r="F41" s="578">
        <f>+E41*0.09</f>
        <v>12734.960400000005</v>
      </c>
      <c r="G41" s="578">
        <f>+F41</f>
        <v>12734.960400000005</v>
      </c>
      <c r="H41"/>
      <c r="I41"/>
      <c r="J41" s="1006"/>
      <c r="K41" s="1006"/>
      <c r="L41" s="949"/>
      <c r="M41" s="949"/>
      <c r="N41" s="1008"/>
      <c r="P41" s="546"/>
      <c r="Q41" s="546"/>
      <c r="R41" s="546"/>
    </row>
    <row r="42" spans="1:18" ht="19.5">
      <c r="A42" s="283"/>
      <c r="B42" s="523" t="s">
        <v>645</v>
      </c>
      <c r="C42" s="1055">
        <v>462852</v>
      </c>
      <c r="D42" s="1055">
        <v>385710</v>
      </c>
      <c r="E42" s="578">
        <f>+C42-D42</f>
        <v>77142</v>
      </c>
      <c r="F42" s="578">
        <f>+E42*0.09</f>
        <v>6942.78</v>
      </c>
      <c r="G42" s="578">
        <f>+F42</f>
        <v>6942.78</v>
      </c>
      <c r="H42"/>
      <c r="I42"/>
      <c r="J42" s="1006"/>
      <c r="K42" s="1006"/>
      <c r="L42" s="1009"/>
      <c r="M42" s="1009"/>
      <c r="N42" s="1009"/>
      <c r="P42" s="546"/>
      <c r="Q42" s="546"/>
      <c r="R42" s="546"/>
    </row>
    <row r="43" spans="1:18" ht="19.5" customHeight="1">
      <c r="A43" s="283"/>
      <c r="B43" s="523" t="s">
        <v>604</v>
      </c>
      <c r="C43" s="578">
        <v>2121458</v>
      </c>
      <c r="D43" s="578">
        <v>1665898</v>
      </c>
      <c r="E43" s="578">
        <f>+C43-D43-C49</f>
        <v>455560</v>
      </c>
      <c r="F43" s="578">
        <f>+E43*0.09</f>
        <v>41000.400000000001</v>
      </c>
      <c r="G43" s="578">
        <f>+F43</f>
        <v>41000.400000000001</v>
      </c>
      <c r="H43"/>
      <c r="I43"/>
      <c r="J43" s="1006"/>
      <c r="K43" s="1006"/>
      <c r="L43" s="1010"/>
      <c r="M43" s="1010"/>
      <c r="N43" s="1010"/>
      <c r="O43" s="668"/>
      <c r="P43" s="282"/>
      <c r="Q43" s="282"/>
      <c r="R43" s="282"/>
    </row>
    <row r="44" spans="1:18" ht="19.5">
      <c r="A44" s="283"/>
      <c r="B44" s="524" t="s">
        <v>135</v>
      </c>
      <c r="C44" s="1018">
        <f>SUM(C41:C43)</f>
        <v>3323430</v>
      </c>
      <c r="D44" s="1018">
        <f>SUM(D41:D43)</f>
        <v>2649228.44</v>
      </c>
      <c r="E44" s="1018">
        <f>SUM(E41:E43)</f>
        <v>674201.56</v>
      </c>
      <c r="F44" s="1018">
        <f>SUM(F41:F43)</f>
        <v>60678.140400000004</v>
      </c>
      <c r="G44" s="1018">
        <f>SUM(G41:G43)</f>
        <v>60678.140400000004</v>
      </c>
      <c r="H44"/>
      <c r="I44"/>
      <c r="J44" s="1006"/>
      <c r="K44" s="1006"/>
      <c r="L44" s="1011"/>
      <c r="M44" s="1011"/>
      <c r="N44" s="1011"/>
      <c r="O44" s="668"/>
      <c r="P44" s="282"/>
      <c r="Q44" s="282"/>
      <c r="R44" s="282"/>
    </row>
    <row r="45" spans="1:18" ht="20.25" thickBot="1">
      <c r="A45" s="283"/>
      <c r="B45" s="27"/>
      <c r="C45" s="44" t="s">
        <v>5</v>
      </c>
      <c r="D45" s="44"/>
      <c r="E45" s="62"/>
      <c r="F45" s="62"/>
      <c r="G45" s="62"/>
      <c r="H45"/>
      <c r="I45"/>
      <c r="J45" s="1006"/>
      <c r="K45" s="1006"/>
      <c r="L45" s="1011"/>
      <c r="M45" s="1011"/>
      <c r="N45" s="1011"/>
      <c r="O45" s="668"/>
      <c r="P45" s="282"/>
      <c r="Q45" s="282"/>
      <c r="R45" s="282"/>
    </row>
    <row r="46" spans="1:18" ht="19.5" customHeight="1">
      <c r="A46" s="283"/>
      <c r="B46" s="536" t="s">
        <v>676</v>
      </c>
      <c r="C46" s="537"/>
      <c r="D46" s="763"/>
      <c r="E46" s="763"/>
      <c r="F46" s="763"/>
      <c r="G46" s="62"/>
      <c r="H46"/>
      <c r="I46"/>
      <c r="J46" s="1006"/>
      <c r="K46" s="1006"/>
      <c r="L46" s="1012"/>
      <c r="M46" s="1012"/>
      <c r="N46" s="1012"/>
      <c r="O46" s="668"/>
      <c r="P46" s="282"/>
      <c r="Q46" s="282"/>
      <c r="R46" s="282"/>
    </row>
    <row r="47" spans="1:18" ht="19.5" customHeight="1">
      <c r="A47" s="283"/>
      <c r="B47" s="538" t="s">
        <v>612</v>
      </c>
      <c r="C47" s="799">
        <v>0</v>
      </c>
      <c r="D47" s="62"/>
      <c r="E47" s="62"/>
      <c r="F47" s="62"/>
      <c r="G47" s="588"/>
      <c r="H47" s="910"/>
      <c r="I47" s="910"/>
      <c r="J47" s="910"/>
      <c r="P47" s="282"/>
      <c r="Q47" s="282"/>
      <c r="R47" s="282"/>
    </row>
    <row r="48" spans="1:18" ht="41.25" customHeight="1" thickBot="1">
      <c r="A48" s="283"/>
      <c r="B48" s="538" t="s">
        <v>600</v>
      </c>
      <c r="C48" s="639">
        <v>0</v>
      </c>
      <c r="D48" s="862"/>
      <c r="E48" s="862"/>
      <c r="F48" s="862"/>
      <c r="G48" s="950"/>
      <c r="H48" s="910"/>
      <c r="I48" s="910"/>
      <c r="J48"/>
      <c r="P48" s="282"/>
      <c r="Q48" s="282"/>
      <c r="R48" s="282"/>
    </row>
    <row r="49" spans="1:18" ht="20.25" thickBot="1">
      <c r="A49" s="283"/>
      <c r="B49" s="498" t="s">
        <v>135</v>
      </c>
      <c r="C49" s="499">
        <f>+C47-C46</f>
        <v>0</v>
      </c>
      <c r="D49" s="888"/>
      <c r="E49" s="888"/>
      <c r="F49" s="888"/>
      <c r="G49"/>
      <c r="H49"/>
      <c r="I49"/>
      <c r="J49" s="910"/>
      <c r="P49" s="282"/>
      <c r="Q49" s="282"/>
      <c r="R49" s="282"/>
    </row>
    <row r="50" spans="1:18" ht="35.25" customHeight="1" thickBot="1">
      <c r="A50" s="283"/>
      <c r="B50" s="527"/>
      <c r="C50" s="528"/>
      <c r="D50" s="778">
        <f>+D54/2</f>
        <v>152676.73000000001</v>
      </c>
      <c r="E50" s="778">
        <f>+E54/2</f>
        <v>152676.73000000001</v>
      </c>
      <c r="F50" s="778">
        <f>+F54/2</f>
        <v>328203.61</v>
      </c>
      <c r="G50" s="1039"/>
      <c r="H50" s="1039"/>
      <c r="I50" s="1039"/>
      <c r="J50" s="910"/>
      <c r="P50" s="282"/>
      <c r="Q50" s="282"/>
      <c r="R50" s="282"/>
    </row>
    <row r="51" spans="1:18" ht="18.75" thickBot="1">
      <c r="A51" s="283"/>
      <c r="B51" s="1402" t="s">
        <v>138</v>
      </c>
      <c r="C51" s="1403"/>
      <c r="D51" s="1403"/>
      <c r="E51" s="1403"/>
      <c r="F51" s="1404"/>
      <c r="G51" s="949"/>
      <c r="H51" s="949"/>
      <c r="I51" s="1008"/>
      <c r="P51" s="117"/>
      <c r="Q51" s="117"/>
      <c r="R51" s="117"/>
    </row>
    <row r="52" spans="1:18">
      <c r="A52" s="283"/>
      <c r="B52" s="1385" t="s">
        <v>65</v>
      </c>
      <c r="C52" s="1254"/>
      <c r="D52" s="1254" t="s">
        <v>70</v>
      </c>
      <c r="E52" s="1254" t="s">
        <v>71</v>
      </c>
      <c r="F52" s="1411" t="s">
        <v>72</v>
      </c>
      <c r="G52" s="1009"/>
      <c r="H52" s="1009"/>
      <c r="I52" s="1009"/>
      <c r="J52" s="1401" t="s">
        <v>719</v>
      </c>
      <c r="K52" s="1401"/>
      <c r="L52" s="1401"/>
      <c r="P52" s="117"/>
      <c r="Q52" s="117"/>
      <c r="R52" s="117"/>
    </row>
    <row r="53" spans="1:18" ht="18" customHeight="1">
      <c r="A53" s="283"/>
      <c r="B53" s="1386"/>
      <c r="C53" s="1387"/>
      <c r="D53" s="1387" t="s">
        <v>67</v>
      </c>
      <c r="E53" s="1387"/>
      <c r="F53" s="1412"/>
      <c r="I53" s="670"/>
      <c r="K53" s="261"/>
    </row>
    <row r="54" spans="1:18">
      <c r="A54" s="283"/>
      <c r="B54" s="1396" t="s">
        <v>69</v>
      </c>
      <c r="C54" s="1397"/>
      <c r="D54" s="30">
        <f>+Sheet1!D83+HO!D67+DEMAT!D52</f>
        <v>305353.46000000002</v>
      </c>
      <c r="E54" s="30">
        <f>+Sheet1!E83+HO!E67+DEMAT!E52</f>
        <v>305353.46000000002</v>
      </c>
      <c r="F54" s="1040">
        <f>+Sheet1!F83+HO!F67+DEMAT!F52</f>
        <v>656407.22</v>
      </c>
      <c r="G54" s="284"/>
      <c r="H54" s="284">
        <v>0</v>
      </c>
      <c r="I54" s="284">
        <v>0</v>
      </c>
      <c r="J54" s="262">
        <f>+D54</f>
        <v>305353.46000000002</v>
      </c>
      <c r="K54" s="262">
        <f>+E54</f>
        <v>305353.46000000002</v>
      </c>
      <c r="L54" s="262">
        <f>+F54</f>
        <v>656407.22</v>
      </c>
    </row>
    <row r="55" spans="1:18">
      <c r="A55" s="283"/>
      <c r="B55" s="1453" t="s">
        <v>692</v>
      </c>
      <c r="C55" s="1454"/>
      <c r="D55" s="903">
        <v>0</v>
      </c>
      <c r="E55" s="903">
        <f>+D55</f>
        <v>0</v>
      </c>
      <c r="F55" s="1041">
        <v>0</v>
      </c>
      <c r="G55" s="922"/>
      <c r="H55" s="284"/>
      <c r="I55" s="284"/>
      <c r="J55" s="262"/>
      <c r="K55" s="262"/>
      <c r="L55" s="262"/>
    </row>
    <row r="56" spans="1:18">
      <c r="A56" s="283"/>
      <c r="B56" s="1042" t="s">
        <v>693</v>
      </c>
      <c r="C56" s="5"/>
      <c r="D56" s="757">
        <f>+D54-D55</f>
        <v>305353.46000000002</v>
      </c>
      <c r="E56" s="757">
        <f>+E54-E55</f>
        <v>305353.46000000002</v>
      </c>
      <c r="F56" s="1043">
        <f>+F54-F55</f>
        <v>656407.22</v>
      </c>
      <c r="G56" s="949"/>
      <c r="H56" s="949"/>
      <c r="I56" s="948"/>
      <c r="J56" s="262">
        <f>SUM(J54:J55)</f>
        <v>305353.46000000002</v>
      </c>
      <c r="K56" s="262">
        <f>SUM(K54:K55)</f>
        <v>305353.46000000002</v>
      </c>
      <c r="L56" s="262">
        <f>SUM(L54:L55)</f>
        <v>656407.22</v>
      </c>
    </row>
    <row r="57" spans="1:18">
      <c r="A57" s="283"/>
      <c r="B57" s="1458" t="s">
        <v>508</v>
      </c>
      <c r="C57" s="1459"/>
      <c r="D57" s="766">
        <f>+Sheet1!D84+HO!D70+DEMAT!D53-D58</f>
        <v>-1451.1399999999999</v>
      </c>
      <c r="E57" s="766">
        <f>+Sheet1!E84+HO!E70+DEMAT!E53-E58</f>
        <v>-1451.1399999999999</v>
      </c>
      <c r="F57" s="1040">
        <v>0</v>
      </c>
      <c r="G57" s="284">
        <f>+D57</f>
        <v>-1451.1399999999999</v>
      </c>
      <c r="H57" s="284">
        <f>+E57</f>
        <v>-1451.1399999999999</v>
      </c>
      <c r="I57" s="284">
        <f>+F57</f>
        <v>0</v>
      </c>
      <c r="J57" s="262">
        <f>+D57</f>
        <v>-1451.1399999999999</v>
      </c>
      <c r="K57" s="262">
        <f t="shared" ref="K57:L63" si="1">+E57</f>
        <v>-1451.1399999999999</v>
      </c>
      <c r="L57" s="262">
        <f t="shared" si="1"/>
        <v>0</v>
      </c>
      <c r="M57" s="278"/>
    </row>
    <row r="58" spans="1:18">
      <c r="A58" s="283"/>
      <c r="B58" s="1379" t="s">
        <v>511</v>
      </c>
      <c r="C58" s="1380"/>
      <c r="D58" s="929">
        <f>+I169</f>
        <v>5326.07</v>
      </c>
      <c r="E58" s="746">
        <f>+J169</f>
        <v>5326.07</v>
      </c>
      <c r="F58" s="1212">
        <f>+K169</f>
        <v>293719.65999999997</v>
      </c>
      <c r="G58" s="284">
        <f>+D58</f>
        <v>5326.07</v>
      </c>
      <c r="H58" s="284">
        <f t="shared" ref="H58:I58" si="2">+E58</f>
        <v>5326.07</v>
      </c>
      <c r="I58" s="284">
        <f t="shared" si="2"/>
        <v>293719.65999999997</v>
      </c>
      <c r="J58" s="262">
        <f>+D58</f>
        <v>5326.07</v>
      </c>
      <c r="K58" s="262">
        <f t="shared" si="1"/>
        <v>5326.07</v>
      </c>
      <c r="L58" s="262">
        <f t="shared" si="1"/>
        <v>293719.65999999997</v>
      </c>
    </row>
    <row r="59" spans="1:18">
      <c r="A59" s="283"/>
      <c r="B59" s="1381" t="s">
        <v>510</v>
      </c>
      <c r="C59" s="1382"/>
      <c r="D59" s="6">
        <f>+[1]MATCHING!$C$9</f>
        <v>10642.32</v>
      </c>
      <c r="E59" s="6">
        <f>+D59</f>
        <v>10642.32</v>
      </c>
      <c r="F59" s="1045">
        <f>+[1]MATCHING!$E$9</f>
        <v>11787.11</v>
      </c>
      <c r="G59" s="284">
        <f>+D59/2</f>
        <v>5321.16</v>
      </c>
      <c r="H59" s="284">
        <f>+E59/2</f>
        <v>5321.16</v>
      </c>
      <c r="I59" s="284">
        <f>+F59/2</f>
        <v>5893.5550000000003</v>
      </c>
      <c r="J59" s="262">
        <f>+D59</f>
        <v>10642.32</v>
      </c>
      <c r="K59" s="262">
        <f t="shared" si="1"/>
        <v>10642.32</v>
      </c>
      <c r="L59" s="262">
        <f t="shared" si="1"/>
        <v>11787.11</v>
      </c>
    </row>
    <row r="60" spans="1:18">
      <c r="A60" s="283"/>
      <c r="B60" s="1044"/>
      <c r="C60" s="586"/>
      <c r="D60" s="30">
        <f>+D56-D57-D58-D59</f>
        <v>290836.21000000002</v>
      </c>
      <c r="E60" s="30">
        <f>+E56-E57-E58-E59</f>
        <v>290836.21000000002</v>
      </c>
      <c r="F60" s="1040">
        <f>+F56-F57-F58-F59</f>
        <v>350900.45</v>
      </c>
      <c r="G60" s="680">
        <f>+(F44+D60)/2</f>
        <v>175757.1752</v>
      </c>
      <c r="H60" s="680">
        <f>+(G44+E60)/2</f>
        <v>175757.1752</v>
      </c>
      <c r="I60" s="680">
        <f>+(H44+F60)/2</f>
        <v>175450.22500000001</v>
      </c>
      <c r="J60" s="262">
        <f>+J56-J57-J58-J59</f>
        <v>290836.21000000002</v>
      </c>
      <c r="K60" s="262">
        <f>+K56-K57-K58-K59</f>
        <v>290836.21000000002</v>
      </c>
      <c r="L60" s="262">
        <f>+L56-L57-L58-L59</f>
        <v>350900.45</v>
      </c>
    </row>
    <row r="61" spans="1:18" ht="31.5">
      <c r="A61" s="283"/>
      <c r="B61" s="1046" t="s">
        <v>517</v>
      </c>
      <c r="C61" s="587" t="s">
        <v>509</v>
      </c>
      <c r="D61" s="30">
        <f>+[1]MATCHING!$C$8/2</f>
        <v>1890</v>
      </c>
      <c r="E61" s="30">
        <f>+D61</f>
        <v>1890</v>
      </c>
      <c r="F61" s="1040">
        <f>+[1]MATCHING!$E$8/2</f>
        <v>0</v>
      </c>
      <c r="G61" s="284">
        <v>0</v>
      </c>
      <c r="H61" s="284">
        <v>0</v>
      </c>
      <c r="I61" s="284"/>
      <c r="J61" s="262">
        <f>+D61</f>
        <v>1890</v>
      </c>
      <c r="K61" s="262">
        <f t="shared" si="1"/>
        <v>1890</v>
      </c>
      <c r="L61" s="262">
        <f t="shared" si="1"/>
        <v>0</v>
      </c>
    </row>
    <row r="62" spans="1:18">
      <c r="A62" s="283"/>
      <c r="B62" s="1047" t="s">
        <v>695</v>
      </c>
      <c r="C62" s="587"/>
      <c r="D62" s="880">
        <f>+'[2]ITC TAKEN IN SEP-26'!$O$35</f>
        <v>60365.184555320186</v>
      </c>
      <c r="E62" s="880">
        <f>+D62</f>
        <v>60365.184555320186</v>
      </c>
      <c r="F62" s="1041">
        <f>+'[2]ITC TAKEN IN SEP-26'!$M$35</f>
        <v>321844.50178689498</v>
      </c>
      <c r="G62" s="284">
        <f>+D62/2</f>
        <v>30182.592277660093</v>
      </c>
      <c r="H62" s="284">
        <f>+E62/2</f>
        <v>30182.592277660093</v>
      </c>
      <c r="I62" s="284">
        <f>+F62/2</f>
        <v>160922.25089344749</v>
      </c>
      <c r="J62" s="262"/>
      <c r="K62" s="262"/>
      <c r="L62" s="262"/>
    </row>
    <row r="63" spans="1:18" ht="47.25" customHeight="1">
      <c r="A63" s="283"/>
      <c r="B63" s="1460" t="s">
        <v>781</v>
      </c>
      <c r="C63" s="1461"/>
      <c r="D63" s="879"/>
      <c r="E63" s="879"/>
      <c r="F63" s="1048"/>
      <c r="G63" s="284">
        <v>0</v>
      </c>
      <c r="H63" s="284">
        <v>0</v>
      </c>
      <c r="I63" s="284">
        <f>+F63</f>
        <v>0</v>
      </c>
      <c r="J63" s="262">
        <f>+D63</f>
        <v>0</v>
      </c>
      <c r="K63" s="262">
        <f t="shared" si="1"/>
        <v>0</v>
      </c>
      <c r="L63" s="262">
        <f t="shared" si="1"/>
        <v>0</v>
      </c>
    </row>
    <row r="64" spans="1:18" ht="19.5" customHeight="1">
      <c r="A64" s="283"/>
      <c r="B64" s="1427" t="s">
        <v>82</v>
      </c>
      <c r="C64" s="1428"/>
      <c r="D64" s="451">
        <f>+D60+D61-D63+D62</f>
        <v>353091.39455532021</v>
      </c>
      <c r="E64" s="451">
        <f>+E60+E61-E63+E62</f>
        <v>353091.39455532021</v>
      </c>
      <c r="F64" s="1049">
        <f>+F60+F61-F63+F62</f>
        <v>672744.95178689505</v>
      </c>
      <c r="G64" s="284">
        <f>SUM(G56:G63)</f>
        <v>215135.85747766009</v>
      </c>
      <c r="H64" s="284">
        <f>SUM(H56:H63)</f>
        <v>215135.85747766009</v>
      </c>
      <c r="I64" s="284">
        <f>SUM(I56:I63)</f>
        <v>635985.69089344749</v>
      </c>
      <c r="J64" s="262">
        <f>+J60+J61</f>
        <v>292726.21000000002</v>
      </c>
      <c r="K64" s="262">
        <f>+K60+K61</f>
        <v>292726.21000000002</v>
      </c>
      <c r="L64" s="262">
        <f>+L60+L61</f>
        <v>350900.45</v>
      </c>
    </row>
    <row r="65" spans="1:15" s="287" customFormat="1">
      <c r="A65" s="318"/>
      <c r="B65" s="320"/>
      <c r="F65" s="1050"/>
      <c r="G65" s="286">
        <f>+D64/2</f>
        <v>176545.6972776601</v>
      </c>
      <c r="H65" s="286">
        <f>+G65</f>
        <v>176545.6972776601</v>
      </c>
      <c r="I65" s="286">
        <f>+F64/2</f>
        <v>336372.47589344752</v>
      </c>
      <c r="J65" s="892">
        <f>+D64-J64</f>
        <v>60365.184555320186</v>
      </c>
      <c r="K65" s="895">
        <f>+E64-K64</f>
        <v>60365.184555320186</v>
      </c>
      <c r="L65" s="762">
        <f>+F64-L64</f>
        <v>321844.50178689504</v>
      </c>
      <c r="M65" s="287" t="s">
        <v>841</v>
      </c>
    </row>
    <row r="66" spans="1:15" ht="20.25" thickBot="1">
      <c r="A66" s="283"/>
      <c r="B66" s="1456" t="s">
        <v>486</v>
      </c>
      <c r="C66" s="1457"/>
      <c r="D66" s="1051">
        <f>+D64+D58</f>
        <v>358417.46455532021</v>
      </c>
      <c r="E66" s="1051">
        <f>+E64+E58</f>
        <v>358417.46455532021</v>
      </c>
      <c r="F66" s="1052">
        <f>+F64+F58</f>
        <v>966464.61178689497</v>
      </c>
      <c r="G66" s="284"/>
      <c r="H66" s="284"/>
      <c r="I66" s="284"/>
      <c r="J66" s="278"/>
    </row>
    <row r="67" spans="1:15">
      <c r="A67" s="283"/>
      <c r="B67" s="449"/>
      <c r="C67" s="449"/>
      <c r="D67" s="761"/>
      <c r="E67" s="761"/>
      <c r="F67" s="761"/>
      <c r="G67" s="284"/>
      <c r="H67" s="284"/>
      <c r="J67" s="278"/>
      <c r="K67" s="260"/>
    </row>
    <row r="68" spans="1:15" ht="35.25" customHeight="1">
      <c r="A68" s="283"/>
      <c r="B68" s="1429"/>
      <c r="C68" s="1429"/>
      <c r="D68" s="1429"/>
      <c r="E68" s="1429"/>
      <c r="F68" s="1429"/>
      <c r="G68" s="316"/>
      <c r="H68" s="316"/>
      <c r="I68" s="317"/>
      <c r="J68" s="278"/>
      <c r="K68" s="278"/>
    </row>
    <row r="69" spans="1:15">
      <c r="A69" s="283"/>
      <c r="B69" s="1429" t="s">
        <v>557</v>
      </c>
      <c r="C69" s="1429"/>
      <c r="D69" s="1429"/>
      <c r="E69" s="1429"/>
      <c r="F69" s="1429"/>
      <c r="G69" s="316"/>
      <c r="H69" s="316"/>
      <c r="I69" s="317"/>
      <c r="J69" s="278"/>
    </row>
    <row r="70" spans="1:15">
      <c r="A70" s="283"/>
      <c r="B70" s="1429" t="s">
        <v>558</v>
      </c>
      <c r="C70" s="1429"/>
      <c r="D70" s="1429"/>
      <c r="E70" s="1429"/>
      <c r="F70" s="1429"/>
      <c r="G70" s="284"/>
      <c r="H70" s="284"/>
      <c r="J70" s="278"/>
    </row>
    <row r="71" spans="1:15">
      <c r="A71" s="283"/>
      <c r="B71" s="1430"/>
      <c r="C71" s="1430"/>
      <c r="D71" s="1430"/>
      <c r="E71" s="1430"/>
      <c r="F71" s="1430"/>
      <c r="G71" s="1430"/>
      <c r="H71" s="1430"/>
      <c r="I71" s="317"/>
      <c r="J71" s="278"/>
    </row>
    <row r="72" spans="1:15" ht="16.5" thickBot="1">
      <c r="A72" s="283"/>
      <c r="B72" s="1455"/>
      <c r="C72" s="1455"/>
      <c r="D72" s="1455"/>
      <c r="E72" s="1455"/>
      <c r="F72" s="1455"/>
      <c r="G72" s="1455"/>
      <c r="H72" s="316"/>
      <c r="I72" s="316"/>
      <c r="J72" s="316"/>
      <c r="K72" s="316"/>
      <c r="L72" s="316"/>
      <c r="M72" s="316"/>
    </row>
    <row r="73" spans="1:15" ht="30" customHeight="1" thickBot="1">
      <c r="A73" s="283"/>
      <c r="B73" s="1376" t="s">
        <v>150</v>
      </c>
      <c r="C73" s="1377"/>
      <c r="D73" s="1377"/>
      <c r="E73" s="1377"/>
      <c r="F73" s="1378"/>
      <c r="G73" s="316"/>
      <c r="H73" s="316"/>
      <c r="I73" s="317"/>
      <c r="O73" s="287"/>
    </row>
    <row r="74" spans="1:15" ht="33" customHeight="1">
      <c r="A74" s="283"/>
      <c r="B74" s="377" t="s">
        <v>152</v>
      </c>
      <c r="C74" s="274"/>
      <c r="D74" s="274"/>
      <c r="E74" s="274"/>
      <c r="F74" s="273"/>
      <c r="G74" s="284"/>
      <c r="H74" s="275"/>
      <c r="O74" s="287"/>
    </row>
    <row r="75" spans="1:15" ht="15" customHeight="1">
      <c r="A75" s="283"/>
      <c r="B75" s="371" t="s">
        <v>139</v>
      </c>
      <c r="C75" s="372" t="s">
        <v>89</v>
      </c>
      <c r="D75" s="372" t="s">
        <v>67</v>
      </c>
      <c r="E75" s="372" t="s">
        <v>68</v>
      </c>
      <c r="F75" s="372" t="s">
        <v>135</v>
      </c>
      <c r="G75" s="284"/>
      <c r="H75" s="284"/>
      <c r="O75" s="287"/>
    </row>
    <row r="76" spans="1:15">
      <c r="A76" s="283"/>
      <c r="B76" s="373" t="s">
        <v>140</v>
      </c>
      <c r="C76" s="963">
        <v>71.75</v>
      </c>
      <c r="D76" s="963">
        <f>+C76</f>
        <v>71.75</v>
      </c>
      <c r="E76" s="963">
        <v>281.5</v>
      </c>
      <c r="F76" s="963">
        <f>+C76+D76+E76</f>
        <v>425</v>
      </c>
      <c r="G76" s="354"/>
      <c r="H76" s="355"/>
      <c r="I76" s="288"/>
      <c r="J76" s="289"/>
      <c r="O76" s="287"/>
    </row>
    <row r="77" spans="1:15" ht="30">
      <c r="A77" s="283"/>
      <c r="B77" s="417" t="s">
        <v>435</v>
      </c>
      <c r="C77" s="963">
        <f>+-E77/2</f>
        <v>140.75</v>
      </c>
      <c r="D77" s="963">
        <f>+C77</f>
        <v>140.75</v>
      </c>
      <c r="E77" s="963">
        <v>-281.5</v>
      </c>
      <c r="F77" s="374">
        <f>SUM(C77:E77)</f>
        <v>0</v>
      </c>
      <c r="G77" s="1213"/>
      <c r="H77" s="768"/>
      <c r="I77" s="288"/>
      <c r="J77" s="289"/>
      <c r="O77" s="287"/>
    </row>
    <row r="78" spans="1:15" s="291" customFormat="1" ht="30.75" customHeight="1">
      <c r="A78" s="290"/>
      <c r="B78" s="375" t="s">
        <v>311</v>
      </c>
      <c r="C78" s="1022">
        <f>+C76+C77</f>
        <v>212.5</v>
      </c>
      <c r="D78" s="1022">
        <f>+D76+D77</f>
        <v>212.5</v>
      </c>
      <c r="E78" s="881">
        <v>0</v>
      </c>
      <c r="F78" s="1021">
        <f>SUM(C78:E78)</f>
        <v>425</v>
      </c>
      <c r="G78" s="756"/>
      <c r="H78" s="355"/>
      <c r="I78" s="288"/>
      <c r="J78" s="422"/>
      <c r="O78" s="287"/>
    </row>
    <row r="79" spans="1:15" ht="19.5" customHeight="1">
      <c r="A79" s="283"/>
      <c r="B79" s="376" t="s">
        <v>309</v>
      </c>
      <c r="C79" s="280">
        <f>+C76+C77-C78</f>
        <v>0</v>
      </c>
      <c r="D79" s="280">
        <f>+D76+D77-D78</f>
        <v>0</v>
      </c>
      <c r="E79" s="280">
        <f>+E76+E77-E78</f>
        <v>0</v>
      </c>
      <c r="F79" s="280">
        <f>+F76+F77-F78</f>
        <v>0</v>
      </c>
      <c r="G79" s="284"/>
      <c r="H79" s="284"/>
      <c r="K79" s="278"/>
      <c r="L79" s="278"/>
      <c r="O79" s="287"/>
    </row>
    <row r="80" spans="1:15" ht="15" customHeight="1" thickBot="1">
      <c r="A80" s="283"/>
      <c r="B80" s="27"/>
      <c r="C80" s="284"/>
      <c r="D80" s="284"/>
      <c r="E80" s="284"/>
      <c r="F80" s="284"/>
      <c r="G80" s="284"/>
      <c r="H80" s="284"/>
      <c r="O80" s="287"/>
    </row>
    <row r="81" spans="1:18" ht="18.75" thickBot="1">
      <c r="A81" s="283"/>
      <c r="B81" s="1376" t="s">
        <v>151</v>
      </c>
      <c r="C81" s="1377"/>
      <c r="D81" s="1377"/>
      <c r="E81" s="1377"/>
      <c r="F81" s="1378"/>
      <c r="G81" s="284"/>
      <c r="H81" s="459"/>
      <c r="I81" s="460"/>
      <c r="K81" s="260"/>
      <c r="L81" s="278"/>
      <c r="O81" s="287"/>
    </row>
    <row r="82" spans="1:18" ht="15" customHeight="1">
      <c r="A82" s="283"/>
      <c r="B82" s="534" t="s">
        <v>139</v>
      </c>
      <c r="C82" s="535" t="s">
        <v>89</v>
      </c>
      <c r="D82" s="535" t="s">
        <v>67</v>
      </c>
      <c r="E82" s="535" t="s">
        <v>68</v>
      </c>
      <c r="F82" s="535" t="s">
        <v>135</v>
      </c>
      <c r="G82" s="284"/>
      <c r="J82" s="428"/>
      <c r="K82" s="329"/>
      <c r="L82" s="300"/>
      <c r="M82" s="278"/>
      <c r="O82" s="287"/>
    </row>
    <row r="83" spans="1:18" ht="20.25">
      <c r="A83" s="283"/>
      <c r="B83" s="462" t="s">
        <v>487</v>
      </c>
      <c r="C83" s="293">
        <v>0</v>
      </c>
      <c r="D83" s="293">
        <f>+C83</f>
        <v>0</v>
      </c>
      <c r="E83" s="293">
        <v>0</v>
      </c>
      <c r="F83" s="293">
        <f>SUM(C83:E83)</f>
        <v>0</v>
      </c>
      <c r="G83" s="475"/>
      <c r="H83" s="476"/>
      <c r="I83" s="476"/>
      <c r="J83" s="476"/>
      <c r="L83" s="329"/>
      <c r="M83" s="329"/>
      <c r="N83" s="329"/>
      <c r="O83" s="294"/>
    </row>
    <row r="84" spans="1:18" ht="15" customHeight="1">
      <c r="A84" s="283"/>
      <c r="B84" s="5"/>
      <c r="C84" s="293">
        <v>0</v>
      </c>
      <c r="D84" s="293">
        <v>0</v>
      </c>
      <c r="E84" s="293">
        <v>0</v>
      </c>
      <c r="F84" s="293">
        <f t="shared" ref="F84:F91" si="3">SUM(C84:E84)</f>
        <v>0</v>
      </c>
      <c r="G84" s="631"/>
      <c r="H84" s="631"/>
      <c r="I84" s="631"/>
      <c r="J84" s="476"/>
      <c r="K84" s="327"/>
      <c r="L84" s="327"/>
      <c r="M84" s="327"/>
      <c r="N84" s="327"/>
      <c r="O84" s="294"/>
    </row>
    <row r="85" spans="1:18" ht="15" customHeight="1">
      <c r="A85" s="283"/>
      <c r="B85" s="5" t="s">
        <v>489</v>
      </c>
      <c r="C85" s="1014">
        <f>+F44</f>
        <v>60678.140400000004</v>
      </c>
      <c r="D85" s="1014">
        <f>+G44</f>
        <v>60678.140400000004</v>
      </c>
      <c r="E85" s="1014">
        <v>0</v>
      </c>
      <c r="F85" s="293">
        <f t="shared" si="3"/>
        <v>121356.28080000001</v>
      </c>
      <c r="G85" s="665"/>
      <c r="H85"/>
      <c r="I85" s="631"/>
      <c r="J85" s="476"/>
      <c r="K85" s="327"/>
      <c r="L85" s="327"/>
      <c r="M85" s="327"/>
      <c r="N85" s="327"/>
      <c r="O85" s="294"/>
    </row>
    <row r="86" spans="1:18" ht="15" customHeight="1">
      <c r="A86" s="283"/>
      <c r="B86" s="5" t="s">
        <v>694</v>
      </c>
      <c r="C86" s="1015">
        <f>+D62</f>
        <v>60365.184555320186</v>
      </c>
      <c r="D86" s="1015">
        <f>+E62</f>
        <v>60365.184555320186</v>
      </c>
      <c r="E86" s="1015">
        <f>+F62</f>
        <v>321844.50178689498</v>
      </c>
      <c r="F86" s="293">
        <f>SUM(C86:E86)</f>
        <v>442574.87089753535</v>
      </c>
      <c r="G86" s="665"/>
      <c r="H86" s="758"/>
      <c r="I86" s="631"/>
      <c r="J86" s="476"/>
      <c r="K86" s="327"/>
      <c r="L86" s="327"/>
      <c r="M86" s="327"/>
      <c r="N86" s="327"/>
      <c r="O86" s="294"/>
    </row>
    <row r="87" spans="1:18" ht="18.75">
      <c r="A87" s="283"/>
      <c r="B87" s="5" t="s">
        <v>488</v>
      </c>
      <c r="C87" s="1014">
        <f>+D56+D61-G59</f>
        <v>301922.30000000005</v>
      </c>
      <c r="D87" s="1014">
        <f>+E56+E61-H59</f>
        <v>301922.30000000005</v>
      </c>
      <c r="E87" s="1014">
        <f>+F56+F61-I59</f>
        <v>650513.66499999992</v>
      </c>
      <c r="F87" s="293">
        <f t="shared" si="3"/>
        <v>1254358.2650000001</v>
      </c>
      <c r="G87" s="475" t="s">
        <v>5</v>
      </c>
      <c r="H87" s="631"/>
      <c r="I87" s="664"/>
      <c r="J87" s="544"/>
      <c r="K87" s="327"/>
      <c r="L87" s="327"/>
      <c r="M87" s="327"/>
      <c r="N87" s="327"/>
      <c r="O87" s="294"/>
    </row>
    <row r="88" spans="1:18" ht="30.75" thickBot="1">
      <c r="A88" s="283"/>
      <c r="B88" s="1190" t="s">
        <v>490</v>
      </c>
      <c r="C88" s="1014">
        <f>-G64</f>
        <v>-215135.85747766009</v>
      </c>
      <c r="D88" s="1014">
        <f>-H64</f>
        <v>-215135.85747766009</v>
      </c>
      <c r="E88" s="1014">
        <f>-I64</f>
        <v>-635985.69089344749</v>
      </c>
      <c r="F88" s="293">
        <f>SUM(C88:E88)</f>
        <v>-1066257.4058487676</v>
      </c>
      <c r="G88" s="467"/>
      <c r="H88" s="295"/>
      <c r="I88" s="296"/>
      <c r="J88" s="370"/>
      <c r="K88" s="328"/>
      <c r="L88" s="328"/>
      <c r="M88" s="328"/>
      <c r="N88" s="328"/>
      <c r="O88" s="294"/>
    </row>
    <row r="89" spans="1:18" ht="21" thickBot="1">
      <c r="A89" s="283"/>
      <c r="B89" s="462" t="s">
        <v>491</v>
      </c>
      <c r="C89" s="1016">
        <f>SUM(C85:C88)</f>
        <v>207829.76747766018</v>
      </c>
      <c r="D89" s="1016">
        <f>SUM(D85:D88)</f>
        <v>207829.76747766018</v>
      </c>
      <c r="E89" s="1016">
        <f>SUM(E85:E88)</f>
        <v>336372.47589344741</v>
      </c>
      <c r="F89" s="293">
        <f t="shared" si="3"/>
        <v>752032.01084876782</v>
      </c>
      <c r="G89" s="467"/>
      <c r="H89" s="295"/>
      <c r="I89" s="296"/>
      <c r="J89" s="427"/>
      <c r="K89" s="774"/>
      <c r="L89" s="774"/>
      <c r="M89" s="774"/>
      <c r="N89" s="774"/>
    </row>
    <row r="90" spans="1:18" ht="19.5" customHeight="1">
      <c r="A90" s="283"/>
      <c r="B90" s="462" t="s">
        <v>492</v>
      </c>
      <c r="C90" s="1016">
        <f>+C83+C89</f>
        <v>207829.76747766018</v>
      </c>
      <c r="D90" s="1016">
        <f>+D83+D89</f>
        <v>207829.76747766018</v>
      </c>
      <c r="E90" s="1016">
        <f>+E83+E89</f>
        <v>336372.47589344741</v>
      </c>
      <c r="F90" s="293">
        <f>SUM(C90:E90)</f>
        <v>752032.01084876782</v>
      </c>
      <c r="G90" s="893">
        <f>+G30-F90</f>
        <v>909586.87815123214</v>
      </c>
      <c r="H90" s="284"/>
      <c r="J90" s="370" t="s">
        <v>5</v>
      </c>
      <c r="K90" s="736"/>
      <c r="L90" s="736"/>
      <c r="M90" s="736"/>
      <c r="N90" s="736"/>
      <c r="O90" s="294"/>
    </row>
    <row r="91" spans="1:18" ht="18.75">
      <c r="A91" s="283"/>
      <c r="B91" s="5" t="s">
        <v>141</v>
      </c>
      <c r="C91" s="1014">
        <f>-F104</f>
        <v>-207830</v>
      </c>
      <c r="D91" s="1014">
        <f>-E104</f>
        <v>-207830</v>
      </c>
      <c r="E91" s="1014">
        <f>-D104</f>
        <v>-336372</v>
      </c>
      <c r="F91" s="297">
        <f t="shared" si="3"/>
        <v>-752032</v>
      </c>
      <c r="G91" s="298"/>
      <c r="H91" s="298"/>
      <c r="I91" s="299"/>
      <c r="J91" s="327"/>
      <c r="K91" s="877"/>
      <c r="L91" s="877"/>
      <c r="M91" s="877"/>
      <c r="N91" s="877"/>
      <c r="O91" s="294"/>
    </row>
    <row r="92" spans="1:18" ht="19.5" customHeight="1" thickBot="1">
      <c r="A92" s="283"/>
      <c r="B92" s="341" t="s">
        <v>513</v>
      </c>
      <c r="C92" s="1016">
        <f>+C90+C91</f>
        <v>-0.23252233982202597</v>
      </c>
      <c r="D92" s="1016">
        <f>+D90+D91</f>
        <v>-0.23252233982202597</v>
      </c>
      <c r="E92" s="1016">
        <f>+E90+E91</f>
        <v>0.47589344740845263</v>
      </c>
      <c r="F92" s="292">
        <f>SUM(C92:E92)</f>
        <v>1.0848767764400691E-2</v>
      </c>
      <c r="G92" s="777">
        <f>+E92/2</f>
        <v>0.23794672370422632</v>
      </c>
      <c r="H92" s="298"/>
      <c r="I92" s="299"/>
      <c r="J92" s="327"/>
      <c r="K92" s="1180"/>
      <c r="L92" s="1180"/>
      <c r="M92" s="1180"/>
      <c r="N92" s="1180"/>
      <c r="O92" s="1181"/>
      <c r="P92" s="670"/>
      <c r="Q92" s="369"/>
      <c r="R92" s="300"/>
    </row>
    <row r="93" spans="1:18" ht="19.5" customHeight="1" thickBot="1">
      <c r="A93" s="283"/>
      <c r="B93" s="341" t="s">
        <v>614</v>
      </c>
      <c r="C93" s="1016">
        <f>+[1]MATCHING!$C$12</f>
        <v>425362.32900000003</v>
      </c>
      <c r="D93" s="1016">
        <f>+C93</f>
        <v>425362.32900000003</v>
      </c>
      <c r="E93" s="1016">
        <f>+[1]MATCHING!$E$12</f>
        <v>321383.69</v>
      </c>
      <c r="F93" s="292">
        <f>SUM(C93:E93)</f>
        <v>1172108.348</v>
      </c>
      <c r="G93" s="607"/>
      <c r="H93" s="298"/>
      <c r="I93" s="299"/>
      <c r="J93" s="327"/>
      <c r="K93" s="774"/>
      <c r="L93" s="774"/>
      <c r="M93" s="774"/>
      <c r="N93" s="774"/>
      <c r="O93" s="775"/>
      <c r="R93" s="670"/>
    </row>
    <row r="94" spans="1:18" ht="19.5" customHeight="1">
      <c r="A94" s="283"/>
      <c r="B94" s="341" t="s">
        <v>512</v>
      </c>
      <c r="C94" s="1017">
        <f>+C92+C93</f>
        <v>425362.09647766023</v>
      </c>
      <c r="D94" s="1017">
        <f>+D92+D93</f>
        <v>425362.09647766023</v>
      </c>
      <c r="E94" s="1017">
        <f>+E92+E93</f>
        <v>321384.16589344741</v>
      </c>
      <c r="F94" s="612">
        <f>SUM(C94:E94)</f>
        <v>1172108.3588487678</v>
      </c>
      <c r="G94" s="301"/>
      <c r="H94" s="301">
        <f>753471-96768</f>
        <v>656703</v>
      </c>
      <c r="I94" s="302"/>
      <c r="J94" s="287" t="s">
        <v>455</v>
      </c>
      <c r="K94" s="300">
        <f>+K96+K99+K95</f>
        <v>173256208.47000003</v>
      </c>
      <c r="L94" s="300">
        <f>+D31</f>
        <v>820384.30000000016</v>
      </c>
      <c r="M94" s="300">
        <f>+E31</f>
        <v>820384.30000000016</v>
      </c>
      <c r="N94" s="300">
        <f>+F31</f>
        <v>25006.030000000002</v>
      </c>
      <c r="O94" s="300"/>
      <c r="P94" s="300"/>
    </row>
    <row r="95" spans="1:18" ht="19.5" customHeight="1" thickBot="1">
      <c r="A95" s="283"/>
      <c r="B95" s="281"/>
      <c r="C95" s="301"/>
      <c r="D95" s="301"/>
      <c r="E95" s="301"/>
      <c r="F95" s="301"/>
      <c r="G95" s="301"/>
      <c r="H95" s="301"/>
      <c r="I95" s="302"/>
      <c r="J95" s="287" t="s">
        <v>568</v>
      </c>
      <c r="K95" s="911"/>
      <c r="L95" s="300"/>
      <c r="M95" s="300"/>
      <c r="N95" s="300"/>
      <c r="O95" s="314"/>
      <c r="P95" s="287"/>
      <c r="Q95" s="287"/>
      <c r="R95" s="287"/>
    </row>
    <row r="96" spans="1:18" ht="18.75" thickBot="1">
      <c r="A96" s="283"/>
      <c r="B96" s="1376" t="s">
        <v>149</v>
      </c>
      <c r="C96" s="1377"/>
      <c r="D96" s="1377"/>
      <c r="E96" s="1377"/>
      <c r="F96" s="1377"/>
      <c r="G96" s="1377"/>
      <c r="H96" s="1377"/>
      <c r="I96" s="1378"/>
      <c r="J96" s="287" t="s">
        <v>449</v>
      </c>
      <c r="K96" s="1182">
        <f>+F21-K95</f>
        <v>164333943.14000005</v>
      </c>
      <c r="L96" s="263">
        <v>0</v>
      </c>
      <c r="M96" s="263">
        <v>0</v>
      </c>
      <c r="N96" s="263">
        <v>0</v>
      </c>
      <c r="O96" s="1442"/>
      <c r="P96" s="1442"/>
    </row>
    <row r="97" spans="1:21" ht="16.5" customHeight="1" thickBot="1">
      <c r="A97" s="283"/>
      <c r="B97" s="1443" t="s">
        <v>142</v>
      </c>
      <c r="C97" s="1448" t="s">
        <v>332</v>
      </c>
      <c r="D97" s="1445" t="s">
        <v>143</v>
      </c>
      <c r="E97" s="1446"/>
      <c r="F97" s="1447"/>
      <c r="G97" s="1448" t="s">
        <v>331</v>
      </c>
      <c r="H97" s="1448" t="s">
        <v>307</v>
      </c>
      <c r="I97" s="1431" t="s">
        <v>308</v>
      </c>
      <c r="J97" s="1420" t="s">
        <v>327</v>
      </c>
      <c r="K97" s="1421"/>
      <c r="L97" s="1421"/>
      <c r="M97" s="1421"/>
      <c r="N97" s="1422"/>
      <c r="P97" s="263" t="s">
        <v>5</v>
      </c>
    </row>
    <row r="98" spans="1:21" ht="30" customHeight="1" thickBot="1">
      <c r="A98" s="283"/>
      <c r="B98" s="1444"/>
      <c r="C98" s="1449"/>
      <c r="D98" s="304" t="s">
        <v>144</v>
      </c>
      <c r="E98" s="305" t="s">
        <v>145</v>
      </c>
      <c r="F98" s="305" t="s">
        <v>146</v>
      </c>
      <c r="G98" s="1449" t="s">
        <v>135</v>
      </c>
      <c r="H98" s="1449"/>
      <c r="I98" s="1432"/>
      <c r="J98" s="306"/>
      <c r="K98" s="307" t="s">
        <v>62</v>
      </c>
      <c r="L98" s="307" t="s">
        <v>67</v>
      </c>
      <c r="M98" s="307" t="s">
        <v>155</v>
      </c>
      <c r="N98" s="308" t="s">
        <v>68</v>
      </c>
      <c r="P98" s="300"/>
      <c r="Q98" s="300"/>
      <c r="R98" s="300"/>
      <c r="S98" s="300"/>
    </row>
    <row r="99" spans="1:21">
      <c r="A99" s="283"/>
      <c r="B99" s="184">
        <v>1</v>
      </c>
      <c r="C99" s="185">
        <v>2</v>
      </c>
      <c r="D99" s="185">
        <v>3</v>
      </c>
      <c r="E99" s="185">
        <v>4</v>
      </c>
      <c r="F99" s="185">
        <v>5</v>
      </c>
      <c r="G99" s="185"/>
      <c r="H99" s="185"/>
      <c r="I99" s="270"/>
      <c r="J99" s="309" t="s">
        <v>310</v>
      </c>
      <c r="K99" s="310">
        <f>+C27+C28</f>
        <v>8922265.3299999982</v>
      </c>
      <c r="L99" s="310">
        <f>+D30-2128</f>
        <v>816178.42949999997</v>
      </c>
      <c r="M99" s="310">
        <f>+E30-2128</f>
        <v>816178.42949999997</v>
      </c>
      <c r="N99" s="991">
        <f>+F30</f>
        <v>25006.030000000002</v>
      </c>
      <c r="O99" s="443">
        <f>+SUM(L99:N99)/K99*100</f>
        <v>18.575583976720857</v>
      </c>
      <c r="P99" s="369"/>
      <c r="Q99" s="369"/>
      <c r="R99" s="369"/>
      <c r="S99" s="369"/>
    </row>
    <row r="100" spans="1:21">
      <c r="A100" s="283"/>
      <c r="B100" s="186" t="s">
        <v>144</v>
      </c>
      <c r="C100" s="863">
        <f>+F30+1</f>
        <v>25007.030000000002</v>
      </c>
      <c r="D100" s="187">
        <v>25007</v>
      </c>
      <c r="E100" s="187">
        <v>0</v>
      </c>
      <c r="F100" s="187">
        <f>+E100</f>
        <v>0</v>
      </c>
      <c r="G100" s="187">
        <f>+C100-D100-E100-F100</f>
        <v>3.0000000002473826E-2</v>
      </c>
      <c r="H100" s="187"/>
      <c r="I100" s="271">
        <f>+G100-H100</f>
        <v>3.0000000002473826E-2</v>
      </c>
      <c r="J100" s="311" t="s">
        <v>302</v>
      </c>
      <c r="K100" s="1183">
        <f>+Sheet1!J58</f>
        <v>2932646</v>
      </c>
      <c r="L100" s="312">
        <f>+Sheet1!J59</f>
        <v>263938.14</v>
      </c>
      <c r="M100" s="312">
        <f>+Sheet1!J60</f>
        <v>263938.14</v>
      </c>
      <c r="N100" s="495">
        <v>0</v>
      </c>
      <c r="O100" s="443">
        <f>+SUM(L100:N100)/K100*100</f>
        <v>18.000000000000004</v>
      </c>
      <c r="P100" s="362"/>
      <c r="Q100" s="279"/>
      <c r="S100" s="362"/>
    </row>
    <row r="101" spans="1:21">
      <c r="A101" s="283"/>
      <c r="B101" s="186" t="s">
        <v>680</v>
      </c>
      <c r="C101" s="863">
        <f>+D30+D32-51</f>
        <v>816177.55899999978</v>
      </c>
      <c r="D101" s="187">
        <v>155682.5</v>
      </c>
      <c r="E101" s="187">
        <v>207830</v>
      </c>
      <c r="F101" s="189">
        <v>0</v>
      </c>
      <c r="G101" s="188">
        <f>+C101-D101-E101-F101</f>
        <v>452665.05899999978</v>
      </c>
      <c r="H101" s="187"/>
      <c r="I101" s="271">
        <f>+G101-H101</f>
        <v>452665.05899999978</v>
      </c>
      <c r="J101" s="311"/>
      <c r="K101" s="1178">
        <f>+K99-K100</f>
        <v>5989619.3299999982</v>
      </c>
      <c r="L101" s="1184">
        <f>+L99-L100</f>
        <v>552240.28949999996</v>
      </c>
      <c r="M101" s="1184">
        <f>+M99-M100</f>
        <v>552240.28949999996</v>
      </c>
      <c r="N101" s="1185">
        <f>+N99-N100</f>
        <v>25006.030000000002</v>
      </c>
      <c r="O101" s="443"/>
      <c r="P101" s="300"/>
      <c r="Q101" s="300"/>
      <c r="R101" s="300"/>
      <c r="S101" s="300"/>
      <c r="U101" s="300"/>
    </row>
    <row r="102" spans="1:21">
      <c r="A102" s="283"/>
      <c r="B102" s="186" t="s">
        <v>681</v>
      </c>
      <c r="C102" s="863">
        <f>+C101</f>
        <v>816177.55899999978</v>
      </c>
      <c r="D102" s="187">
        <f>+D101</f>
        <v>155682.5</v>
      </c>
      <c r="E102" s="189">
        <v>0</v>
      </c>
      <c r="F102" s="191">
        <v>207830</v>
      </c>
      <c r="G102" s="188">
        <f>+C102-D102-E102-F102</f>
        <v>452665.05899999978</v>
      </c>
      <c r="H102" s="187"/>
      <c r="I102" s="271">
        <f>+G102-H102</f>
        <v>452665.05899999978</v>
      </c>
      <c r="J102" s="1107" t="s">
        <v>535</v>
      </c>
      <c r="K102" s="1108">
        <f>+K135</f>
        <v>2616039.8099999996</v>
      </c>
      <c r="L102" s="1108">
        <f>+L135</f>
        <v>223009.6</v>
      </c>
      <c r="M102" s="1108">
        <f>+M135</f>
        <v>223009.6</v>
      </c>
      <c r="N102" s="1109">
        <f>+N135</f>
        <v>24872</v>
      </c>
      <c r="O102" s="443">
        <f>+SUM(L102:N102)/K102*100</f>
        <v>18.000154210191475</v>
      </c>
      <c r="Q102" s="300"/>
      <c r="R102" s="300"/>
      <c r="S102" s="261"/>
    </row>
    <row r="103" spans="1:21" ht="16.5" customHeight="1" thickBot="1">
      <c r="A103" s="283"/>
      <c r="B103" s="190" t="s">
        <v>147</v>
      </c>
      <c r="C103" s="191">
        <v>0</v>
      </c>
      <c r="D103" s="192">
        <v>0</v>
      </c>
      <c r="E103" s="192">
        <v>0</v>
      </c>
      <c r="F103" s="191"/>
      <c r="G103" s="191">
        <v>0</v>
      </c>
      <c r="H103" s="191">
        <v>0</v>
      </c>
      <c r="I103" s="272">
        <f>+G103-H103</f>
        <v>0</v>
      </c>
      <c r="J103" s="1110" t="s">
        <v>358</v>
      </c>
      <c r="K103" s="1111">
        <f>+K101-K102</f>
        <v>3373579.5199999986</v>
      </c>
      <c r="L103" s="1111">
        <f>+L101-L102</f>
        <v>329230.68949999998</v>
      </c>
      <c r="M103" s="1111">
        <f>+M101-M102</f>
        <v>329230.68949999998</v>
      </c>
      <c r="N103" s="1186">
        <f>+N101-N102</f>
        <v>134.03000000000247</v>
      </c>
      <c r="O103" s="443">
        <f>+SUM(L103:N103)/K103*100</f>
        <v>19.522154586710329</v>
      </c>
      <c r="P103" s="1179"/>
      <c r="Q103" s="671"/>
      <c r="R103" s="619"/>
      <c r="S103" s="735"/>
    </row>
    <row r="104" spans="1:21" ht="20.25" thickBot="1">
      <c r="A104" s="283"/>
      <c r="B104" s="193" t="s">
        <v>148</v>
      </c>
      <c r="C104" s="194">
        <f>SUM(C100:C103)</f>
        <v>1657362.1479999996</v>
      </c>
      <c r="D104" s="194">
        <f>+D100+D101+D102</f>
        <v>336372</v>
      </c>
      <c r="E104" s="194">
        <f>+E100+E101+E102</f>
        <v>207830</v>
      </c>
      <c r="F104" s="194">
        <f>+F100+F101+F102</f>
        <v>207830</v>
      </c>
      <c r="G104" s="800">
        <f>+C104-D104-E104-F104</f>
        <v>905330.14799999958</v>
      </c>
      <c r="H104" s="513">
        <f>SUM(H100:H103)</f>
        <v>0</v>
      </c>
      <c r="I104" s="878">
        <f>SUM(I100:I103)</f>
        <v>905330.14799999958</v>
      </c>
      <c r="J104" s="1107" t="s">
        <v>437</v>
      </c>
      <c r="K104" s="993">
        <f>+N104/0.18</f>
        <v>744.61111111112484</v>
      </c>
      <c r="L104" s="1108">
        <v>0</v>
      </c>
      <c r="M104" s="1108">
        <v>0</v>
      </c>
      <c r="N104" s="1109">
        <f>+N103</f>
        <v>134.03000000000247</v>
      </c>
      <c r="O104" s="443">
        <f>+SUM(L104:N104)/K104*100</f>
        <v>18</v>
      </c>
      <c r="P104" s="369"/>
      <c r="Q104" s="617"/>
      <c r="R104" s="617"/>
      <c r="S104" s="616"/>
    </row>
    <row r="105" spans="1:21" ht="19.5">
      <c r="A105" s="283"/>
      <c r="B105" s="356"/>
      <c r="C105" s="357"/>
      <c r="D105" s="357"/>
      <c r="E105" s="357"/>
      <c r="F105" s="357"/>
      <c r="G105" s="358"/>
      <c r="H105" s="358"/>
      <c r="I105" s="359"/>
      <c r="J105" s="313" t="s">
        <v>357</v>
      </c>
      <c r="K105" s="1111">
        <f>+K103-K104</f>
        <v>3372834.9088888876</v>
      </c>
      <c r="L105" s="368">
        <f>+L103-L104</f>
        <v>329230.68949999998</v>
      </c>
      <c r="M105" s="368">
        <f>+M103-M104</f>
        <v>329230.68949999998</v>
      </c>
      <c r="N105" s="674">
        <f>+N103-N104</f>
        <v>0</v>
      </c>
      <c r="O105" s="443">
        <f>+SUM(L105:N105)/K105*100</f>
        <v>19.522490628422627</v>
      </c>
      <c r="P105" s="279"/>
      <c r="Q105" s="617"/>
      <c r="R105" s="617"/>
      <c r="S105" s="616"/>
    </row>
    <row r="106" spans="1:21" ht="19.5">
      <c r="A106" s="283"/>
      <c r="B106" s="356"/>
      <c r="C106" s="357"/>
      <c r="D106" s="1118"/>
      <c r="E106" s="357"/>
      <c r="F106" s="357"/>
      <c r="G106" s="358"/>
      <c r="H106" s="358"/>
      <c r="I106" s="359"/>
      <c r="J106" s="313" t="s">
        <v>873</v>
      </c>
      <c r="K106" s="368">
        <f>+K132</f>
        <v>0</v>
      </c>
      <c r="L106" s="368">
        <v>0</v>
      </c>
      <c r="M106" s="368">
        <v>0</v>
      </c>
      <c r="N106" s="674">
        <f>+K106*0.18</f>
        <v>0</v>
      </c>
      <c r="O106" s="279"/>
      <c r="P106" s="279"/>
      <c r="Q106" s="617"/>
      <c r="R106" s="709"/>
      <c r="S106" s="616"/>
    </row>
    <row r="107" spans="1:21" ht="16.5" customHeight="1" thickBot="1">
      <c r="A107" s="283"/>
      <c r="B107" s="164" t="s">
        <v>463</v>
      </c>
      <c r="C107" s="283"/>
      <c r="D107" s="303"/>
      <c r="E107" s="303"/>
      <c r="F107" s="303"/>
      <c r="G107" s="284"/>
      <c r="H107" s="284"/>
      <c r="J107" s="313" t="s">
        <v>473</v>
      </c>
      <c r="K107" s="672">
        <v>0</v>
      </c>
      <c r="L107" s="672">
        <f>+K107*14/100</f>
        <v>0</v>
      </c>
      <c r="M107" s="672">
        <f>+L107</f>
        <v>0</v>
      </c>
      <c r="N107" s="673">
        <v>0</v>
      </c>
      <c r="O107" s="442"/>
      <c r="P107" s="573"/>
      <c r="Q107" s="618"/>
      <c r="R107" s="618"/>
    </row>
    <row r="108" spans="1:21" ht="16.5" thickBot="1">
      <c r="A108" s="283"/>
      <c r="B108" s="340" t="s">
        <v>65</v>
      </c>
      <c r="C108" s="195" t="s">
        <v>354</v>
      </c>
      <c r="D108" s="196" t="s">
        <v>89</v>
      </c>
      <c r="E108" s="196" t="s">
        <v>67</v>
      </c>
      <c r="F108" s="196" t="s">
        <v>68</v>
      </c>
      <c r="G108" s="315" t="s">
        <v>135</v>
      </c>
      <c r="H108" s="316"/>
      <c r="I108" s="317"/>
      <c r="J108" s="313" t="s">
        <v>472</v>
      </c>
      <c r="K108" s="670">
        <v>0</v>
      </c>
      <c r="L108" s="670">
        <f>+K108*0.06</f>
        <v>0</v>
      </c>
      <c r="M108" s="670">
        <f>+L108</f>
        <v>0</v>
      </c>
      <c r="N108" s="675"/>
      <c r="O108" s="300"/>
      <c r="P108" s="573"/>
    </row>
    <row r="109" spans="1:21" s="287" customFormat="1" ht="16.5" thickBot="1">
      <c r="A109" s="318"/>
      <c r="B109" s="348" t="s">
        <v>362</v>
      </c>
      <c r="C109" s="197"/>
      <c r="D109" s="197">
        <f>+I102</f>
        <v>452665.05899999978</v>
      </c>
      <c r="E109" s="197">
        <f>+I101</f>
        <v>452665.05899999978</v>
      </c>
      <c r="F109" s="197">
        <f>+I100</f>
        <v>3.0000000002473826E-2</v>
      </c>
      <c r="G109" s="882">
        <f>+D109+E109+F109</f>
        <v>905330.14799999958</v>
      </c>
      <c r="H109" s="286"/>
      <c r="I109" s="274"/>
      <c r="J109" s="311" t="s">
        <v>461</v>
      </c>
      <c r="K109" s="676">
        <f>+K105-K108-K107</f>
        <v>3372834.9088888876</v>
      </c>
      <c r="L109" s="676">
        <f>+L105-L108-L107</f>
        <v>329230.68949999998</v>
      </c>
      <c r="M109" s="676">
        <f>+M105-M108-M107</f>
        <v>329230.68949999998</v>
      </c>
      <c r="N109" s="676">
        <f>+N105-N108-N107</f>
        <v>0</v>
      </c>
      <c r="O109" s="368"/>
      <c r="P109" s="573" t="s">
        <v>5</v>
      </c>
      <c r="Q109" s="314" t="s">
        <v>5</v>
      </c>
    </row>
    <row r="110" spans="1:21" s="287" customFormat="1" ht="17.25" thickTop="1" thickBot="1">
      <c r="A110" s="318"/>
      <c r="B110" s="348" t="s">
        <v>444</v>
      </c>
      <c r="C110" s="197"/>
      <c r="D110" s="197">
        <f>-C78</f>
        <v>-212.5</v>
      </c>
      <c r="E110" s="197">
        <f>-D78</f>
        <v>-212.5</v>
      </c>
      <c r="F110" s="197"/>
      <c r="G110" s="882">
        <f>+D110+E110+F110</f>
        <v>-425</v>
      </c>
      <c r="H110" s="286"/>
      <c r="I110" s="274"/>
      <c r="J110" s="416"/>
      <c r="K110" s="414"/>
      <c r="L110" s="414"/>
      <c r="M110" s="414"/>
      <c r="N110" s="415"/>
      <c r="P110" s="322" t="s">
        <v>5</v>
      </c>
      <c r="Q110" s="287" t="s">
        <v>5</v>
      </c>
    </row>
    <row r="111" spans="1:21" s="287" customFormat="1" ht="16.5" thickBot="1">
      <c r="A111" s="318"/>
      <c r="B111" s="348" t="s">
        <v>573</v>
      </c>
      <c r="C111" s="197"/>
      <c r="D111" s="197">
        <v>1274</v>
      </c>
      <c r="E111" s="197">
        <f>+D111</f>
        <v>1274</v>
      </c>
      <c r="F111" s="197">
        <v>1108</v>
      </c>
      <c r="G111" s="883">
        <f>+D111+E111+F111</f>
        <v>3656</v>
      </c>
      <c r="H111" s="332"/>
      <c r="I111" s="274"/>
      <c r="J111" s="1417" t="s">
        <v>395</v>
      </c>
      <c r="K111" s="1418"/>
      <c r="L111" s="1418"/>
      <c r="M111" s="1418"/>
      <c r="N111" s="1419"/>
      <c r="O111" s="314"/>
      <c r="Q111" s="287" t="s">
        <v>5</v>
      </c>
    </row>
    <row r="112" spans="1:21" s="287" customFormat="1">
      <c r="A112" s="318"/>
      <c r="B112" s="349" t="s">
        <v>2</v>
      </c>
      <c r="C112" s="50"/>
      <c r="D112" s="50">
        <f>+F44</f>
        <v>60678.140400000004</v>
      </c>
      <c r="E112" s="50">
        <f>+G44</f>
        <v>60678.140400000004</v>
      </c>
      <c r="F112" s="50">
        <v>0</v>
      </c>
      <c r="G112" s="883">
        <f>+D112+E112+F112</f>
        <v>121356.28080000001</v>
      </c>
      <c r="H112" s="286"/>
      <c r="I112" s="274"/>
      <c r="J112" s="309">
        <v>997119</v>
      </c>
      <c r="K112" s="1112">
        <f>+K124-K120-K118-K119</f>
        <v>2424984.4499999997</v>
      </c>
      <c r="L112" s="1112">
        <f>+L124-L120-L118-L119</f>
        <v>218212.99000000002</v>
      </c>
      <c r="M112" s="1112">
        <f>+M124-M120-M118-M119</f>
        <v>218212.99000000002</v>
      </c>
      <c r="N112" s="1113">
        <f>+N124-N120-N118-N119</f>
        <v>74.27</v>
      </c>
      <c r="O112" s="314">
        <f t="shared" ref="O112:O117" si="4">+(L112+M112+N112)/K112*100</f>
        <v>18.000125732765014</v>
      </c>
      <c r="P112" s="314">
        <f>+K112+L112+M112+N112</f>
        <v>2861484.7</v>
      </c>
    </row>
    <row r="113" spans="1:21" s="287" customFormat="1" ht="20.25" customHeight="1" thickBot="1">
      <c r="A113" s="318"/>
      <c r="B113" s="350" t="s">
        <v>601</v>
      </c>
      <c r="C113" s="351"/>
      <c r="D113" s="351">
        <v>0</v>
      </c>
      <c r="E113" s="351">
        <v>0</v>
      </c>
      <c r="F113" s="884">
        <v>0</v>
      </c>
      <c r="G113" s="885">
        <f>+D113+E113+F113</f>
        <v>0</v>
      </c>
      <c r="H113" s="164"/>
      <c r="I113" s="274"/>
      <c r="J113" s="320">
        <v>997159</v>
      </c>
      <c r="K113" s="1114">
        <f>+K125+K132</f>
        <v>14501.83</v>
      </c>
      <c r="L113" s="1114">
        <f>+L125</f>
        <v>0.9</v>
      </c>
      <c r="M113" s="1114">
        <f>+M125</f>
        <v>0.9</v>
      </c>
      <c r="N113" s="1115">
        <f>+N125+N132</f>
        <v>2608.5300000000002</v>
      </c>
      <c r="O113" s="314">
        <f t="shared" si="4"/>
        <v>18.000004137408869</v>
      </c>
      <c r="P113" s="314">
        <f>+K113+L113+M113+N113</f>
        <v>17112.16</v>
      </c>
    </row>
    <row r="114" spans="1:21" s="287" customFormat="1" ht="18.75" customHeight="1" thickBot="1">
      <c r="A114" s="318"/>
      <c r="B114" s="352" t="s">
        <v>338</v>
      </c>
      <c r="C114" s="353"/>
      <c r="D114" s="353">
        <f>+SUM(D109:D113)</f>
        <v>514404.69939999981</v>
      </c>
      <c r="E114" s="353">
        <f>+SUM(E109:E113)</f>
        <v>514404.69939999981</v>
      </c>
      <c r="F114" s="353">
        <f>+SUM(F109:F113)</f>
        <v>1108.0300000000025</v>
      </c>
      <c r="G114" s="886">
        <f>+SUM(G109:G113)</f>
        <v>1029917.4287999996</v>
      </c>
      <c r="H114" s="286"/>
      <c r="I114" s="274"/>
      <c r="J114" s="320">
        <v>997158</v>
      </c>
      <c r="K114" s="1114">
        <f>+K127+K128+K129+K133+K131+K130</f>
        <v>135051.11000000002</v>
      </c>
      <c r="L114" s="1114">
        <f>+L127+L128+L129+L133+L131+L130</f>
        <v>1148.06</v>
      </c>
      <c r="M114" s="1114">
        <f>+M127+M128+M129+M133+M131+M130</f>
        <v>1148.06</v>
      </c>
      <c r="N114" s="1115">
        <f>+N127+N128+N129+N133+N131+N130</f>
        <v>22014.059999999998</v>
      </c>
      <c r="O114" s="314">
        <f t="shared" si="4"/>
        <v>18.000725799291832</v>
      </c>
      <c r="P114" s="314">
        <f>+K114+L114+M114+N114</f>
        <v>159361.29</v>
      </c>
      <c r="Q114" s="287" t="s">
        <v>5</v>
      </c>
    </row>
    <row r="115" spans="1:21" s="287" customFormat="1" ht="21.75" customHeight="1" thickBot="1">
      <c r="A115" s="318"/>
      <c r="B115" s="28"/>
      <c r="C115" s="62"/>
      <c r="D115" s="62"/>
      <c r="E115" s="62"/>
      <c r="F115" s="62"/>
      <c r="G115" s="887">
        <f>513629-G116</f>
        <v>286</v>
      </c>
      <c r="H115" s="286">
        <f>1108-964</f>
        <v>144</v>
      </c>
      <c r="I115" s="274"/>
      <c r="J115" s="320">
        <v>997111</v>
      </c>
      <c r="K115" s="1114">
        <f>+K126</f>
        <v>41502.42</v>
      </c>
      <c r="L115" s="1114">
        <f>+L126+L134</f>
        <v>3647.65</v>
      </c>
      <c r="M115" s="1114">
        <f>+M126+M134</f>
        <v>3647.65</v>
      </c>
      <c r="N115" s="1115">
        <f>+N126</f>
        <v>175.14</v>
      </c>
      <c r="O115" s="314">
        <f t="shared" si="4"/>
        <v>18.000010601791416</v>
      </c>
      <c r="P115" s="314">
        <f>+K115+L115+M115+N115</f>
        <v>48972.86</v>
      </c>
    </row>
    <row r="116" spans="1:21" s="287" customFormat="1" ht="21.75" customHeight="1">
      <c r="A116" s="1501" t="s">
        <v>978</v>
      </c>
      <c r="B116" s="1502"/>
      <c r="C116" s="1502"/>
      <c r="D116" s="1502"/>
      <c r="E116" s="1502"/>
      <c r="F116" s="1510"/>
      <c r="G116" s="321">
        <v>513343</v>
      </c>
      <c r="H116" s="286">
        <f>+H115/2</f>
        <v>72</v>
      </c>
      <c r="I116" s="274"/>
      <c r="J116" s="754" t="s">
        <v>776</v>
      </c>
      <c r="K116" s="314">
        <f>+K103</f>
        <v>3373579.5199999986</v>
      </c>
      <c r="L116" s="314">
        <f>+L103</f>
        <v>329230.68949999998</v>
      </c>
      <c r="M116" s="314">
        <f>+M103</f>
        <v>329230.68949999998</v>
      </c>
      <c r="N116" s="916">
        <f>+N103</f>
        <v>134.03000000000247</v>
      </c>
      <c r="O116" s="314">
        <f t="shared" si="4"/>
        <v>19.522154586710329</v>
      </c>
      <c r="P116" s="314">
        <f>+K116+L116+M116+N116</f>
        <v>4032174.9289999981</v>
      </c>
    </row>
    <row r="117" spans="1:21" s="287" customFormat="1" ht="21.75" customHeight="1">
      <c r="A117" s="1503"/>
      <c r="B117" s="1504"/>
      <c r="C117" s="1504"/>
      <c r="D117" s="1505"/>
      <c r="E117" s="1505"/>
      <c r="F117" s="1506"/>
      <c r="G117" s="1004"/>
      <c r="H117" s="286"/>
      <c r="I117" s="274"/>
      <c r="J117" s="754" t="s">
        <v>777</v>
      </c>
      <c r="K117" s="314"/>
      <c r="L117" s="753"/>
      <c r="M117" s="314"/>
      <c r="N117" s="319"/>
      <c r="O117" s="314" t="e">
        <f t="shared" si="4"/>
        <v>#DIV/0!</v>
      </c>
      <c r="P117" s="314"/>
    </row>
    <row r="118" spans="1:21" s="287" customFormat="1" ht="36.75" customHeight="1" thickBot="1">
      <c r="A118" s="1507" t="str">
        <f>+B35</f>
        <v>Note-1: Maninagar branch: The difference of Rs. 2128.50/- which is shown the GL 1878 &amp; 1879. There is 50% SETOFF 08/26 TRF EXP on 29/09/2026 this is the setoff entries of receivable of GL 8546 &amp; 8547 but wrongly shown in GL 1878 &amp; 1879.</v>
      </c>
      <c r="B118" s="1508"/>
      <c r="C118" s="1508"/>
      <c r="D118" s="1508"/>
      <c r="E118" s="1508"/>
      <c r="F118" s="1509"/>
      <c r="G118" s="1004"/>
      <c r="H118" s="951"/>
      <c r="I118" s="274" t="s">
        <v>574</v>
      </c>
      <c r="J118" s="754"/>
      <c r="K118" s="314">
        <v>0</v>
      </c>
      <c r="L118" s="314">
        <f>+K118*0.06</f>
        <v>0</v>
      </c>
      <c r="M118" s="314">
        <f>+L118</f>
        <v>0</v>
      </c>
      <c r="N118" s="319">
        <v>0</v>
      </c>
      <c r="P118" s="287" t="s">
        <v>5</v>
      </c>
    </row>
    <row r="119" spans="1:21" s="287" customFormat="1" ht="21.75" customHeight="1">
      <c r="A119" s="318"/>
      <c r="B119" s="1004"/>
      <c r="C119" s="1004"/>
      <c r="D119" s="1004"/>
      <c r="E119" s="1004"/>
      <c r="F119" s="1004"/>
      <c r="G119" s="1004"/>
      <c r="H119" s="951"/>
      <c r="I119" s="274" t="s">
        <v>493</v>
      </c>
      <c r="J119" s="320">
        <v>83040000</v>
      </c>
      <c r="K119" s="314"/>
      <c r="L119" s="314">
        <f>+K119*0.09</f>
        <v>0</v>
      </c>
      <c r="M119" s="314">
        <f>+L119</f>
        <v>0</v>
      </c>
      <c r="N119" s="319">
        <v>0</v>
      </c>
    </row>
    <row r="120" spans="1:21" s="287" customFormat="1" ht="21.75" customHeight="1" thickBot="1">
      <c r="A120" s="318"/>
      <c r="B120" s="1004"/>
      <c r="C120" s="1004"/>
      <c r="D120" s="1004"/>
      <c r="E120" s="1004"/>
      <c r="F120" s="1004"/>
      <c r="G120" s="1004"/>
      <c r="H120" s="951"/>
      <c r="I120" s="274" t="s">
        <v>494</v>
      </c>
      <c r="J120" s="413">
        <v>84151010</v>
      </c>
      <c r="K120" s="414"/>
      <c r="L120" s="414">
        <f>+K120*0.14</f>
        <v>0</v>
      </c>
      <c r="M120" s="414">
        <f>+L120</f>
        <v>0</v>
      </c>
      <c r="N120" s="415">
        <v>0</v>
      </c>
      <c r="P120" s="442"/>
      <c r="Q120" s="442"/>
    </row>
    <row r="121" spans="1:21" s="287" customFormat="1" ht="21.75" customHeight="1" thickBot="1">
      <c r="A121" s="318"/>
      <c r="B121" s="952"/>
      <c r="C121" s="952"/>
      <c r="D121" s="952"/>
      <c r="E121" s="952"/>
      <c r="F121" s="952"/>
      <c r="G121" s="952"/>
      <c r="H121" s="164"/>
      <c r="I121" s="274"/>
      <c r="J121" s="446" t="s">
        <v>135</v>
      </c>
      <c r="K121" s="447">
        <f>SUM(K112:K120)</f>
        <v>5989619.3299999982</v>
      </c>
      <c r="L121" s="447">
        <f>SUM(L112:L120)</f>
        <v>552240.28949999996</v>
      </c>
      <c r="M121" s="447">
        <f>SUM(M112:M120)</f>
        <v>552240.28949999996</v>
      </c>
      <c r="N121" s="447">
        <f>SUM(N112:N120)</f>
        <v>25006.03</v>
      </c>
      <c r="O121" s="314"/>
      <c r="P121" s="314"/>
      <c r="Q121" s="314"/>
      <c r="R121" s="1423"/>
      <c r="S121" s="1423"/>
      <c r="T121" s="1423"/>
      <c r="U121" s="1423"/>
    </row>
    <row r="122" spans="1:21" s="287" customFormat="1" ht="16.5" customHeight="1">
      <c r="A122" s="318"/>
      <c r="B122" s="952"/>
      <c r="C122" s="952"/>
      <c r="D122" s="952"/>
      <c r="E122" s="952"/>
      <c r="F122" s="952"/>
      <c r="G122" s="952"/>
      <c r="H122" s="164"/>
      <c r="I122" s="274"/>
      <c r="J122" s="1414" t="s">
        <v>328</v>
      </c>
      <c r="K122" s="1415"/>
      <c r="L122" s="1415"/>
      <c r="M122" s="1415"/>
      <c r="N122" s="1416"/>
      <c r="O122" s="443" t="s">
        <v>79</v>
      </c>
      <c r="P122" s="322"/>
      <c r="R122" s="1423"/>
      <c r="S122" s="1423"/>
      <c r="T122" s="1423"/>
      <c r="U122" s="1423"/>
    </row>
    <row r="123" spans="1:21" s="287" customFormat="1" ht="34.9" customHeight="1" thickBot="1">
      <c r="A123" s="318"/>
      <c r="B123" s="952"/>
      <c r="C123" s="952"/>
      <c r="D123" s="952"/>
      <c r="E123" s="952"/>
      <c r="F123" s="952"/>
      <c r="G123" s="952"/>
      <c r="H123" s="164"/>
      <c r="I123" s="176"/>
      <c r="J123" s="984" t="s">
        <v>65</v>
      </c>
      <c r="K123" s="985" t="s">
        <v>62</v>
      </c>
      <c r="L123" s="985" t="s">
        <v>67</v>
      </c>
      <c r="M123" s="985" t="s">
        <v>155</v>
      </c>
      <c r="N123" s="986" t="s">
        <v>68</v>
      </c>
      <c r="O123" s="443"/>
      <c r="P123" s="322"/>
      <c r="S123" s="679"/>
      <c r="T123" s="679"/>
      <c r="U123" s="679"/>
    </row>
    <row r="124" spans="1:21" s="287" customFormat="1" ht="23.25" customHeight="1">
      <c r="A124" s="318"/>
      <c r="B124" s="448"/>
      <c r="C124" s="448"/>
      <c r="D124" s="448"/>
      <c r="E124" s="448"/>
      <c r="F124" s="448"/>
      <c r="G124" s="448"/>
      <c r="H124" s="164"/>
      <c r="I124" s="176"/>
      <c r="J124" s="987" t="s">
        <v>318</v>
      </c>
      <c r="K124" s="1116">
        <f>2510699.33-83613.64-2101.24</f>
        <v>2424984.4499999997</v>
      </c>
      <c r="L124" s="1116">
        <f>225966.84-7525.36-228.49</f>
        <v>218212.99000000002</v>
      </c>
      <c r="M124" s="1116">
        <f>225966.84-7525.36-228.49</f>
        <v>218212.99000000002</v>
      </c>
      <c r="N124" s="1116">
        <v>74.27</v>
      </c>
      <c r="O124" s="314">
        <f>+(L124+M124+N124)/K124*100</f>
        <v>18.000125732765014</v>
      </c>
      <c r="P124" s="322"/>
      <c r="Q124" s="314"/>
      <c r="R124" s="314"/>
      <c r="S124" s="274"/>
      <c r="T124" s="274"/>
      <c r="U124" s="274"/>
    </row>
    <row r="125" spans="1:21" s="287" customFormat="1" ht="36.75" customHeight="1" thickBot="1">
      <c r="A125" s="318"/>
      <c r="B125" s="283"/>
      <c r="C125" s="283"/>
      <c r="D125" s="283"/>
      <c r="E125" s="283"/>
      <c r="F125" s="263"/>
      <c r="G125" s="273"/>
      <c r="H125" s="164"/>
      <c r="I125" s="176"/>
      <c r="J125" s="765" t="s">
        <v>267</v>
      </c>
      <c r="K125" s="1116">
        <v>14501.83</v>
      </c>
      <c r="L125" s="1116">
        <v>0.9</v>
      </c>
      <c r="M125" s="1116">
        <f>+L125</f>
        <v>0.9</v>
      </c>
      <c r="N125" s="1104">
        <v>2608.5300000000002</v>
      </c>
      <c r="O125" s="314">
        <f>+(L125+M125+N125)/K125*100</f>
        <v>18.000004137408869</v>
      </c>
      <c r="P125" s="322"/>
      <c r="Q125" s="314"/>
      <c r="R125" s="314"/>
      <c r="S125" s="274"/>
      <c r="T125" s="274"/>
      <c r="U125" s="274"/>
    </row>
    <row r="126" spans="1:21" s="287" customFormat="1" ht="23.25" customHeight="1" thickBot="1">
      <c r="A126" s="318"/>
      <c r="B126" s="303"/>
      <c r="C126" s="1433" t="s">
        <v>284</v>
      </c>
      <c r="D126" s="1434"/>
      <c r="E126" s="1435"/>
      <c r="F126" s="953"/>
      <c r="G126" s="953"/>
      <c r="H126" s="913"/>
      <c r="I126" s="176"/>
      <c r="J126" s="765" t="s">
        <v>408</v>
      </c>
      <c r="K126" s="1104">
        <f>40992.42+510</f>
        <v>41502.42</v>
      </c>
      <c r="L126" s="1104">
        <v>3647.65</v>
      </c>
      <c r="M126" s="1116">
        <f t="shared" ref="M126:M133" si="5">+L126</f>
        <v>3647.65</v>
      </c>
      <c r="N126" s="1116">
        <f>83.34+91.8</f>
        <v>175.14</v>
      </c>
      <c r="O126" s="314">
        <f t="shared" ref="O126:O131" si="6">+(L126+M126+N126)/K126*100</f>
        <v>18.000010601791416</v>
      </c>
      <c r="P126" s="322"/>
      <c r="Q126" s="314"/>
      <c r="R126" s="314"/>
      <c r="S126" s="274"/>
      <c r="T126" s="274"/>
      <c r="U126" s="274"/>
    </row>
    <row r="127" spans="1:21" s="287" customFormat="1" ht="16.5" customHeight="1" thickBot="1">
      <c r="A127" s="318"/>
      <c r="B127" s="283"/>
      <c r="C127" s="684" t="s">
        <v>373</v>
      </c>
      <c r="D127" s="684" t="s">
        <v>374</v>
      </c>
      <c r="E127" s="684" t="s">
        <v>375</v>
      </c>
      <c r="F127" s="953"/>
      <c r="G127" s="953"/>
      <c r="H127" s="913"/>
      <c r="I127" s="176"/>
      <c r="J127" s="765" t="s">
        <v>319</v>
      </c>
      <c r="K127" s="1104">
        <v>8587.0400000000009</v>
      </c>
      <c r="L127" s="1104">
        <v>55.47</v>
      </c>
      <c r="M127" s="1116">
        <f t="shared" si="5"/>
        <v>55.47</v>
      </c>
      <c r="N127" s="1116">
        <v>1434.7</v>
      </c>
      <c r="O127" s="314">
        <f t="shared" si="6"/>
        <v>17.999683243585682</v>
      </c>
      <c r="P127" s="322"/>
      <c r="Q127" s="314"/>
      <c r="R127" s="314"/>
      <c r="S127" s="274"/>
      <c r="T127" s="274"/>
      <c r="U127" s="274"/>
    </row>
    <row r="128" spans="1:21" s="287" customFormat="1" ht="15.75" customHeight="1">
      <c r="A128" s="318"/>
      <c r="B128" s="594" t="s">
        <v>295</v>
      </c>
      <c r="C128" s="1176">
        <v>807603.29</v>
      </c>
      <c r="D128" s="1176">
        <v>807603.29</v>
      </c>
      <c r="E128" s="572">
        <v>22063.9</v>
      </c>
      <c r="F128" s="1093"/>
      <c r="G128" s="1093"/>
      <c r="H128" s="953"/>
      <c r="I128" s="176"/>
      <c r="J128" s="765" t="s">
        <v>320</v>
      </c>
      <c r="K128" s="1104">
        <v>1750</v>
      </c>
      <c r="L128" s="1116">
        <v>1.8</v>
      </c>
      <c r="M128" s="1116">
        <f t="shared" si="5"/>
        <v>1.8</v>
      </c>
      <c r="N128" s="1116">
        <v>311.39999999999998</v>
      </c>
      <c r="O128" s="314">
        <f t="shared" si="6"/>
        <v>18</v>
      </c>
      <c r="P128" s="322"/>
      <c r="Q128" s="314"/>
      <c r="R128" s="314"/>
      <c r="S128" s="274"/>
      <c r="T128" s="274"/>
      <c r="U128" s="274"/>
    </row>
    <row r="129" spans="1:22" s="287" customFormat="1" ht="15.75" customHeight="1">
      <c r="A129" s="734"/>
      <c r="B129" s="594" t="s">
        <v>298</v>
      </c>
      <c r="C129" s="572">
        <v>12781.02</v>
      </c>
      <c r="D129" s="572">
        <v>12781.02</v>
      </c>
      <c r="E129" s="572">
        <v>2942.13</v>
      </c>
      <c r="F129" s="1093"/>
      <c r="G129" s="1093"/>
      <c r="H129" s="953"/>
      <c r="I129" s="176"/>
      <c r="J129" s="765" t="s">
        <v>321</v>
      </c>
      <c r="K129" s="1104">
        <v>21048.75</v>
      </c>
      <c r="L129" s="1104">
        <v>3</v>
      </c>
      <c r="M129" s="1116">
        <f>+L129</f>
        <v>3</v>
      </c>
      <c r="N129" s="1116">
        <v>3783.18</v>
      </c>
      <c r="O129" s="314">
        <f t="shared" si="6"/>
        <v>18.001924104756814</v>
      </c>
      <c r="P129" s="322"/>
      <c r="Q129" s="314"/>
      <c r="R129" s="314"/>
      <c r="S129" s="274"/>
      <c r="T129" s="274"/>
      <c r="U129" s="274"/>
    </row>
    <row r="130" spans="1:22" s="287" customFormat="1" ht="15.75" customHeight="1">
      <c r="A130" s="283"/>
      <c r="B130" s="594" t="s">
        <v>296</v>
      </c>
      <c r="C130" s="572">
        <f>+C128+C129</f>
        <v>820384.31</v>
      </c>
      <c r="D130" s="572">
        <f>SUM(D128:D129)</f>
        <v>820384.31</v>
      </c>
      <c r="E130" s="572">
        <f>SUM(E128:E129)</f>
        <v>25006.030000000002</v>
      </c>
      <c r="F130" s="1093"/>
      <c r="G130" s="1093"/>
      <c r="H130" s="953"/>
      <c r="I130" s="176"/>
      <c r="J130" s="765" t="s">
        <v>581</v>
      </c>
      <c r="K130" s="1104"/>
      <c r="L130" s="1104"/>
      <c r="M130" s="1116">
        <f t="shared" si="5"/>
        <v>0</v>
      </c>
      <c r="N130" s="1116"/>
      <c r="O130" s="314" t="e">
        <f t="shared" si="6"/>
        <v>#DIV/0!</v>
      </c>
      <c r="P130" s="322"/>
      <c r="Q130" s="314"/>
      <c r="R130" s="314"/>
      <c r="S130" s="274"/>
      <c r="T130" s="274"/>
      <c r="U130" s="274"/>
    </row>
    <row r="131" spans="1:22" s="287" customFormat="1" ht="15.75" customHeight="1">
      <c r="A131" s="283"/>
      <c r="B131" s="594"/>
      <c r="C131" s="572"/>
      <c r="D131" s="572"/>
      <c r="E131" s="572"/>
      <c r="F131" s="1093"/>
      <c r="G131" s="1093"/>
      <c r="H131" s="953"/>
      <c r="I131" s="176"/>
      <c r="J131" s="765" t="s">
        <v>555</v>
      </c>
      <c r="K131" s="1104"/>
      <c r="L131" s="1104"/>
      <c r="M131" s="1116">
        <f t="shared" si="5"/>
        <v>0</v>
      </c>
      <c r="N131" s="1116"/>
      <c r="O131" s="314" t="e">
        <f t="shared" si="6"/>
        <v>#DIV/0!</v>
      </c>
      <c r="P131" s="322"/>
      <c r="Q131" s="314"/>
      <c r="R131" s="314"/>
      <c r="S131" s="274"/>
      <c r="T131" s="274"/>
      <c r="U131" s="274"/>
    </row>
    <row r="132" spans="1:22" s="287" customFormat="1" ht="33" customHeight="1" thickBot="1">
      <c r="A132" s="283"/>
      <c r="B132" s="594" t="s">
        <v>442</v>
      </c>
      <c r="C132" s="685">
        <f>+E31</f>
        <v>820384.30000000016</v>
      </c>
      <c r="D132" s="685">
        <f>+D31</f>
        <v>820384.30000000016</v>
      </c>
      <c r="E132" s="685">
        <f>+F31</f>
        <v>25006.030000000002</v>
      </c>
      <c r="F132" s="1093"/>
      <c r="G132" s="1093"/>
      <c r="H132" s="953"/>
      <c r="I132" s="176"/>
      <c r="J132" s="988" t="s">
        <v>598</v>
      </c>
      <c r="K132" s="1105">
        <f>+M151</f>
        <v>0</v>
      </c>
      <c r="L132" s="1104">
        <v>0</v>
      </c>
      <c r="M132" s="1116">
        <f t="shared" si="5"/>
        <v>0</v>
      </c>
      <c r="N132" s="1117">
        <f>+P151</f>
        <v>0</v>
      </c>
      <c r="O132" s="443">
        <v>0</v>
      </c>
      <c r="P132" s="322"/>
      <c r="Q132" s="314"/>
      <c r="R132" s="314"/>
      <c r="S132" s="680"/>
      <c r="T132" s="680"/>
      <c r="U132" s="680"/>
      <c r="V132" s="1413"/>
    </row>
    <row r="133" spans="1:22" s="287" customFormat="1" ht="16.5" customHeight="1" thickBot="1">
      <c r="A133" s="283"/>
      <c r="B133" s="594" t="s">
        <v>79</v>
      </c>
      <c r="C133" s="1038">
        <f>+C130-C132</f>
        <v>9.9999998928979039E-3</v>
      </c>
      <c r="D133" s="1038">
        <f>+D130-D132</f>
        <v>9.9999998928979039E-3</v>
      </c>
      <c r="E133" s="1038">
        <f>+E130-E132</f>
        <v>0</v>
      </c>
      <c r="F133" s="913"/>
      <c r="G133" s="913"/>
      <c r="H133" s="913"/>
      <c r="I133" s="176"/>
      <c r="J133" s="765" t="s">
        <v>324</v>
      </c>
      <c r="K133" s="1104">
        <v>103665.32</v>
      </c>
      <c r="L133" s="1104">
        <v>1087.79</v>
      </c>
      <c r="M133" s="1116">
        <f t="shared" si="5"/>
        <v>1087.79</v>
      </c>
      <c r="N133" s="1116">
        <v>16484.78</v>
      </c>
      <c r="O133" s="314">
        <f>+(L133+M133+N133)/K133*100</f>
        <v>18.000581100796293</v>
      </c>
      <c r="P133" s="322"/>
      <c r="Q133" s="314"/>
      <c r="R133" s="314"/>
      <c r="S133" s="680"/>
      <c r="T133" s="680"/>
      <c r="U133" s="680"/>
      <c r="V133" s="1413"/>
    </row>
    <row r="134" spans="1:22" s="287" customFormat="1" ht="16.5" customHeight="1">
      <c r="A134" s="283"/>
      <c r="B134" s="283"/>
      <c r="C134" s="999"/>
      <c r="D134" s="999"/>
      <c r="E134" s="999"/>
      <c r="F134" s="912"/>
      <c r="G134" s="912"/>
      <c r="H134" s="912"/>
      <c r="I134" s="176"/>
      <c r="J134" s="988" t="s">
        <v>597</v>
      </c>
      <c r="K134" s="989">
        <v>0</v>
      </c>
      <c r="L134" s="990">
        <f>-N144</f>
        <v>0</v>
      </c>
      <c r="M134" s="989">
        <f>+L134</f>
        <v>0</v>
      </c>
      <c r="N134" s="990"/>
      <c r="O134" s="753" t="e">
        <f>+(L134+M134+N134)/K134*100</f>
        <v>#DIV/0!</v>
      </c>
      <c r="P134" s="322"/>
      <c r="Q134" s="314"/>
      <c r="R134" s="314"/>
      <c r="S134" s="274"/>
      <c r="T134" s="274"/>
      <c r="U134" s="274"/>
    </row>
    <row r="135" spans="1:22" ht="19.5" customHeight="1" thickBot="1">
      <c r="A135" s="283"/>
      <c r="B135" s="283"/>
      <c r="C135" s="1000"/>
      <c r="D135" s="997"/>
      <c r="E135" s="998"/>
      <c r="F135" s="773"/>
      <c r="G135" s="773"/>
      <c r="H135" s="773"/>
      <c r="I135" s="317"/>
      <c r="J135" s="445" t="s">
        <v>454</v>
      </c>
      <c r="K135" s="444">
        <f>+SUM(K124:K134)</f>
        <v>2616039.8099999996</v>
      </c>
      <c r="L135" s="444">
        <f>+SUM(L124:L134)</f>
        <v>223009.6</v>
      </c>
      <c r="M135" s="444">
        <f>+SUM(M124:M134)</f>
        <v>223009.6</v>
      </c>
      <c r="N135" s="444">
        <f>+SUM(N124:N134)</f>
        <v>24872</v>
      </c>
      <c r="O135" s="314">
        <f>+(L135+M135+N135)/K135*100</f>
        <v>18.000154210191475</v>
      </c>
      <c r="P135" s="322"/>
      <c r="Q135" s="314"/>
      <c r="R135" s="314"/>
      <c r="S135" s="274"/>
      <c r="T135" s="274"/>
      <c r="U135" s="274"/>
    </row>
    <row r="136" spans="1:22" ht="16.5" customHeight="1" thickBot="1">
      <c r="A136" s="283"/>
      <c r="B136" s="283"/>
      <c r="C136" s="1433" t="s">
        <v>285</v>
      </c>
      <c r="D136" s="1434"/>
      <c r="E136" s="1435"/>
      <c r="F136" s="773"/>
      <c r="G136" s="773"/>
      <c r="H136" s="773"/>
      <c r="I136" s="404"/>
      <c r="J136" s="287"/>
      <c r="K136" s="1106"/>
      <c r="L136" s="573"/>
      <c r="M136" s="573"/>
      <c r="N136" s="573"/>
      <c r="O136" s="404"/>
      <c r="P136" s="404"/>
      <c r="Q136" s="287"/>
      <c r="R136" s="287"/>
      <c r="S136" s="670"/>
      <c r="T136" s="670"/>
      <c r="U136" s="670"/>
    </row>
    <row r="137" spans="1:22" ht="16.5" customHeight="1" thickBot="1">
      <c r="A137" s="283"/>
      <c r="B137" s="283"/>
      <c r="C137" s="684" t="s">
        <v>376</v>
      </c>
      <c r="D137" s="684" t="s">
        <v>377</v>
      </c>
      <c r="E137" s="684" t="s">
        <v>378</v>
      </c>
      <c r="F137" s="773"/>
      <c r="G137" s="773"/>
      <c r="H137" s="773"/>
      <c r="I137" s="404"/>
      <c r="J137" s="1450"/>
      <c r="K137" s="1451"/>
      <c r="L137" s="1451"/>
      <c r="M137" s="1451"/>
      <c r="N137" s="1452"/>
      <c r="O137" s="404"/>
      <c r="P137" s="404"/>
      <c r="Q137" s="287"/>
      <c r="R137" s="287"/>
      <c r="S137" s="670"/>
      <c r="T137" s="670"/>
      <c r="U137" s="670"/>
    </row>
    <row r="138" spans="1:22" ht="16.5" customHeight="1">
      <c r="A138" s="283"/>
      <c r="B138" s="283"/>
      <c r="C138" s="572">
        <v>179684.16</v>
      </c>
      <c r="D138" s="572">
        <v>179684.47</v>
      </c>
      <c r="E138" s="572">
        <v>654227.30000000005</v>
      </c>
      <c r="F138" s="773"/>
      <c r="G138" s="773"/>
      <c r="H138" s="773"/>
      <c r="I138" s="404"/>
      <c r="J138" s="287"/>
      <c r="K138" s="1106"/>
      <c r="L138" s="573"/>
      <c r="M138" s="573"/>
      <c r="N138" s="573"/>
      <c r="O138" s="404"/>
      <c r="P138" s="404"/>
      <c r="Q138" s="287"/>
      <c r="R138" s="287"/>
      <c r="S138" s="670"/>
      <c r="T138" s="670"/>
      <c r="U138" s="670"/>
    </row>
    <row r="139" spans="1:22" ht="16.5" customHeight="1">
      <c r="A139" s="283"/>
      <c r="B139" s="283"/>
      <c r="C139" s="572">
        <v>36.9</v>
      </c>
      <c r="D139" s="572">
        <v>36.9</v>
      </c>
      <c r="E139" s="572">
        <v>2179.85</v>
      </c>
      <c r="F139" s="773"/>
      <c r="G139" s="773"/>
      <c r="H139" s="773"/>
      <c r="I139" s="404"/>
      <c r="J139" s="1450"/>
      <c r="K139" s="1451"/>
      <c r="L139" s="1451"/>
      <c r="M139" s="1451"/>
      <c r="N139" s="1452"/>
      <c r="O139" s="404"/>
      <c r="P139" s="404"/>
      <c r="Q139" s="287"/>
      <c r="R139" s="287"/>
      <c r="S139" s="670"/>
      <c r="T139" s="670"/>
      <c r="U139" s="670"/>
    </row>
    <row r="140" spans="1:22" ht="15.75" customHeight="1">
      <c r="A140" s="283"/>
      <c r="C140" s="572">
        <f>SUM(C138:C139)</f>
        <v>179721.06</v>
      </c>
      <c r="D140" s="572">
        <f>SUM(D138:D139)</f>
        <v>179721.37</v>
      </c>
      <c r="E140" s="572">
        <f>SUM(E138:E139)</f>
        <v>656407.15</v>
      </c>
      <c r="F140" s="840"/>
      <c r="G140" s="773"/>
      <c r="H140" s="773"/>
      <c r="I140" s="404" t="s">
        <v>5</v>
      </c>
      <c r="J140" s="287" t="s">
        <v>5</v>
      </c>
      <c r="K140" s="606"/>
      <c r="L140" s="606"/>
      <c r="M140" s="606"/>
      <c r="N140" s="606"/>
      <c r="O140" s="404"/>
      <c r="P140" s="404"/>
      <c r="R140" s="287"/>
      <c r="S140" s="670"/>
      <c r="T140" s="670"/>
      <c r="U140" s="670"/>
    </row>
    <row r="141" spans="1:22" ht="15.75" customHeight="1" thickBot="1">
      <c r="A141" s="283"/>
      <c r="B141" s="594" t="s">
        <v>295</v>
      </c>
      <c r="C141" s="1036">
        <f>+E54</f>
        <v>305353.46000000002</v>
      </c>
      <c r="D141" s="1036">
        <f>+D54</f>
        <v>305353.46000000002</v>
      </c>
      <c r="E141" s="1036">
        <f>+F54</f>
        <v>656407.22</v>
      </c>
      <c r="F141" s="841"/>
      <c r="G141" s="841"/>
      <c r="H141" s="773"/>
      <c r="I141" s="404"/>
      <c r="J141" s="287"/>
      <c r="K141" s="606"/>
      <c r="L141" s="573"/>
      <c r="M141" s="573"/>
      <c r="N141" s="573"/>
      <c r="O141" s="404"/>
      <c r="P141" s="404"/>
    </row>
    <row r="142" spans="1:22" ht="18.75" customHeight="1" thickBot="1">
      <c r="A142" s="283"/>
      <c r="B142" s="594" t="s">
        <v>298</v>
      </c>
      <c r="C142" s="1036"/>
      <c r="D142" s="1036"/>
      <c r="E142" s="1036"/>
      <c r="F142" s="841"/>
      <c r="G142" s="841"/>
      <c r="H142" s="773"/>
      <c r="I142" s="1439" t="s">
        <v>596</v>
      </c>
      <c r="J142" s="1440"/>
      <c r="K142" s="1440"/>
      <c r="L142" s="1440"/>
      <c r="M142" s="1440"/>
      <c r="N142" s="1440"/>
      <c r="O142" s="1440"/>
      <c r="P142" s="1440"/>
      <c r="Q142" s="1441"/>
    </row>
    <row r="143" spans="1:22" ht="15.75" customHeight="1" thickBot="1">
      <c r="A143" s="283"/>
      <c r="B143" s="594" t="s">
        <v>296</v>
      </c>
      <c r="C143" s="1037">
        <f>+C140-C141</f>
        <v>-125632.40000000002</v>
      </c>
      <c r="D143" s="1037">
        <f>+D140-D141</f>
        <v>-125632.09000000003</v>
      </c>
      <c r="E143" s="1037">
        <f>+E140-E141</f>
        <v>-6.9999999948777258E-2</v>
      </c>
      <c r="F143" s="841"/>
      <c r="G143" s="841"/>
      <c r="H143" s="773"/>
      <c r="I143" s="855" t="s">
        <v>595</v>
      </c>
      <c r="J143" s="845" t="s">
        <v>767</v>
      </c>
      <c r="K143" s="846" t="s">
        <v>322</v>
      </c>
      <c r="L143" s="847" t="s">
        <v>593</v>
      </c>
      <c r="M143" s="848" t="s">
        <v>594</v>
      </c>
      <c r="N143" s="848" t="s">
        <v>67</v>
      </c>
      <c r="O143" s="849" t="s">
        <v>155</v>
      </c>
      <c r="P143" s="849" t="s">
        <v>68</v>
      </c>
      <c r="Q143" s="850" t="s">
        <v>135</v>
      </c>
    </row>
    <row r="144" spans="1:22" ht="16.5" customHeight="1">
      <c r="A144" s="283"/>
      <c r="B144" s="594" t="s">
        <v>297</v>
      </c>
      <c r="C144" s="1095"/>
      <c r="D144" s="1095"/>
      <c r="E144" s="1095"/>
      <c r="F144" s="841"/>
      <c r="G144" s="841"/>
      <c r="H144" s="798"/>
      <c r="I144" s="917"/>
      <c r="J144" s="765"/>
      <c r="K144" s="765"/>
      <c r="L144" s="765"/>
      <c r="M144" s="920"/>
      <c r="N144" s="765"/>
      <c r="O144" s="860"/>
      <c r="P144" s="918">
        <v>0</v>
      </c>
      <c r="Q144" s="919">
        <f>+M144+N144+O144+P144</f>
        <v>0</v>
      </c>
    </row>
    <row r="145" spans="1:17" ht="16.5" customHeight="1">
      <c r="A145" s="283"/>
      <c r="B145" s="594"/>
      <c r="C145" s="1013">
        <v>125632.42</v>
      </c>
      <c r="D145" s="1013">
        <v>125632.42</v>
      </c>
      <c r="E145" s="904"/>
      <c r="F145" s="841"/>
      <c r="G145" s="841"/>
      <c r="H145" s="798"/>
      <c r="I145" s="856"/>
      <c r="J145" s="602"/>
      <c r="K145" s="765"/>
      <c r="L145" s="842"/>
      <c r="M145" s="844"/>
      <c r="N145" s="765"/>
      <c r="O145" s="860"/>
      <c r="P145" s="445"/>
      <c r="Q145" s="797"/>
    </row>
    <row r="146" spans="1:17" ht="16.5" customHeight="1">
      <c r="A146" s="283"/>
      <c r="B146" s="594" t="s">
        <v>79</v>
      </c>
      <c r="C146" s="904"/>
      <c r="D146" s="904"/>
      <c r="E146" s="905"/>
      <c r="F146" s="1013"/>
      <c r="G146" s="692"/>
      <c r="H146" s="798"/>
      <c r="I146" s="856"/>
      <c r="J146" s="602"/>
      <c r="K146" s="843"/>
      <c r="L146" s="842"/>
      <c r="M146" s="765"/>
      <c r="N146" s="765"/>
      <c r="O146" s="860"/>
      <c r="P146" s="555"/>
      <c r="Q146" s="797"/>
    </row>
    <row r="147" spans="1:17" ht="16.5" customHeight="1">
      <c r="A147" s="283"/>
      <c r="B147" s="594"/>
      <c r="C147" s="905"/>
      <c r="D147" s="905"/>
      <c r="E147" s="905"/>
      <c r="F147" s="1013"/>
      <c r="G147" s="692"/>
      <c r="H147" s="798"/>
      <c r="I147" s="1096"/>
      <c r="J147" s="1097"/>
      <c r="K147" s="1098"/>
      <c r="L147" s="1099"/>
      <c r="M147" s="1100"/>
      <c r="N147" s="1100"/>
      <c r="O147" s="1101"/>
      <c r="P147" s="1102"/>
      <c r="Q147" s="1103"/>
    </row>
    <row r="148" spans="1:17" ht="15.75" customHeight="1" thickBot="1">
      <c r="A148" s="324"/>
      <c r="B148" s="1053" t="s">
        <v>923</v>
      </c>
      <c r="E148" s="772"/>
      <c r="F148" s="1013"/>
      <c r="I148" s="857"/>
      <c r="J148" s="851"/>
      <c r="K148" s="852"/>
      <c r="L148" s="853"/>
      <c r="M148" s="854"/>
      <c r="N148" s="854"/>
      <c r="O148" s="854"/>
      <c r="P148" s="854"/>
      <c r="Q148" s="858">
        <f>+M148+N148+O148+P148</f>
        <v>0</v>
      </c>
    </row>
    <row r="149" spans="1:17" ht="16.5" customHeight="1">
      <c r="A149" s="325"/>
      <c r="B149" s="1054"/>
      <c r="E149" s="772"/>
      <c r="I149" s="581"/>
      <c r="J149" s="1436" t="s">
        <v>598</v>
      </c>
      <c r="K149" s="1437"/>
      <c r="L149" s="1437"/>
      <c r="M149" s="1437"/>
      <c r="N149" s="1437"/>
      <c r="O149" s="1437"/>
      <c r="P149" s="1437"/>
      <c r="Q149" s="1438"/>
    </row>
    <row r="150" spans="1:17" ht="15.75" customHeight="1">
      <c r="A150" s="325"/>
      <c r="B150" s="1210"/>
      <c r="C150" s="1210"/>
      <c r="D150" s="1210"/>
      <c r="E150" s="1210"/>
      <c r="F150" s="1210"/>
      <c r="G150" s="1210"/>
      <c r="H150" s="772"/>
      <c r="I150"/>
      <c r="J150" s="724" t="s">
        <v>595</v>
      </c>
      <c r="K150" s="598" t="s">
        <v>322</v>
      </c>
      <c r="L150" s="574" t="s">
        <v>593</v>
      </c>
      <c r="M150" s="445" t="s">
        <v>594</v>
      </c>
      <c r="N150" s="445" t="s">
        <v>67</v>
      </c>
      <c r="O150" s="555" t="s">
        <v>155</v>
      </c>
      <c r="P150" s="555" t="s">
        <v>68</v>
      </c>
      <c r="Q150" s="725" t="s">
        <v>135</v>
      </c>
    </row>
    <row r="151" spans="1:17" ht="15.75" customHeight="1">
      <c r="A151" s="325"/>
      <c r="B151" s="1208"/>
      <c r="C151" s="1208"/>
      <c r="D151" s="1208"/>
      <c r="E151" s="1208"/>
      <c r="F151" s="1208"/>
      <c r="G151" s="1208"/>
      <c r="H151" s="772"/>
      <c r="I151"/>
      <c r="J151" s="859"/>
      <c r="K151"/>
      <c r="L151"/>
      <c r="M151"/>
      <c r="N151" s="555"/>
      <c r="O151" s="596"/>
      <c r="P151" s="602"/>
      <c r="Q151" s="727">
        <f>+M151+N151+O151+P151</f>
        <v>0</v>
      </c>
    </row>
    <row r="152" spans="1:17">
      <c r="B152" s="323"/>
      <c r="C152" s="461"/>
      <c r="D152" s="461"/>
      <c r="E152" s="461"/>
      <c r="F152" s="323"/>
      <c r="G152" s="323"/>
      <c r="H152" s="284"/>
      <c r="I152" s="582"/>
      <c r="J152" s="726"/>
      <c r="K152" s="599"/>
      <c r="L152" s="597"/>
      <c r="M152" s="596"/>
      <c r="N152" s="596"/>
      <c r="O152" s="596"/>
      <c r="P152" s="596"/>
      <c r="Q152" s="727">
        <f>+M152+P152</f>
        <v>0</v>
      </c>
    </row>
    <row r="153" spans="1:17">
      <c r="B153" s="323"/>
      <c r="C153" s="461"/>
      <c r="D153" s="461"/>
      <c r="E153" s="461"/>
      <c r="F153" s="323"/>
      <c r="G153" s="323"/>
      <c r="H153" s="284"/>
      <c r="I153" s="515"/>
      <c r="J153" s="728"/>
      <c r="K153" s="600"/>
      <c r="L153" s="601"/>
      <c r="M153" s="556"/>
      <c r="N153" s="556"/>
      <c r="O153" s="556"/>
      <c r="P153" s="556"/>
      <c r="Q153" s="729" t="s">
        <v>5</v>
      </c>
    </row>
    <row r="154" spans="1:17">
      <c r="B154" s="323"/>
      <c r="C154" s="461"/>
      <c r="D154" s="461"/>
      <c r="E154" s="461"/>
      <c r="F154" s="323"/>
      <c r="G154" s="323"/>
      <c r="H154" s="284"/>
      <c r="I154" s="515"/>
      <c r="J154" s="730"/>
      <c r="K154" s="603"/>
      <c r="L154" s="602"/>
      <c r="M154" s="595"/>
      <c r="N154" s="595"/>
      <c r="O154" s="595"/>
      <c r="P154" s="595"/>
      <c r="Q154" s="731"/>
    </row>
    <row r="155" spans="1:17" ht="16.5" thickBot="1">
      <c r="B155" s="323"/>
      <c r="C155" s="461"/>
      <c r="D155" s="461"/>
      <c r="E155" s="461"/>
      <c r="F155" s="323"/>
      <c r="G155" s="323"/>
      <c r="H155" s="284"/>
      <c r="I155" s="515"/>
      <c r="J155" s="1424" t="s">
        <v>135</v>
      </c>
      <c r="K155" s="1425"/>
      <c r="L155" s="1426"/>
      <c r="M155" s="732">
        <f>SUM(M151:M154)</f>
        <v>0</v>
      </c>
      <c r="N155" s="732">
        <f>SUM(N151:N154)</f>
        <v>0</v>
      </c>
      <c r="O155" s="732">
        <f>SUM(O151:O154)</f>
        <v>0</v>
      </c>
      <c r="P155" s="732">
        <f>SUM(P151:P154)</f>
        <v>0</v>
      </c>
      <c r="Q155" s="733">
        <f>SUM(Q151:Q154)</f>
        <v>0</v>
      </c>
    </row>
    <row r="156" spans="1:17" ht="16.5" thickBot="1">
      <c r="B156" s="992"/>
      <c r="C156" s="461"/>
      <c r="D156" s="461"/>
      <c r="E156" s="461"/>
      <c r="F156" s="323"/>
      <c r="G156" s="323"/>
      <c r="H156" s="284"/>
      <c r="I156" s="317"/>
      <c r="J156">
        <v>2</v>
      </c>
      <c r="K156" s="708"/>
      <c r="L156" s="583"/>
      <c r="M156" s="723"/>
      <c r="N156" s="723"/>
      <c r="O156" s="723"/>
      <c r="P156" s="723"/>
      <c r="Q156" s="723"/>
    </row>
    <row r="157" spans="1:17" ht="21">
      <c r="B157" s="1203" t="s">
        <v>975</v>
      </c>
      <c r="C157" s="1204"/>
      <c r="D157" s="1204"/>
      <c r="E157" s="1204"/>
      <c r="F157" s="1204"/>
      <c r="G157" s="1204"/>
      <c r="H157" s="1204"/>
      <c r="I157" s="1204"/>
      <c r="J157" s="1204"/>
      <c r="K157" s="1204"/>
      <c r="L157" s="1204"/>
      <c r="M157" s="1205"/>
      <c r="N157" s="723"/>
      <c r="O157" s="723"/>
      <c r="P157" s="723"/>
      <c r="Q157" s="723"/>
    </row>
    <row r="158" spans="1:17">
      <c r="B158" s="889" t="s">
        <v>474</v>
      </c>
      <c r="C158" s="575" t="s">
        <v>475</v>
      </c>
      <c r="D158" s="575" t="s">
        <v>476</v>
      </c>
      <c r="E158" s="575" t="s">
        <v>477</v>
      </c>
      <c r="F158" s="575" t="s">
        <v>478</v>
      </c>
      <c r="G158" s="575" t="s">
        <v>479</v>
      </c>
      <c r="H158" s="576" t="s">
        <v>480</v>
      </c>
      <c r="I158" s="576" t="s">
        <v>481</v>
      </c>
      <c r="J158" s="576" t="s">
        <v>482</v>
      </c>
      <c r="K158" s="576" t="s">
        <v>483</v>
      </c>
      <c r="L158" s="576" t="s">
        <v>484</v>
      </c>
      <c r="M158" s="890" t="s">
        <v>485</v>
      </c>
      <c r="N158" s="723"/>
      <c r="O158" s="723"/>
      <c r="P158" s="723"/>
      <c r="Q158" s="723"/>
    </row>
    <row r="159" spans="1:17" ht="15" customHeight="1">
      <c r="B159" s="994">
        <v>1</v>
      </c>
      <c r="C159" s="1002" t="s">
        <v>954</v>
      </c>
      <c r="D159" s="1002" t="s">
        <v>960</v>
      </c>
      <c r="E159" s="1002" t="s">
        <v>961</v>
      </c>
      <c r="F159" s="1002" t="s">
        <v>968</v>
      </c>
      <c r="G159" s="1002" t="s">
        <v>970</v>
      </c>
      <c r="H159" s="1001">
        <v>42223</v>
      </c>
      <c r="I159" s="1001">
        <v>3800.07</v>
      </c>
      <c r="J159" s="1001">
        <v>3800.07</v>
      </c>
      <c r="K159" s="1001">
        <v>0</v>
      </c>
      <c r="L159" s="1001"/>
      <c r="M159" s="891">
        <f>+H159+I159+J159+K159</f>
        <v>49823.14</v>
      </c>
      <c r="N159" s="723"/>
      <c r="O159" s="723"/>
      <c r="P159" s="723"/>
      <c r="Q159" s="723"/>
    </row>
    <row r="160" spans="1:17" ht="15" customHeight="1">
      <c r="B160" s="994">
        <v>2</v>
      </c>
      <c r="C160" s="1002" t="s">
        <v>955</v>
      </c>
      <c r="D160" s="1002" t="s">
        <v>962</v>
      </c>
      <c r="E160" s="1002" t="s">
        <v>961</v>
      </c>
      <c r="F160" s="1002" t="s">
        <v>969</v>
      </c>
      <c r="G160" s="1002" t="s">
        <v>971</v>
      </c>
      <c r="H160" s="1001">
        <v>734299.14</v>
      </c>
      <c r="I160" s="1001">
        <v>0</v>
      </c>
      <c r="J160" s="1001">
        <v>0</v>
      </c>
      <c r="K160" s="1001">
        <v>293719.65999999997</v>
      </c>
      <c r="L160" s="1001"/>
      <c r="M160" s="891">
        <f t="shared" ref="M160:M168" si="7">+H160+I160+J160+K160</f>
        <v>1028018.8</v>
      </c>
      <c r="N160" s="723"/>
      <c r="O160" s="723"/>
      <c r="P160" s="723"/>
      <c r="Q160" s="723"/>
    </row>
    <row r="161" spans="1:17" ht="15" customHeight="1">
      <c r="B161" s="994">
        <v>3</v>
      </c>
      <c r="C161" s="1002" t="s">
        <v>956</v>
      </c>
      <c r="D161" s="1002" t="s">
        <v>963</v>
      </c>
      <c r="E161" s="1002" t="s">
        <v>964</v>
      </c>
      <c r="F161" s="1002" t="s">
        <v>953</v>
      </c>
      <c r="G161" s="1002" t="s">
        <v>972</v>
      </c>
      <c r="H161" s="1001">
        <v>49400</v>
      </c>
      <c r="I161" s="1001">
        <v>741</v>
      </c>
      <c r="J161" s="1001">
        <v>741</v>
      </c>
      <c r="K161" s="1001">
        <v>0</v>
      </c>
      <c r="L161" s="1001"/>
      <c r="M161" s="891">
        <f t="shared" si="7"/>
        <v>50882</v>
      </c>
      <c r="N161" s="723"/>
      <c r="O161" s="723"/>
      <c r="P161" s="723"/>
      <c r="Q161" s="723"/>
    </row>
    <row r="162" spans="1:17" s="514" customFormat="1" ht="15" customHeight="1">
      <c r="A162" s="514" t="s">
        <v>112</v>
      </c>
      <c r="B162" s="994">
        <v>4</v>
      </c>
      <c r="C162" s="1002" t="s">
        <v>957</v>
      </c>
      <c r="D162" s="1002" t="s">
        <v>965</v>
      </c>
      <c r="E162" s="1002" t="s">
        <v>960</v>
      </c>
      <c r="F162" s="1002" t="s">
        <v>516</v>
      </c>
      <c r="G162" s="1002" t="s">
        <v>973</v>
      </c>
      <c r="H162" s="1001">
        <v>7500</v>
      </c>
      <c r="I162" s="1001">
        <v>675</v>
      </c>
      <c r="J162" s="1001">
        <v>675</v>
      </c>
      <c r="K162" s="1001">
        <v>0</v>
      </c>
      <c r="L162" s="1001"/>
      <c r="M162" s="891">
        <f t="shared" si="7"/>
        <v>8850</v>
      </c>
      <c r="N162" s="723"/>
      <c r="O162" s="723"/>
      <c r="P162" s="723"/>
      <c r="Q162" s="723"/>
    </row>
    <row r="163" spans="1:17" s="514" customFormat="1" ht="15" customHeight="1">
      <c r="B163" s="994">
        <v>5</v>
      </c>
      <c r="C163" s="870" t="s">
        <v>958</v>
      </c>
      <c r="D163" s="870" t="s">
        <v>966</v>
      </c>
      <c r="E163" s="867" t="s">
        <v>963</v>
      </c>
      <c r="F163" s="867" t="s">
        <v>515</v>
      </c>
      <c r="G163" s="867" t="s">
        <v>974</v>
      </c>
      <c r="H163" s="867">
        <v>1520</v>
      </c>
      <c r="I163" s="867">
        <v>38</v>
      </c>
      <c r="J163" s="869">
        <v>38</v>
      </c>
      <c r="K163" s="869">
        <v>0</v>
      </c>
      <c r="L163" s="869"/>
      <c r="M163" s="891">
        <f t="shared" si="7"/>
        <v>1596</v>
      </c>
      <c r="N163" s="263"/>
      <c r="O163" s="723"/>
      <c r="P163" s="723"/>
      <c r="Q163" s="723"/>
    </row>
    <row r="164" spans="1:17" s="514" customFormat="1" ht="19.5">
      <c r="B164" s="994">
        <v>6</v>
      </c>
      <c r="C164" s="870" t="s">
        <v>959</v>
      </c>
      <c r="D164" s="870" t="s">
        <v>963</v>
      </c>
      <c r="E164" s="867" t="s">
        <v>967</v>
      </c>
      <c r="F164" s="867" t="s">
        <v>516</v>
      </c>
      <c r="G164" s="867" t="s">
        <v>973</v>
      </c>
      <c r="H164" s="867">
        <v>800</v>
      </c>
      <c r="I164" s="867">
        <v>72</v>
      </c>
      <c r="J164" s="869">
        <v>72</v>
      </c>
      <c r="K164" s="869">
        <v>0</v>
      </c>
      <c r="L164" s="869"/>
      <c r="M164" s="891">
        <f t="shared" si="7"/>
        <v>944</v>
      </c>
      <c r="N164" s="263"/>
      <c r="O164" s="263"/>
      <c r="P164" s="263"/>
      <c r="Q164" s="263"/>
    </row>
    <row r="165" spans="1:17" s="514" customFormat="1" ht="19.5">
      <c r="B165" s="994">
        <v>7</v>
      </c>
      <c r="C165" s="870"/>
      <c r="D165" s="871"/>
      <c r="E165" s="868"/>
      <c r="F165" s="867"/>
      <c r="G165" s="867"/>
      <c r="H165" s="867"/>
      <c r="I165" s="867"/>
      <c r="J165" s="869"/>
      <c r="K165" s="869"/>
      <c r="L165" s="869"/>
      <c r="M165" s="891">
        <f t="shared" si="7"/>
        <v>0</v>
      </c>
      <c r="N165" s="263"/>
      <c r="O165" s="263"/>
      <c r="P165" s="263"/>
      <c r="Q165" s="263"/>
    </row>
    <row r="166" spans="1:17" s="514" customFormat="1" ht="19.5">
      <c r="B166" s="994">
        <v>8</v>
      </c>
      <c r="C166" s="870"/>
      <c r="D166" s="871"/>
      <c r="E166" s="868"/>
      <c r="F166" s="867"/>
      <c r="G166" s="867"/>
      <c r="H166" s="867"/>
      <c r="I166" s="867"/>
      <c r="J166" s="869"/>
      <c r="K166" s="869"/>
      <c r="L166" s="869"/>
      <c r="M166" s="891">
        <f t="shared" si="7"/>
        <v>0</v>
      </c>
      <c r="N166" s="263"/>
      <c r="O166" s="263"/>
      <c r="P166" s="263"/>
      <c r="Q166" s="263"/>
    </row>
    <row r="167" spans="1:17" s="514" customFormat="1" ht="19.5">
      <c r="B167" s="995">
        <v>9</v>
      </c>
      <c r="C167" s="870"/>
      <c r="D167" s="871"/>
      <c r="E167" s="868"/>
      <c r="F167" s="867"/>
      <c r="G167" s="867"/>
      <c r="H167" s="867"/>
      <c r="I167" s="867"/>
      <c r="J167" s="869"/>
      <c r="K167" s="869"/>
      <c r="L167" s="869"/>
      <c r="M167" s="891">
        <f t="shared" si="7"/>
        <v>0</v>
      </c>
      <c r="N167" s="263"/>
      <c r="O167" s="263"/>
      <c r="P167" s="263"/>
      <c r="Q167" s="263"/>
    </row>
    <row r="168" spans="1:17" s="514" customFormat="1" ht="20.25" thickBot="1">
      <c r="B168" s="995">
        <v>10</v>
      </c>
      <c r="C168" s="870"/>
      <c r="D168" s="871"/>
      <c r="E168" s="868"/>
      <c r="F168" s="867"/>
      <c r="G168" s="867"/>
      <c r="H168" s="867"/>
      <c r="I168" s="867"/>
      <c r="J168" s="869"/>
      <c r="K168" s="869"/>
      <c r="L168" s="869"/>
      <c r="M168" s="891">
        <f t="shared" si="7"/>
        <v>0</v>
      </c>
    </row>
    <row r="169" spans="1:17" s="514" customFormat="1" ht="20.25" thickBot="1">
      <c r="B169" s="996" t="s">
        <v>469</v>
      </c>
      <c r="C169" s="584"/>
      <c r="D169" s="584"/>
      <c r="E169" s="584"/>
      <c r="F169" s="584"/>
      <c r="G169" s="585"/>
      <c r="H169" s="492">
        <f>SUM(H159:H168)</f>
        <v>835742.14</v>
      </c>
      <c r="I169" s="492">
        <f t="shared" ref="I169:M169" si="8">SUM(I159:I168)</f>
        <v>5326.07</v>
      </c>
      <c r="J169" s="492">
        <f t="shared" si="8"/>
        <v>5326.07</v>
      </c>
      <c r="K169" s="492">
        <f t="shared" si="8"/>
        <v>293719.65999999997</v>
      </c>
      <c r="L169" s="492">
        <f t="shared" si="8"/>
        <v>0</v>
      </c>
      <c r="M169" s="492">
        <f t="shared" si="8"/>
        <v>1140113.94</v>
      </c>
    </row>
    <row r="170" spans="1:17" s="514" customFormat="1" ht="19.5">
      <c r="B170" s="263"/>
      <c r="C170" s="263"/>
      <c r="D170" s="263"/>
      <c r="E170" s="263"/>
      <c r="F170" s="263"/>
      <c r="G170" s="273"/>
      <c r="H170" s="273"/>
      <c r="I170" s="273"/>
      <c r="J170" s="263"/>
      <c r="K170" s="316"/>
      <c r="L170" s="263"/>
      <c r="M170" s="263"/>
    </row>
    <row r="171" spans="1:17" ht="19.5">
      <c r="N171" s="514"/>
      <c r="O171" s="514"/>
      <c r="P171" s="514"/>
      <c r="Q171" s="514"/>
    </row>
    <row r="172" spans="1:17" ht="19.5">
      <c r="N172" s="514"/>
      <c r="O172" s="514"/>
      <c r="P172" s="514"/>
      <c r="Q172" s="514"/>
    </row>
    <row r="173" spans="1:17" ht="19.5">
      <c r="N173" s="514"/>
      <c r="O173" s="514"/>
      <c r="P173" s="514"/>
      <c r="Q173" s="514"/>
    </row>
    <row r="174" spans="1:17" ht="19.5">
      <c r="N174" s="514"/>
      <c r="O174" s="514"/>
      <c r="P174" s="514"/>
      <c r="Q174" s="514"/>
    </row>
    <row r="175" spans="1:17" ht="19.5">
      <c r="N175" s="514"/>
      <c r="O175" s="514"/>
      <c r="P175" s="514"/>
      <c r="Q175" s="514"/>
    </row>
    <row r="176" spans="1:17" ht="19.5">
      <c r="N176" s="514"/>
      <c r="O176" s="514"/>
      <c r="P176" s="514"/>
      <c r="Q176" s="514"/>
    </row>
    <row r="177" spans="14:17" ht="19.5">
      <c r="N177" s="514"/>
      <c r="O177" s="514"/>
      <c r="P177" s="514"/>
      <c r="Q177" s="514"/>
    </row>
    <row r="178" spans="14:17" ht="19.5">
      <c r="N178" s="514"/>
      <c r="O178" s="514"/>
      <c r="P178" s="514"/>
      <c r="Q178" s="514"/>
    </row>
    <row r="590" spans="4:5">
      <c r="D590" s="326"/>
      <c r="E590" s="326"/>
    </row>
    <row r="591" spans="4:5">
      <c r="D591" s="326"/>
      <c r="E591" s="326"/>
    </row>
    <row r="592" spans="4:5">
      <c r="D592" s="326"/>
      <c r="E592" s="326"/>
    </row>
    <row r="593" spans="4:5">
      <c r="D593" s="326"/>
      <c r="E593" s="326"/>
    </row>
    <row r="594" spans="4:5">
      <c r="D594" s="326"/>
      <c r="E594" s="326"/>
    </row>
    <row r="595" spans="4:5">
      <c r="D595" s="326"/>
      <c r="E595" s="326"/>
    </row>
    <row r="596" spans="4:5">
      <c r="D596" s="326"/>
      <c r="E596" s="326"/>
    </row>
    <row r="597" spans="4:5">
      <c r="D597" s="326"/>
      <c r="E597" s="326"/>
    </row>
    <row r="598" spans="4:5">
      <c r="D598" s="326"/>
      <c r="E598" s="326"/>
    </row>
    <row r="599" spans="4:5">
      <c r="D599" s="326"/>
      <c r="E599" s="326"/>
    </row>
    <row r="600" spans="4:5">
      <c r="D600" s="326"/>
      <c r="E600" s="326"/>
    </row>
    <row r="601" spans="4:5">
      <c r="D601" s="326"/>
      <c r="E601" s="326"/>
    </row>
    <row r="602" spans="4:5">
      <c r="D602" s="326"/>
      <c r="E602" s="326"/>
    </row>
    <row r="603" spans="4:5">
      <c r="D603" s="326"/>
      <c r="E603" s="326"/>
    </row>
    <row r="604" spans="4:5">
      <c r="D604" s="326"/>
      <c r="E604" s="326"/>
    </row>
    <row r="605" spans="4:5">
      <c r="D605" s="326"/>
      <c r="E605" s="326"/>
    </row>
    <row r="606" spans="4:5">
      <c r="D606" s="326"/>
      <c r="E606" s="326"/>
    </row>
    <row r="607" spans="4:5">
      <c r="D607" s="326"/>
      <c r="E607" s="326"/>
    </row>
    <row r="608" spans="4:5">
      <c r="D608" s="326"/>
      <c r="E608" s="326"/>
    </row>
    <row r="609" spans="4:5">
      <c r="D609" s="326"/>
      <c r="E609" s="326"/>
    </row>
    <row r="610" spans="4:5">
      <c r="D610" s="326"/>
      <c r="E610" s="326"/>
    </row>
    <row r="611" spans="4:5">
      <c r="D611" s="326"/>
      <c r="E611" s="326"/>
    </row>
    <row r="612" spans="4:5">
      <c r="D612" s="326"/>
      <c r="E612" s="326"/>
    </row>
    <row r="613" spans="4:5">
      <c r="D613" s="326"/>
      <c r="E613" s="326"/>
    </row>
    <row r="614" spans="4:5">
      <c r="D614" s="326"/>
      <c r="E614" s="326"/>
    </row>
    <row r="615" spans="4:5">
      <c r="D615" s="326"/>
      <c r="E615" s="326"/>
    </row>
    <row r="616" spans="4:5">
      <c r="D616" s="326"/>
      <c r="E616" s="326"/>
    </row>
    <row r="617" spans="4:5">
      <c r="D617" s="326"/>
      <c r="E617" s="326"/>
    </row>
    <row r="618" spans="4:5">
      <c r="D618" s="326"/>
      <c r="E618" s="326"/>
    </row>
    <row r="619" spans="4:5">
      <c r="D619" s="326"/>
      <c r="E619" s="326"/>
    </row>
    <row r="620" spans="4:5">
      <c r="D620" s="326"/>
      <c r="E620" s="326"/>
    </row>
    <row r="621" spans="4:5">
      <c r="D621" s="326"/>
      <c r="E621" s="326"/>
    </row>
    <row r="622" spans="4:5">
      <c r="D622" s="326"/>
      <c r="E622" s="326"/>
    </row>
    <row r="623" spans="4:5">
      <c r="D623" s="326"/>
      <c r="E623" s="326"/>
    </row>
    <row r="624" spans="4:5">
      <c r="D624" s="326"/>
      <c r="E624" s="326"/>
    </row>
    <row r="625" spans="4:5">
      <c r="D625" s="326"/>
      <c r="E625" s="326"/>
    </row>
    <row r="626" spans="4:5">
      <c r="D626" s="326"/>
      <c r="E626" s="326"/>
    </row>
    <row r="627" spans="4:5">
      <c r="D627" s="326"/>
      <c r="E627" s="326"/>
    </row>
    <row r="628" spans="4:5">
      <c r="D628" s="326"/>
      <c r="E628" s="326"/>
    </row>
    <row r="629" spans="4:5">
      <c r="D629" s="326"/>
      <c r="E629" s="326"/>
    </row>
    <row r="630" spans="4:5">
      <c r="D630" s="326"/>
      <c r="E630" s="326"/>
    </row>
    <row r="631" spans="4:5">
      <c r="D631" s="326"/>
      <c r="E631" s="326"/>
    </row>
    <row r="632" spans="4:5">
      <c r="D632" s="326"/>
      <c r="E632" s="326"/>
    </row>
    <row r="633" spans="4:5">
      <c r="D633" s="326"/>
      <c r="E633" s="326"/>
    </row>
    <row r="634" spans="4:5">
      <c r="D634" s="326"/>
      <c r="E634" s="326"/>
    </row>
    <row r="635" spans="4:5">
      <c r="D635" s="326"/>
      <c r="E635" s="326"/>
    </row>
    <row r="636" spans="4:5">
      <c r="D636" s="326"/>
      <c r="E636" s="326"/>
    </row>
    <row r="637" spans="4:5">
      <c r="D637" s="326"/>
      <c r="E637" s="326"/>
    </row>
    <row r="638" spans="4:5">
      <c r="D638" s="326"/>
      <c r="E638" s="326"/>
    </row>
    <row r="639" spans="4:5">
      <c r="D639" s="326"/>
      <c r="E639" s="326"/>
    </row>
    <row r="640" spans="4:5">
      <c r="D640" s="326"/>
      <c r="E640" s="326"/>
    </row>
    <row r="641" spans="4:5">
      <c r="D641" s="326"/>
      <c r="E641" s="326"/>
    </row>
    <row r="642" spans="4:5">
      <c r="D642" s="326"/>
      <c r="E642" s="326"/>
    </row>
    <row r="643" spans="4:5">
      <c r="D643" s="326"/>
      <c r="E643" s="326"/>
    </row>
    <row r="644" spans="4:5">
      <c r="D644" s="326"/>
      <c r="E644" s="326"/>
    </row>
    <row r="645" spans="4:5">
      <c r="D645" s="326"/>
      <c r="E645" s="326"/>
    </row>
    <row r="646" spans="4:5">
      <c r="D646" s="326"/>
      <c r="E646" s="326"/>
    </row>
    <row r="647" spans="4:5">
      <c r="D647" s="326"/>
      <c r="E647" s="326"/>
    </row>
    <row r="648" spans="4:5">
      <c r="D648" s="326"/>
      <c r="E648" s="326"/>
    </row>
    <row r="649" spans="4:5">
      <c r="D649" s="326"/>
      <c r="E649" s="326"/>
    </row>
    <row r="650" spans="4:5">
      <c r="D650" s="326"/>
      <c r="E650" s="326"/>
    </row>
    <row r="651" spans="4:5">
      <c r="D651" s="326"/>
      <c r="E651" s="326"/>
    </row>
    <row r="652" spans="4:5">
      <c r="D652" s="326"/>
      <c r="E652" s="326"/>
    </row>
    <row r="653" spans="4:5">
      <c r="D653" s="326"/>
      <c r="E653" s="326"/>
    </row>
    <row r="654" spans="4:5">
      <c r="D654" s="326"/>
      <c r="E654" s="326"/>
    </row>
    <row r="655" spans="4:5">
      <c r="D655" s="326"/>
      <c r="E655" s="326"/>
    </row>
    <row r="656" spans="4:5">
      <c r="D656" s="326"/>
      <c r="E656" s="326"/>
    </row>
    <row r="657" spans="4:5">
      <c r="D657" s="326"/>
      <c r="E657" s="326"/>
    </row>
    <row r="658" spans="4:5">
      <c r="D658" s="326"/>
      <c r="E658" s="326"/>
    </row>
    <row r="659" spans="4:5">
      <c r="D659" s="326"/>
      <c r="E659" s="326"/>
    </row>
    <row r="660" spans="4:5">
      <c r="D660" s="326"/>
      <c r="E660" s="326"/>
    </row>
    <row r="661" spans="4:5">
      <c r="D661" s="326"/>
      <c r="E661" s="326"/>
    </row>
    <row r="662" spans="4:5">
      <c r="D662" s="326"/>
      <c r="E662" s="326"/>
    </row>
    <row r="663" spans="4:5">
      <c r="D663" s="326"/>
      <c r="E663" s="326"/>
    </row>
    <row r="664" spans="4:5">
      <c r="D664" s="326"/>
      <c r="E664" s="326"/>
    </row>
    <row r="665" spans="4:5">
      <c r="D665" s="326"/>
      <c r="E665" s="326"/>
    </row>
    <row r="666" spans="4:5">
      <c r="D666" s="326"/>
      <c r="E666" s="326"/>
    </row>
    <row r="667" spans="4:5">
      <c r="D667" s="326"/>
      <c r="E667" s="326"/>
    </row>
    <row r="668" spans="4:5">
      <c r="D668" s="326"/>
      <c r="E668" s="326"/>
    </row>
    <row r="669" spans="4:5">
      <c r="D669" s="326"/>
      <c r="E669" s="326"/>
    </row>
    <row r="670" spans="4:5">
      <c r="D670" s="326"/>
      <c r="E670" s="326"/>
    </row>
    <row r="671" spans="4:5">
      <c r="D671" s="326"/>
      <c r="E671" s="326"/>
    </row>
    <row r="672" spans="4:5">
      <c r="D672" s="326"/>
      <c r="E672" s="326"/>
    </row>
    <row r="673" spans="4:5">
      <c r="D673" s="326"/>
      <c r="E673" s="326"/>
    </row>
    <row r="674" spans="4:5">
      <c r="D674" s="326"/>
      <c r="E674" s="326"/>
    </row>
    <row r="675" spans="4:5">
      <c r="D675" s="326"/>
      <c r="E675" s="326"/>
    </row>
    <row r="676" spans="4:5">
      <c r="D676" s="326"/>
      <c r="E676" s="326"/>
    </row>
    <row r="677" spans="4:5">
      <c r="D677" s="326"/>
      <c r="E677" s="326"/>
    </row>
    <row r="678" spans="4:5">
      <c r="D678" s="326"/>
      <c r="E678" s="326"/>
    </row>
    <row r="679" spans="4:5">
      <c r="D679" s="326"/>
      <c r="E679" s="326"/>
    </row>
    <row r="680" spans="4:5">
      <c r="D680" s="326"/>
      <c r="E680" s="326"/>
    </row>
    <row r="681" spans="4:5">
      <c r="D681" s="326"/>
      <c r="E681" s="326"/>
    </row>
    <row r="682" spans="4:5">
      <c r="D682" s="326"/>
      <c r="E682" s="326"/>
    </row>
    <row r="683" spans="4:5">
      <c r="D683" s="326"/>
      <c r="E683" s="326"/>
    </row>
    <row r="684" spans="4:5">
      <c r="D684" s="326"/>
      <c r="E684" s="326"/>
    </row>
    <row r="685" spans="4:5">
      <c r="D685" s="326"/>
      <c r="E685" s="326"/>
    </row>
    <row r="686" spans="4:5">
      <c r="D686" s="326"/>
      <c r="E686" s="326"/>
    </row>
    <row r="687" spans="4:5">
      <c r="D687" s="326"/>
      <c r="E687" s="326"/>
    </row>
    <row r="688" spans="4:5">
      <c r="D688" s="326"/>
      <c r="E688" s="326"/>
    </row>
    <row r="689" spans="4:5">
      <c r="D689" s="326"/>
      <c r="E689" s="326"/>
    </row>
    <row r="690" spans="4:5">
      <c r="D690" s="326"/>
      <c r="E690" s="326"/>
    </row>
    <row r="691" spans="4:5">
      <c r="D691" s="326"/>
      <c r="E691" s="326"/>
    </row>
    <row r="692" spans="4:5">
      <c r="D692" s="326"/>
      <c r="E692" s="326"/>
    </row>
    <row r="693" spans="4:5">
      <c r="D693" s="326"/>
      <c r="E693" s="326"/>
    </row>
    <row r="694" spans="4:5">
      <c r="D694" s="326"/>
      <c r="E694" s="326"/>
    </row>
    <row r="695" spans="4:5">
      <c r="D695" s="326"/>
      <c r="E695" s="326"/>
    </row>
    <row r="696" spans="4:5">
      <c r="D696" s="326"/>
      <c r="E696" s="326"/>
    </row>
    <row r="697" spans="4:5">
      <c r="D697" s="326"/>
      <c r="E697" s="326"/>
    </row>
    <row r="698" spans="4:5">
      <c r="D698" s="326"/>
      <c r="E698" s="326"/>
    </row>
    <row r="699" spans="4:5">
      <c r="D699" s="326"/>
      <c r="E699" s="326"/>
    </row>
    <row r="700" spans="4:5">
      <c r="D700" s="326"/>
      <c r="E700" s="326"/>
    </row>
    <row r="701" spans="4:5">
      <c r="D701" s="326"/>
      <c r="E701" s="326"/>
    </row>
    <row r="702" spans="4:5">
      <c r="D702" s="326"/>
      <c r="E702" s="326"/>
    </row>
    <row r="703" spans="4:5">
      <c r="D703" s="326"/>
      <c r="E703" s="326"/>
    </row>
    <row r="704" spans="4:5">
      <c r="D704" s="326"/>
      <c r="E704" s="326"/>
    </row>
    <row r="705" spans="4:5">
      <c r="D705" s="326"/>
      <c r="E705" s="326"/>
    </row>
    <row r="706" spans="4:5">
      <c r="D706" s="326"/>
      <c r="E706" s="326"/>
    </row>
    <row r="707" spans="4:5">
      <c r="D707" s="326"/>
      <c r="E707" s="326"/>
    </row>
    <row r="708" spans="4:5">
      <c r="D708" s="326"/>
      <c r="E708" s="326"/>
    </row>
    <row r="709" spans="4:5">
      <c r="D709" s="326"/>
      <c r="E709" s="326"/>
    </row>
    <row r="710" spans="4:5">
      <c r="D710" s="326"/>
      <c r="E710" s="326"/>
    </row>
    <row r="711" spans="4:5">
      <c r="D711" s="326"/>
      <c r="E711" s="326"/>
    </row>
    <row r="712" spans="4:5">
      <c r="D712" s="326"/>
      <c r="E712" s="326"/>
    </row>
    <row r="713" spans="4:5">
      <c r="D713" s="326"/>
      <c r="E713" s="326"/>
    </row>
    <row r="714" spans="4:5">
      <c r="D714" s="326"/>
      <c r="E714" s="326"/>
    </row>
    <row r="715" spans="4:5">
      <c r="D715" s="326"/>
      <c r="E715" s="326"/>
    </row>
    <row r="716" spans="4:5">
      <c r="D716" s="326"/>
      <c r="E716" s="326"/>
    </row>
    <row r="717" spans="4:5">
      <c r="D717" s="326"/>
      <c r="E717" s="326"/>
    </row>
    <row r="718" spans="4:5">
      <c r="D718" s="326"/>
      <c r="E718" s="326"/>
    </row>
    <row r="719" spans="4:5">
      <c r="D719" s="326"/>
      <c r="E719" s="326"/>
    </row>
    <row r="720" spans="4:5">
      <c r="D720" s="326"/>
      <c r="E720" s="326"/>
    </row>
    <row r="721" spans="4:5">
      <c r="D721" s="326"/>
      <c r="E721" s="326"/>
    </row>
    <row r="722" spans="4:5">
      <c r="D722" s="326"/>
      <c r="E722" s="326"/>
    </row>
    <row r="723" spans="4:5">
      <c r="D723" s="326"/>
      <c r="E723" s="326"/>
    </row>
    <row r="724" spans="4:5">
      <c r="D724" s="326"/>
      <c r="E724" s="326"/>
    </row>
    <row r="725" spans="4:5">
      <c r="D725" s="326"/>
      <c r="E725" s="326"/>
    </row>
    <row r="726" spans="4:5">
      <c r="D726" s="326"/>
      <c r="E726" s="326"/>
    </row>
    <row r="727" spans="4:5">
      <c r="D727" s="326"/>
      <c r="E727" s="326"/>
    </row>
    <row r="728" spans="4:5">
      <c r="D728" s="326"/>
      <c r="E728" s="326"/>
    </row>
    <row r="729" spans="4:5">
      <c r="D729" s="326"/>
      <c r="E729" s="326"/>
    </row>
    <row r="730" spans="4:5">
      <c r="D730" s="326"/>
      <c r="E730" s="326"/>
    </row>
    <row r="731" spans="4:5">
      <c r="D731" s="326"/>
      <c r="E731" s="326"/>
    </row>
    <row r="732" spans="4:5">
      <c r="D732" s="326"/>
      <c r="E732" s="326"/>
    </row>
    <row r="733" spans="4:5">
      <c r="D733" s="326"/>
      <c r="E733" s="326"/>
    </row>
    <row r="734" spans="4:5">
      <c r="D734" s="326"/>
      <c r="E734" s="326"/>
    </row>
    <row r="735" spans="4:5">
      <c r="D735" s="326"/>
      <c r="E735" s="326"/>
    </row>
    <row r="736" spans="4:5">
      <c r="D736" s="326"/>
      <c r="E736" s="326"/>
    </row>
    <row r="737" spans="4:5">
      <c r="D737" s="326"/>
      <c r="E737" s="326"/>
    </row>
    <row r="738" spans="4:5">
      <c r="D738" s="326"/>
      <c r="E738" s="326"/>
    </row>
    <row r="739" spans="4:5">
      <c r="D739" s="326"/>
      <c r="E739" s="326"/>
    </row>
    <row r="740" spans="4:5">
      <c r="D740" s="326"/>
      <c r="E740" s="326"/>
    </row>
    <row r="741" spans="4:5">
      <c r="D741" s="326"/>
      <c r="E741" s="326"/>
    </row>
    <row r="742" spans="4:5">
      <c r="D742" s="326"/>
      <c r="E742" s="326"/>
    </row>
    <row r="743" spans="4:5">
      <c r="D743" s="326"/>
      <c r="E743" s="326"/>
    </row>
    <row r="744" spans="4:5">
      <c r="D744" s="326"/>
      <c r="E744" s="326"/>
    </row>
    <row r="745" spans="4:5">
      <c r="D745" s="326"/>
      <c r="E745" s="326"/>
    </row>
    <row r="746" spans="4:5">
      <c r="D746" s="326"/>
      <c r="E746" s="326"/>
    </row>
    <row r="747" spans="4:5">
      <c r="D747" s="326"/>
      <c r="E747" s="326"/>
    </row>
    <row r="748" spans="4:5">
      <c r="D748" s="326"/>
      <c r="E748" s="326"/>
    </row>
    <row r="749" spans="4:5">
      <c r="D749" s="326"/>
      <c r="E749" s="326"/>
    </row>
    <row r="750" spans="4:5">
      <c r="D750" s="326"/>
      <c r="E750" s="326"/>
    </row>
    <row r="751" spans="4:5">
      <c r="D751" s="326"/>
      <c r="E751" s="326"/>
    </row>
    <row r="752" spans="4:5">
      <c r="D752" s="326"/>
      <c r="E752" s="326"/>
    </row>
    <row r="753" spans="4:5">
      <c r="D753" s="326"/>
      <c r="E753" s="326"/>
    </row>
    <row r="754" spans="4:5">
      <c r="D754" s="326"/>
      <c r="E754" s="326"/>
    </row>
    <row r="755" spans="4:5">
      <c r="D755" s="326"/>
      <c r="E755" s="326"/>
    </row>
    <row r="756" spans="4:5">
      <c r="D756" s="326"/>
      <c r="E756" s="326"/>
    </row>
    <row r="757" spans="4:5">
      <c r="D757" s="326"/>
      <c r="E757" s="326"/>
    </row>
    <row r="758" spans="4:5">
      <c r="D758" s="326"/>
      <c r="E758" s="326"/>
    </row>
    <row r="759" spans="4:5">
      <c r="D759" s="326"/>
      <c r="E759" s="326"/>
    </row>
    <row r="760" spans="4:5">
      <c r="D760" s="326"/>
      <c r="E760" s="326"/>
    </row>
    <row r="761" spans="4:5">
      <c r="D761" s="326"/>
      <c r="E761" s="326"/>
    </row>
    <row r="762" spans="4:5">
      <c r="D762" s="326"/>
      <c r="E762" s="326"/>
    </row>
    <row r="763" spans="4:5">
      <c r="D763" s="326"/>
      <c r="E763" s="326"/>
    </row>
    <row r="764" spans="4:5">
      <c r="D764" s="326"/>
      <c r="E764" s="326"/>
    </row>
    <row r="765" spans="4:5">
      <c r="D765" s="326"/>
      <c r="E765" s="326"/>
    </row>
    <row r="766" spans="4:5">
      <c r="D766" s="326"/>
      <c r="E766" s="326"/>
    </row>
    <row r="767" spans="4:5">
      <c r="D767" s="326"/>
      <c r="E767" s="326"/>
    </row>
    <row r="768" spans="4:5">
      <c r="D768" s="326"/>
      <c r="E768" s="326"/>
    </row>
    <row r="769" spans="4:5">
      <c r="D769" s="326"/>
      <c r="E769" s="326"/>
    </row>
    <row r="770" spans="4:5">
      <c r="D770" s="326"/>
      <c r="E770" s="326"/>
    </row>
    <row r="771" spans="4:5">
      <c r="D771" s="326"/>
      <c r="E771" s="326"/>
    </row>
    <row r="772" spans="4:5">
      <c r="D772" s="326"/>
      <c r="E772" s="326"/>
    </row>
    <row r="773" spans="4:5">
      <c r="D773" s="326"/>
      <c r="E773" s="326"/>
    </row>
    <row r="774" spans="4:5">
      <c r="D774" s="326"/>
      <c r="E774" s="326"/>
    </row>
    <row r="775" spans="4:5">
      <c r="D775" s="326"/>
      <c r="E775" s="326"/>
    </row>
    <row r="776" spans="4:5">
      <c r="D776" s="326"/>
      <c r="E776" s="326"/>
    </row>
    <row r="777" spans="4:5">
      <c r="D777" s="326"/>
      <c r="E777" s="326"/>
    </row>
    <row r="778" spans="4:5">
      <c r="D778" s="326"/>
      <c r="E778" s="326"/>
    </row>
    <row r="779" spans="4:5">
      <c r="D779" s="326"/>
      <c r="E779" s="326"/>
    </row>
    <row r="780" spans="4:5">
      <c r="D780" s="326"/>
      <c r="E780" s="326"/>
    </row>
    <row r="781" spans="4:5">
      <c r="D781" s="326"/>
      <c r="E781" s="326"/>
    </row>
    <row r="782" spans="4:5">
      <c r="D782" s="326"/>
      <c r="E782" s="326"/>
    </row>
    <row r="783" spans="4:5">
      <c r="D783" s="326"/>
      <c r="E783" s="326"/>
    </row>
    <row r="784" spans="4:5">
      <c r="D784" s="326"/>
      <c r="E784" s="326"/>
    </row>
    <row r="785" spans="4:5">
      <c r="D785" s="326"/>
      <c r="E785" s="326"/>
    </row>
    <row r="786" spans="4:5">
      <c r="D786" s="326"/>
      <c r="E786" s="326"/>
    </row>
    <row r="787" spans="4:5">
      <c r="D787" s="326"/>
      <c r="E787" s="326"/>
    </row>
    <row r="788" spans="4:5">
      <c r="D788" s="326"/>
      <c r="E788" s="326"/>
    </row>
    <row r="789" spans="4:5">
      <c r="D789" s="326"/>
      <c r="E789" s="326"/>
    </row>
    <row r="790" spans="4:5">
      <c r="D790" s="326"/>
      <c r="E790" s="326"/>
    </row>
    <row r="791" spans="4:5">
      <c r="D791" s="326"/>
      <c r="E791" s="326"/>
    </row>
    <row r="792" spans="4:5">
      <c r="D792" s="326"/>
      <c r="E792" s="326"/>
    </row>
    <row r="793" spans="4:5">
      <c r="D793" s="326"/>
      <c r="E793" s="326"/>
    </row>
    <row r="794" spans="4:5">
      <c r="D794" s="326"/>
      <c r="E794" s="326"/>
    </row>
    <row r="795" spans="4:5">
      <c r="D795" s="326"/>
      <c r="E795" s="326"/>
    </row>
    <row r="796" spans="4:5">
      <c r="D796" s="326"/>
      <c r="E796" s="326"/>
    </row>
    <row r="797" spans="4:5">
      <c r="D797" s="326"/>
      <c r="E797" s="326"/>
    </row>
    <row r="798" spans="4:5">
      <c r="D798" s="326"/>
      <c r="E798" s="326"/>
    </row>
    <row r="799" spans="4:5">
      <c r="D799" s="326"/>
      <c r="E799" s="326"/>
    </row>
    <row r="800" spans="4:5">
      <c r="D800" s="326"/>
      <c r="E800" s="326"/>
    </row>
    <row r="801" spans="4:5">
      <c r="D801" s="326"/>
      <c r="E801" s="326"/>
    </row>
    <row r="802" spans="4:5">
      <c r="D802" s="326"/>
      <c r="E802" s="326"/>
    </row>
    <row r="803" spans="4:5">
      <c r="D803" s="326"/>
      <c r="E803" s="326"/>
    </row>
    <row r="804" spans="4:5">
      <c r="D804" s="326"/>
      <c r="E804" s="326"/>
    </row>
    <row r="805" spans="4:5">
      <c r="D805" s="326"/>
      <c r="E805" s="326"/>
    </row>
    <row r="806" spans="4:5">
      <c r="D806" s="326"/>
      <c r="E806" s="326"/>
    </row>
    <row r="807" spans="4:5">
      <c r="D807" s="326"/>
      <c r="E807" s="326"/>
    </row>
    <row r="808" spans="4:5">
      <c r="D808" s="326"/>
      <c r="E808" s="326"/>
    </row>
    <row r="809" spans="4:5">
      <c r="D809" s="326"/>
      <c r="E809" s="326"/>
    </row>
    <row r="810" spans="4:5">
      <c r="D810" s="326"/>
      <c r="E810" s="326"/>
    </row>
    <row r="811" spans="4:5">
      <c r="D811" s="326"/>
      <c r="E811" s="326"/>
    </row>
    <row r="812" spans="4:5">
      <c r="D812" s="326"/>
      <c r="E812" s="326"/>
    </row>
    <row r="813" spans="4:5">
      <c r="D813" s="326"/>
      <c r="E813" s="326"/>
    </row>
    <row r="814" spans="4:5">
      <c r="D814" s="326"/>
      <c r="E814" s="326"/>
    </row>
    <row r="815" spans="4:5">
      <c r="D815" s="326"/>
      <c r="E815" s="326"/>
    </row>
    <row r="816" spans="4:5">
      <c r="D816" s="326"/>
      <c r="E816" s="326"/>
    </row>
    <row r="817" spans="4:5">
      <c r="D817" s="326"/>
      <c r="E817" s="326"/>
    </row>
    <row r="818" spans="4:5">
      <c r="D818" s="326"/>
      <c r="E818" s="326"/>
    </row>
    <row r="819" spans="4:5">
      <c r="D819" s="326"/>
      <c r="E819" s="326"/>
    </row>
    <row r="820" spans="4:5">
      <c r="D820" s="326"/>
      <c r="E820" s="326"/>
    </row>
    <row r="821" spans="4:5">
      <c r="D821" s="326"/>
      <c r="E821" s="326"/>
    </row>
    <row r="822" spans="4:5">
      <c r="D822" s="326"/>
      <c r="E822" s="326"/>
    </row>
    <row r="823" spans="4:5">
      <c r="D823" s="326"/>
      <c r="E823" s="326"/>
    </row>
    <row r="824" spans="4:5">
      <c r="D824" s="326"/>
      <c r="E824" s="326"/>
    </row>
    <row r="825" spans="4:5">
      <c r="D825" s="326"/>
      <c r="E825" s="326"/>
    </row>
    <row r="826" spans="4:5">
      <c r="D826" s="326"/>
      <c r="E826" s="326"/>
    </row>
    <row r="827" spans="4:5">
      <c r="D827" s="326"/>
      <c r="E827" s="326"/>
    </row>
    <row r="828" spans="4:5">
      <c r="D828" s="326"/>
      <c r="E828" s="326"/>
    </row>
    <row r="829" spans="4:5">
      <c r="D829" s="326"/>
      <c r="E829" s="326"/>
    </row>
    <row r="830" spans="4:5">
      <c r="D830" s="326"/>
      <c r="E830" s="326"/>
    </row>
    <row r="831" spans="4:5">
      <c r="D831" s="326"/>
      <c r="E831" s="326"/>
    </row>
    <row r="832" spans="4:5">
      <c r="D832" s="326"/>
      <c r="E832" s="326"/>
    </row>
    <row r="833" spans="4:5">
      <c r="D833" s="326"/>
      <c r="E833" s="326"/>
    </row>
    <row r="834" spans="4:5">
      <c r="D834" s="326"/>
      <c r="E834" s="326"/>
    </row>
    <row r="835" spans="4:5">
      <c r="D835" s="326"/>
      <c r="E835" s="326"/>
    </row>
    <row r="836" spans="4:5">
      <c r="D836" s="326"/>
      <c r="E836" s="326"/>
    </row>
    <row r="837" spans="4:5">
      <c r="D837" s="326"/>
      <c r="E837" s="326"/>
    </row>
    <row r="838" spans="4:5">
      <c r="D838" s="326"/>
      <c r="E838" s="326"/>
    </row>
    <row r="839" spans="4:5">
      <c r="D839" s="326"/>
      <c r="E839" s="326"/>
    </row>
    <row r="840" spans="4:5">
      <c r="D840" s="326"/>
      <c r="E840" s="326"/>
    </row>
    <row r="841" spans="4:5">
      <c r="D841" s="326"/>
      <c r="E841" s="326"/>
    </row>
    <row r="842" spans="4:5">
      <c r="D842" s="326"/>
      <c r="E842" s="326"/>
    </row>
    <row r="843" spans="4:5">
      <c r="D843" s="326"/>
      <c r="E843" s="326"/>
    </row>
    <row r="844" spans="4:5">
      <c r="D844" s="326"/>
      <c r="E844" s="326"/>
    </row>
    <row r="845" spans="4:5">
      <c r="D845" s="326"/>
      <c r="E845" s="326"/>
    </row>
    <row r="846" spans="4:5">
      <c r="D846" s="326"/>
      <c r="E846" s="326"/>
    </row>
    <row r="847" spans="4:5">
      <c r="D847" s="326"/>
      <c r="E847" s="326"/>
    </row>
    <row r="848" spans="4:5">
      <c r="D848" s="326"/>
      <c r="E848" s="326"/>
    </row>
    <row r="849" spans="4:5">
      <c r="D849" s="326"/>
      <c r="E849" s="326"/>
    </row>
    <row r="850" spans="4:5">
      <c r="D850" s="326"/>
      <c r="E850" s="326"/>
    </row>
    <row r="851" spans="4:5">
      <c r="D851" s="326"/>
      <c r="E851" s="326"/>
    </row>
    <row r="852" spans="4:5">
      <c r="D852" s="326"/>
      <c r="E852" s="326"/>
    </row>
    <row r="853" spans="4:5">
      <c r="D853" s="326"/>
      <c r="E853" s="326"/>
    </row>
    <row r="854" spans="4:5">
      <c r="D854" s="326"/>
      <c r="E854" s="326"/>
    </row>
    <row r="855" spans="4:5">
      <c r="D855" s="326"/>
      <c r="E855" s="326"/>
    </row>
    <row r="856" spans="4:5">
      <c r="D856" s="326"/>
      <c r="E856" s="326"/>
    </row>
    <row r="857" spans="4:5">
      <c r="D857" s="326"/>
      <c r="E857" s="326"/>
    </row>
    <row r="858" spans="4:5">
      <c r="D858" s="326"/>
      <c r="E858" s="326"/>
    </row>
    <row r="859" spans="4:5">
      <c r="D859" s="326"/>
      <c r="E859" s="326"/>
    </row>
    <row r="860" spans="4:5">
      <c r="D860" s="326"/>
      <c r="E860" s="326"/>
    </row>
    <row r="861" spans="4:5">
      <c r="D861" s="326"/>
      <c r="E861" s="326"/>
    </row>
    <row r="862" spans="4:5">
      <c r="D862" s="326"/>
      <c r="E862" s="326"/>
    </row>
    <row r="863" spans="4:5">
      <c r="D863" s="326"/>
      <c r="E863" s="326"/>
    </row>
    <row r="864" spans="4:5">
      <c r="D864" s="326"/>
      <c r="E864" s="326"/>
    </row>
    <row r="865" spans="4:5">
      <c r="D865" s="326"/>
      <c r="E865" s="326"/>
    </row>
    <row r="866" spans="4:5">
      <c r="D866" s="326"/>
      <c r="E866" s="326"/>
    </row>
    <row r="867" spans="4:5">
      <c r="D867" s="326"/>
      <c r="E867" s="326"/>
    </row>
    <row r="868" spans="4:5">
      <c r="D868" s="326"/>
      <c r="E868" s="326"/>
    </row>
    <row r="869" spans="4:5">
      <c r="D869" s="326"/>
      <c r="E869" s="326"/>
    </row>
    <row r="870" spans="4:5">
      <c r="D870" s="326"/>
      <c r="E870" s="326"/>
    </row>
    <row r="871" spans="4:5">
      <c r="D871" s="326"/>
      <c r="E871" s="326"/>
    </row>
    <row r="872" spans="4:5">
      <c r="D872" s="326"/>
      <c r="E872" s="326"/>
    </row>
    <row r="873" spans="4:5">
      <c r="D873" s="326"/>
      <c r="E873" s="326"/>
    </row>
    <row r="874" spans="4:5">
      <c r="D874" s="326"/>
      <c r="E874" s="326"/>
    </row>
    <row r="875" spans="4:5">
      <c r="D875" s="326"/>
      <c r="E875" s="326"/>
    </row>
    <row r="876" spans="4:5">
      <c r="D876" s="326"/>
      <c r="E876" s="326"/>
    </row>
    <row r="877" spans="4:5">
      <c r="D877" s="326"/>
      <c r="E877" s="326"/>
    </row>
    <row r="878" spans="4:5">
      <c r="D878" s="326"/>
      <c r="E878" s="326"/>
    </row>
    <row r="879" spans="4:5">
      <c r="D879" s="326"/>
      <c r="E879" s="326"/>
    </row>
    <row r="880" spans="4:5">
      <c r="D880" s="326"/>
      <c r="E880" s="326"/>
    </row>
    <row r="881" spans="4:5">
      <c r="D881" s="326"/>
      <c r="E881" s="326"/>
    </row>
    <row r="882" spans="4:5">
      <c r="D882" s="326"/>
      <c r="E882" s="326"/>
    </row>
    <row r="883" spans="4:5">
      <c r="D883" s="326"/>
      <c r="E883" s="326"/>
    </row>
    <row r="884" spans="4:5">
      <c r="D884" s="326"/>
      <c r="E884" s="326"/>
    </row>
    <row r="885" spans="4:5">
      <c r="D885" s="326"/>
      <c r="E885" s="326"/>
    </row>
    <row r="886" spans="4:5">
      <c r="D886" s="326"/>
      <c r="E886" s="326"/>
    </row>
    <row r="887" spans="4:5">
      <c r="D887" s="326"/>
      <c r="E887" s="326"/>
    </row>
    <row r="888" spans="4:5">
      <c r="D888" s="326"/>
      <c r="E888" s="326"/>
    </row>
    <row r="889" spans="4:5">
      <c r="D889" s="326"/>
      <c r="E889" s="326"/>
    </row>
    <row r="890" spans="4:5">
      <c r="D890" s="326"/>
      <c r="E890" s="326"/>
    </row>
    <row r="891" spans="4:5">
      <c r="D891" s="326"/>
      <c r="E891" s="326"/>
    </row>
  </sheetData>
  <mergeCells count="60">
    <mergeCell ref="J137:N137"/>
    <mergeCell ref="J139:N139"/>
    <mergeCell ref="B55:C55"/>
    <mergeCell ref="B72:G72"/>
    <mergeCell ref="B66:C66"/>
    <mergeCell ref="B57:C57"/>
    <mergeCell ref="B96:I96"/>
    <mergeCell ref="B68:F68"/>
    <mergeCell ref="B63:C63"/>
    <mergeCell ref="H97:H98"/>
    <mergeCell ref="G97:G98"/>
    <mergeCell ref="A118:F118"/>
    <mergeCell ref="A116:F116"/>
    <mergeCell ref="J155:L155"/>
    <mergeCell ref="B73:F73"/>
    <mergeCell ref="B64:C64"/>
    <mergeCell ref="B70:F70"/>
    <mergeCell ref="B71:H71"/>
    <mergeCell ref="I97:I98"/>
    <mergeCell ref="C126:E126"/>
    <mergeCell ref="C136:E136"/>
    <mergeCell ref="J149:Q149"/>
    <mergeCell ref="I142:Q142"/>
    <mergeCell ref="O96:P96"/>
    <mergeCell ref="B97:B98"/>
    <mergeCell ref="D97:F97"/>
    <mergeCell ref="B69:F69"/>
    <mergeCell ref="C97:C98"/>
    <mergeCell ref="B81:F81"/>
    <mergeCell ref="V132:V133"/>
    <mergeCell ref="J122:N122"/>
    <mergeCell ref="J111:N111"/>
    <mergeCell ref="J97:N97"/>
    <mergeCell ref="R121:U122"/>
    <mergeCell ref="J52:L52"/>
    <mergeCell ref="B51:F51"/>
    <mergeCell ref="B10:C10"/>
    <mergeCell ref="B21:C21"/>
    <mergeCell ref="B14:C14"/>
    <mergeCell ref="B20:C20"/>
    <mergeCell ref="F52:F53"/>
    <mergeCell ref="D52:D53"/>
    <mergeCell ref="E52:E53"/>
    <mergeCell ref="B35:G35"/>
    <mergeCell ref="B8:C8"/>
    <mergeCell ref="B25:I25"/>
    <mergeCell ref="B58:C58"/>
    <mergeCell ref="B59:C59"/>
    <mergeCell ref="B1:H1"/>
    <mergeCell ref="B32:C32"/>
    <mergeCell ref="B52:C53"/>
    <mergeCell ref="B6:C6"/>
    <mergeCell ref="B7:C7"/>
    <mergeCell ref="B31:C31"/>
    <mergeCell ref="B3:H3"/>
    <mergeCell ref="B5:F5"/>
    <mergeCell ref="B15:C15"/>
    <mergeCell ref="B39:G39"/>
    <mergeCell ref="B54:C54"/>
    <mergeCell ref="B37:G37"/>
  </mergeCells>
  <conditionalFormatting sqref="B18:B21">
    <cfRule type="containsText" dxfId="13" priority="222" operator="containsText" text="LESS COLLECTED">
      <formula>NOT(ISERROR(SEARCH("LESS COLLECTED",B18)))</formula>
    </cfRule>
    <cfRule type="containsText" dxfId="12" priority="223" operator="containsText" text="LESS COLLECTED">
      <formula>NOT(ISERROR(SEARCH("LESS COLLECTED",B18)))</formula>
    </cfRule>
  </conditionalFormatting>
  <conditionalFormatting sqref="B24:B32 C26:C31 D26:F33 B30:C31 P41:R52 C103:E103 C113:E113 B1 B2:F2 B3 B4:F4 B5 B14:B15 B16:D17 C18:D19 C24:F24 B51 B58:B64 C64:F64 C74:F80 C90:E90 B90:B96 C92:F95 G94:I95 K100 G104:I106 B157:B167 D59:F64 B152:B155 B114:F115 A116">
    <cfRule type="containsText" dxfId="11" priority="550" operator="containsText" text="LESS COLLECTED">
      <formula>NOT(ISERROR(SEARCH("LESS COLLECTED",A1)))</formula>
    </cfRule>
  </conditionalFormatting>
  <conditionalFormatting sqref="B41:C43 E41:G43">
    <cfRule type="containsText" dxfId="10" priority="187" operator="containsText" text="LESS COLLECTED">
      <formula>NOT(ISERROR(SEARCH("LESS COLLECTED",B41)))</formula>
    </cfRule>
  </conditionalFormatting>
  <conditionalFormatting sqref="C41:C43 E41:E43 B152:B155">
    <cfRule type="containsText" dxfId="9" priority="186" operator="containsText" text="EXCESS COLLECTED">
      <formula>NOT(ISERROR(SEARCH("EXCESS COLLECTED",B41)))</formula>
    </cfRule>
  </conditionalFormatting>
  <conditionalFormatting sqref="D26:E26 B29:F30 B40:C40 B45:G47 D50:F50 P51:Q52 B52:F58 B102:C102 E102 C102:C103 B108:F108 C109:F112 C112:C113 B44:C44 E44:G44 E40:G40">
    <cfRule type="containsText" dxfId="8" priority="548" operator="containsText" text="LESS COLLECTED">
      <formula>NOT(ISERROR(SEARCH("LESS COLLECTED",B26)))</formula>
    </cfRule>
  </conditionalFormatting>
  <conditionalFormatting sqref="D26:E26 B29:F30 E40:G40 D45:G47 D50:F50 P51:Q52 B53:F53 B102:C102 E102 C102:C103 B108:F108 C109:E111 F109:F112 C112:C113 E44:G44">
    <cfRule type="containsText" dxfId="7" priority="547" operator="containsText" text="EXCESS COLLECTED">
      <formula>NOT(ISERROR(SEARCH("EXCESS COLLECTED",B26)))</formula>
    </cfRule>
  </conditionalFormatting>
  <conditionalFormatting sqref="D44">
    <cfRule type="containsText" dxfId="6" priority="19" operator="containsText" text="LESS COLLECTED">
      <formula>NOT(ISERROR(SEARCH("LESS COLLECTED",D44)))</formula>
    </cfRule>
  </conditionalFormatting>
  <conditionalFormatting sqref="B168">
    <cfRule type="containsText" dxfId="5" priority="10" operator="containsText" text="LESS COLLECTED">
      <formula>NOT(ISERROR(SEARCH("LESS COLLECTED",B168)))</formula>
    </cfRule>
  </conditionalFormatting>
  <conditionalFormatting sqref="E16:E19">
    <cfRule type="containsText" dxfId="4" priority="5" operator="containsText" text="LESS COLLECTED">
      <formula>NOT(ISERROR(SEARCH("LESS COLLECTED",E16)))</formula>
    </cfRule>
  </conditionalFormatting>
  <conditionalFormatting sqref="B150">
    <cfRule type="containsText" dxfId="3" priority="4" operator="containsText" text="LESS COLLECTED">
      <formula>NOT(ISERROR(SEARCH("LESS COLLECTED",B150)))</formula>
    </cfRule>
  </conditionalFormatting>
  <conditionalFormatting sqref="D41:D43">
    <cfRule type="containsText" dxfId="2" priority="2" operator="containsText" text="LESS COLLECTED">
      <formula>NOT(ISERROR(SEARCH("LESS COLLECTED",D41)))</formula>
    </cfRule>
  </conditionalFormatting>
  <conditionalFormatting sqref="D41:D43">
    <cfRule type="containsText" dxfId="1" priority="1" operator="containsText" text="EXCESS COLLECTED">
      <formula>NOT(ISERROR(SEARCH("EXCESS COLLECTED",D41)))</formula>
    </cfRule>
  </conditionalFormatting>
  <conditionalFormatting sqref="D40">
    <cfRule type="containsText" dxfId="0" priority="3" operator="containsText" text="LESS COLLECTED">
      <formula>NOT(ISERROR(SEARCH("LESS COLLECTED",D40)))</formula>
    </cfRule>
  </conditionalFormatting>
  <dataValidations disablePrompts="1" count="1">
    <dataValidation allowBlank="1" showInputMessage="1" showErrorMessage="1" prompt="DD/MM/YYYY" sqref="I144:I147"/>
  </dataValidations>
  <printOptions horizontalCentered="1"/>
  <pageMargins left="0.23622047244094499" right="0.23622047244094499" top="0.24803149599999999" bottom="0" header="0.511811023622047" footer="3.9370078740157501E-2"/>
  <pageSetup paperSize="9" scale="30" fitToWidth="0" orientation="landscape" r:id="rId1"/>
  <rowBreaks count="2" manualBreakCount="2">
    <brk id="72" max="16383" man="1"/>
    <brk id="156" max="16" man="1"/>
  </rowBreaks>
  <ignoredErrors>
    <ignoredError sqref="C93:E93 E60" formula="1"/>
  </ignoredErrors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workbookViewId="0">
      <selection activeCell="F89" sqref="F89"/>
    </sheetView>
  </sheetViews>
  <sheetFormatPr defaultRowHeight="15"/>
  <sheetData>
    <row r="1" spans="1:1">
      <c r="A1" t="s">
        <v>824</v>
      </c>
    </row>
    <row r="2" spans="1:1">
      <c r="A2" t="s">
        <v>843</v>
      </c>
    </row>
    <row r="27" spans="1:2">
      <c r="A27" t="s">
        <v>825</v>
      </c>
      <c r="B27" t="s">
        <v>842</v>
      </c>
    </row>
    <row r="29" spans="1:2">
      <c r="A29" t="s">
        <v>844</v>
      </c>
      <c r="B29" t="s">
        <v>845</v>
      </c>
    </row>
    <row r="52" spans="1:2">
      <c r="A52" t="s">
        <v>846</v>
      </c>
      <c r="B52" t="s">
        <v>847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1"/>
  <dimension ref="A1:D37"/>
  <sheetViews>
    <sheetView workbookViewId="0">
      <selection activeCell="F89" sqref="F89"/>
    </sheetView>
  </sheetViews>
  <sheetFormatPr defaultColWidth="14.42578125" defaultRowHeight="15"/>
  <cols>
    <col min="1" max="1" width="7.42578125" bestFit="1" customWidth="1"/>
    <col min="2" max="2" width="20" bestFit="1" customWidth="1"/>
    <col min="3" max="3" width="41.28515625" bestFit="1" customWidth="1"/>
    <col min="4" max="4" width="34.28515625" bestFit="1" customWidth="1"/>
    <col min="9" max="9" width="15.5703125" bestFit="1" customWidth="1"/>
    <col min="11" max="11" width="19.140625" bestFit="1" customWidth="1"/>
  </cols>
  <sheetData>
    <row r="1" spans="1:4">
      <c r="A1" s="602" t="s">
        <v>685</v>
      </c>
      <c r="B1" s="602" t="s">
        <v>686</v>
      </c>
      <c r="C1" s="602" t="s">
        <v>687</v>
      </c>
      <c r="D1" s="602" t="s">
        <v>688</v>
      </c>
    </row>
    <row r="2" spans="1:4">
      <c r="A2" s="602">
        <v>591</v>
      </c>
      <c r="B2" s="602" t="s">
        <v>884</v>
      </c>
      <c r="C2" s="602" t="s">
        <v>885</v>
      </c>
      <c r="D2" s="602" t="s">
        <v>740</v>
      </c>
    </row>
    <row r="3" spans="1:4">
      <c r="A3" s="602">
        <v>677</v>
      </c>
      <c r="B3" s="602" t="s">
        <v>800</v>
      </c>
      <c r="C3" s="602" t="s">
        <v>801</v>
      </c>
      <c r="D3" s="602" t="s">
        <v>740</v>
      </c>
    </row>
    <row r="4" spans="1:4">
      <c r="A4" s="602">
        <v>678</v>
      </c>
      <c r="B4" s="602" t="s">
        <v>860</v>
      </c>
      <c r="C4" s="602" t="s">
        <v>861</v>
      </c>
      <c r="D4" s="602" t="s">
        <v>740</v>
      </c>
    </row>
    <row r="5" spans="1:4">
      <c r="A5" s="602">
        <v>681</v>
      </c>
      <c r="B5" s="602" t="s">
        <v>758</v>
      </c>
      <c r="C5" s="602" t="s">
        <v>759</v>
      </c>
      <c r="D5" s="602" t="s">
        <v>740</v>
      </c>
    </row>
    <row r="6" spans="1:4">
      <c r="A6" s="602">
        <v>774</v>
      </c>
      <c r="B6" s="602" t="s">
        <v>862</v>
      </c>
      <c r="C6" s="602" t="s">
        <v>863</v>
      </c>
      <c r="D6" s="602" t="s">
        <v>743</v>
      </c>
    </row>
    <row r="7" spans="1:4">
      <c r="A7" s="602">
        <v>777</v>
      </c>
      <c r="B7" s="602" t="s">
        <v>786</v>
      </c>
      <c r="C7" s="602" t="s">
        <v>787</v>
      </c>
      <c r="D7" s="602" t="s">
        <v>743</v>
      </c>
    </row>
    <row r="8" spans="1:4">
      <c r="A8" s="602">
        <v>788</v>
      </c>
      <c r="B8" s="602" t="s">
        <v>886</v>
      </c>
      <c r="C8" s="602" t="s">
        <v>887</v>
      </c>
      <c r="D8" s="602" t="s">
        <v>743</v>
      </c>
    </row>
    <row r="9" spans="1:4">
      <c r="A9" s="602">
        <v>809</v>
      </c>
      <c r="B9" s="602" t="s">
        <v>756</v>
      </c>
      <c r="C9" s="602" t="s">
        <v>757</v>
      </c>
      <c r="D9" s="602" t="s">
        <v>740</v>
      </c>
    </row>
    <row r="10" spans="1:4">
      <c r="A10" s="602">
        <v>883</v>
      </c>
      <c r="B10" s="602" t="s">
        <v>746</v>
      </c>
      <c r="C10" s="602" t="s">
        <v>747</v>
      </c>
      <c r="D10" s="602" t="s">
        <v>740</v>
      </c>
    </row>
    <row r="11" spans="1:4">
      <c r="A11" s="602">
        <v>924</v>
      </c>
      <c r="B11" s="602" t="s">
        <v>888</v>
      </c>
      <c r="C11" s="602" t="s">
        <v>889</v>
      </c>
      <c r="D11" s="602" t="s">
        <v>740</v>
      </c>
    </row>
    <row r="12" spans="1:4">
      <c r="A12" s="602">
        <v>939</v>
      </c>
      <c r="B12" s="602" t="s">
        <v>890</v>
      </c>
      <c r="C12" s="602" t="s">
        <v>891</v>
      </c>
      <c r="D12" s="602" t="s">
        <v>740</v>
      </c>
    </row>
    <row r="13" spans="1:4">
      <c r="A13" s="602">
        <v>941</v>
      </c>
      <c r="B13" s="602" t="s">
        <v>892</v>
      </c>
      <c r="C13" s="602" t="s">
        <v>893</v>
      </c>
      <c r="D13" s="602" t="s">
        <v>743</v>
      </c>
    </row>
    <row r="14" spans="1:4">
      <c r="A14" s="602">
        <v>956</v>
      </c>
      <c r="B14" s="602" t="s">
        <v>894</v>
      </c>
      <c r="C14" s="602" t="s">
        <v>895</v>
      </c>
      <c r="D14" s="602" t="s">
        <v>740</v>
      </c>
    </row>
    <row r="15" spans="1:4">
      <c r="A15" s="602">
        <v>1030</v>
      </c>
      <c r="B15" s="602" t="s">
        <v>741</v>
      </c>
      <c r="C15" s="602" t="s">
        <v>742</v>
      </c>
      <c r="D15" s="602" t="s">
        <v>740</v>
      </c>
    </row>
    <row r="16" spans="1:4">
      <c r="A16" s="602">
        <v>1062</v>
      </c>
      <c r="B16" s="602" t="s">
        <v>864</v>
      </c>
      <c r="C16" s="602" t="s">
        <v>865</v>
      </c>
      <c r="D16" s="602" t="s">
        <v>740</v>
      </c>
    </row>
    <row r="17" spans="1:4">
      <c r="A17" s="602">
        <v>1073</v>
      </c>
      <c r="B17" s="602" t="s">
        <v>896</v>
      </c>
      <c r="C17" s="602" t="s">
        <v>897</v>
      </c>
      <c r="D17" s="602" t="s">
        <v>740</v>
      </c>
    </row>
    <row r="18" spans="1:4">
      <c r="A18" s="602">
        <v>1101</v>
      </c>
      <c r="B18" s="602" t="s">
        <v>898</v>
      </c>
      <c r="C18" s="602" t="s">
        <v>899</v>
      </c>
      <c r="D18" s="602" t="s">
        <v>740</v>
      </c>
    </row>
    <row r="19" spans="1:4">
      <c r="A19" s="602">
        <v>1106</v>
      </c>
      <c r="B19" s="602" t="s">
        <v>900</v>
      </c>
      <c r="C19" s="602" t="s">
        <v>901</v>
      </c>
      <c r="D19" s="602" t="s">
        <v>902</v>
      </c>
    </row>
    <row r="20" spans="1:4">
      <c r="A20" s="602">
        <v>1152</v>
      </c>
      <c r="B20" s="602" t="s">
        <v>754</v>
      </c>
      <c r="C20" s="602" t="s">
        <v>755</v>
      </c>
      <c r="D20" s="602" t="s">
        <v>740</v>
      </c>
    </row>
    <row r="21" spans="1:4">
      <c r="A21" s="602">
        <v>1224</v>
      </c>
      <c r="B21" s="602" t="s">
        <v>744</v>
      </c>
      <c r="C21" s="602" t="s">
        <v>745</v>
      </c>
      <c r="D21" s="602" t="s">
        <v>743</v>
      </c>
    </row>
    <row r="22" spans="1:4">
      <c r="A22" s="602">
        <v>1273</v>
      </c>
      <c r="B22" s="602" t="s">
        <v>903</v>
      </c>
      <c r="C22" s="602" t="s">
        <v>904</v>
      </c>
      <c r="D22" s="602" t="s">
        <v>743</v>
      </c>
    </row>
    <row r="23" spans="1:4">
      <c r="A23" s="602">
        <v>1330</v>
      </c>
      <c r="B23" s="602" t="s">
        <v>866</v>
      </c>
      <c r="C23" s="602" t="s">
        <v>867</v>
      </c>
      <c r="D23" s="602" t="s">
        <v>740</v>
      </c>
    </row>
    <row r="24" spans="1:4">
      <c r="A24" s="602">
        <v>1452</v>
      </c>
      <c r="B24" s="602" t="s">
        <v>905</v>
      </c>
      <c r="C24" s="602" t="s">
        <v>906</v>
      </c>
      <c r="D24" s="602" t="s">
        <v>740</v>
      </c>
    </row>
    <row r="25" spans="1:4">
      <c r="A25" s="602">
        <v>1460</v>
      </c>
      <c r="B25" s="602" t="s">
        <v>802</v>
      </c>
      <c r="C25" s="602" t="s">
        <v>803</v>
      </c>
      <c r="D25" s="602" t="s">
        <v>740</v>
      </c>
    </row>
    <row r="26" spans="1:4">
      <c r="A26" s="602">
        <v>1472</v>
      </c>
      <c r="B26" s="602" t="s">
        <v>868</v>
      </c>
      <c r="C26" s="602" t="s">
        <v>869</v>
      </c>
      <c r="D26" s="602" t="s">
        <v>743</v>
      </c>
    </row>
    <row r="27" spans="1:4">
      <c r="A27" s="602">
        <v>1478</v>
      </c>
      <c r="B27" s="602" t="s">
        <v>870</v>
      </c>
      <c r="C27" s="602" t="s">
        <v>871</v>
      </c>
      <c r="D27" s="602" t="s">
        <v>740</v>
      </c>
    </row>
    <row r="28" spans="1:4">
      <c r="A28" s="602">
        <v>1488</v>
      </c>
      <c r="B28" s="602" t="s">
        <v>907</v>
      </c>
      <c r="C28" s="602" t="s">
        <v>908</v>
      </c>
      <c r="D28" s="602" t="s">
        <v>740</v>
      </c>
    </row>
    <row r="29" spans="1:4">
      <c r="A29" s="602">
        <v>1506</v>
      </c>
      <c r="B29" s="602" t="s">
        <v>837</v>
      </c>
      <c r="C29" s="602" t="s">
        <v>838</v>
      </c>
      <c r="D29" s="602" t="s">
        <v>740</v>
      </c>
    </row>
    <row r="30" spans="1:4">
      <c r="A30" s="602">
        <v>1515</v>
      </c>
      <c r="B30" s="602" t="s">
        <v>909</v>
      </c>
      <c r="C30" s="602" t="s">
        <v>910</v>
      </c>
      <c r="D30" s="602" t="s">
        <v>740</v>
      </c>
    </row>
    <row r="31" spans="1:4">
      <c r="A31" s="602">
        <v>1516</v>
      </c>
      <c r="B31" s="602" t="s">
        <v>911</v>
      </c>
      <c r="C31" s="602" t="s">
        <v>912</v>
      </c>
      <c r="D31" s="602" t="s">
        <v>740</v>
      </c>
    </row>
    <row r="32" spans="1:4">
      <c r="A32" s="602">
        <v>1534</v>
      </c>
      <c r="B32" s="602" t="s">
        <v>913</v>
      </c>
      <c r="C32" s="602" t="s">
        <v>914</v>
      </c>
      <c r="D32" s="602" t="s">
        <v>743</v>
      </c>
    </row>
    <row r="33" spans="1:4">
      <c r="A33" s="602">
        <v>1535</v>
      </c>
      <c r="B33" s="602" t="s">
        <v>915</v>
      </c>
      <c r="C33" s="602" t="s">
        <v>916</v>
      </c>
      <c r="D33" s="602" t="s">
        <v>740</v>
      </c>
    </row>
    <row r="34" spans="1:4">
      <c r="A34" s="602">
        <v>1545</v>
      </c>
      <c r="B34" s="602" t="s">
        <v>917</v>
      </c>
      <c r="C34" s="602" t="s">
        <v>918</v>
      </c>
      <c r="D34" s="602" t="s">
        <v>740</v>
      </c>
    </row>
    <row r="35" spans="1:4">
      <c r="A35" s="602">
        <v>1624</v>
      </c>
      <c r="B35" s="602" t="s">
        <v>872</v>
      </c>
      <c r="C35" s="602" t="s">
        <v>803</v>
      </c>
      <c r="D35" s="602" t="s">
        <v>740</v>
      </c>
    </row>
    <row r="36" spans="1:4">
      <c r="A36" s="602">
        <v>1636</v>
      </c>
      <c r="B36" s="602" t="s">
        <v>919</v>
      </c>
      <c r="C36" s="602" t="s">
        <v>920</v>
      </c>
      <c r="D36" s="602" t="s">
        <v>743</v>
      </c>
    </row>
    <row r="37" spans="1:4">
      <c r="A37" s="602">
        <v>1697</v>
      </c>
      <c r="B37" s="602" t="s">
        <v>921</v>
      </c>
      <c r="C37" s="602" t="s">
        <v>922</v>
      </c>
      <c r="D37" s="602" t="s">
        <v>743</v>
      </c>
    </row>
  </sheetData>
  <autoFilter ref="A1:D37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92D050"/>
    <pageSetUpPr fitToPage="1"/>
  </sheetPr>
  <dimension ref="A1:M675"/>
  <sheetViews>
    <sheetView view="pageBreakPreview" zoomScale="80" zoomScaleNormal="80" zoomScaleSheetLayoutView="80" workbookViewId="0">
      <selection activeCell="H24" sqref="H24"/>
    </sheetView>
  </sheetViews>
  <sheetFormatPr defaultColWidth="9.140625" defaultRowHeight="15.75"/>
  <cols>
    <col min="1" max="1" width="11.5703125" style="90" bestFit="1" customWidth="1"/>
    <col min="2" max="2" width="64.42578125" style="90" bestFit="1" customWidth="1"/>
    <col min="3" max="3" width="16.42578125" style="90" customWidth="1"/>
    <col min="4" max="4" width="19" style="90" bestFit="1" customWidth="1"/>
    <col min="5" max="5" width="14.85546875" style="90" bestFit="1" customWidth="1"/>
    <col min="6" max="16384" width="9.140625" style="90"/>
  </cols>
  <sheetData>
    <row r="1" spans="1:5">
      <c r="A1" s="1462" t="s">
        <v>157</v>
      </c>
      <c r="B1" s="1462"/>
      <c r="C1" s="1462"/>
      <c r="D1" s="1462"/>
    </row>
    <row r="2" spans="1:5">
      <c r="A2" s="501"/>
      <c r="B2" s="501"/>
      <c r="C2" s="501"/>
      <c r="D2" s="501"/>
    </row>
    <row r="3" spans="1:5">
      <c r="A3" s="1462" t="s">
        <v>947</v>
      </c>
      <c r="B3" s="1462"/>
      <c r="C3" s="1462"/>
      <c r="D3" s="1462"/>
    </row>
    <row r="4" spans="1:5" ht="16.5" thickBot="1">
      <c r="A4" s="502"/>
      <c r="B4" s="502"/>
      <c r="C4" s="502"/>
      <c r="D4" s="502"/>
    </row>
    <row r="5" spans="1:5" ht="16.5" thickBot="1">
      <c r="A5" s="503" t="s">
        <v>158</v>
      </c>
      <c r="B5" s="503" t="s">
        <v>139</v>
      </c>
      <c r="C5" s="504" t="s">
        <v>159</v>
      </c>
      <c r="D5" s="503" t="s">
        <v>160</v>
      </c>
    </row>
    <row r="6" spans="1:5">
      <c r="A6" s="500"/>
      <c r="B6" s="500"/>
      <c r="C6" s="502"/>
      <c r="D6" s="500"/>
    </row>
    <row r="7" spans="1:5">
      <c r="A7" s="505">
        <v>1</v>
      </c>
      <c r="B7" s="500" t="s">
        <v>161</v>
      </c>
      <c r="C7" s="506">
        <f>+'ODHAV '!D74</f>
        <v>14387.799999999912</v>
      </c>
      <c r="D7" s="507"/>
      <c r="E7" s="104"/>
    </row>
    <row r="8" spans="1:5">
      <c r="A8" s="505"/>
      <c r="B8" s="500" t="s">
        <v>162</v>
      </c>
      <c r="C8" s="506">
        <f>+'ODHAV '!E74</f>
        <v>14387.799999999912</v>
      </c>
      <c r="D8" s="507"/>
    </row>
    <row r="9" spans="1:5">
      <c r="A9" s="505"/>
      <c r="B9" s="500" t="s">
        <v>195</v>
      </c>
      <c r="C9" s="506">
        <f>+'ODHAV '!F74</f>
        <v>0</v>
      </c>
      <c r="D9" s="507"/>
    </row>
    <row r="10" spans="1:5">
      <c r="A10" s="505"/>
      <c r="B10" s="500" t="s">
        <v>163</v>
      </c>
      <c r="C10" s="506"/>
      <c r="D10" s="507">
        <f>SUM(C7:C9)</f>
        <v>28775.599999999824</v>
      </c>
    </row>
    <row r="11" spans="1:5">
      <c r="A11" s="505"/>
      <c r="B11" s="500" t="s">
        <v>164</v>
      </c>
      <c r="C11" s="506"/>
      <c r="D11" s="507"/>
    </row>
    <row r="12" spans="1:5">
      <c r="A12" s="505"/>
      <c r="B12" s="500" t="s">
        <v>934</v>
      </c>
      <c r="C12" s="506"/>
      <c r="D12" s="507"/>
    </row>
    <row r="13" spans="1:5" ht="16.5" thickBot="1">
      <c r="A13" s="508"/>
      <c r="B13" s="509"/>
      <c r="C13" s="510"/>
      <c r="D13" s="511"/>
    </row>
    <row r="14" spans="1:5">
      <c r="A14" s="505"/>
      <c r="B14" s="500"/>
      <c r="C14" s="506"/>
      <c r="D14" s="507"/>
    </row>
    <row r="15" spans="1:5">
      <c r="A15" s="505">
        <v>2</v>
      </c>
      <c r="B15" s="500" t="s">
        <v>165</v>
      </c>
      <c r="C15" s="506">
        <f>+D17+D18+D19-C16</f>
        <v>2672.55</v>
      </c>
      <c r="D15" s="507"/>
    </row>
    <row r="16" spans="1:5">
      <c r="A16" s="505"/>
      <c r="B16" s="500" t="s">
        <v>166</v>
      </c>
      <c r="C16" s="506">
        <f>(+D17+D18+D19)/2</f>
        <v>2672.55</v>
      </c>
      <c r="D16" s="507"/>
    </row>
    <row r="17" spans="1:4">
      <c r="A17" s="500"/>
      <c r="B17" s="500" t="s">
        <v>167</v>
      </c>
      <c r="C17" s="506"/>
      <c r="D17" s="507">
        <f>+'ODHAV '!D81</f>
        <v>2672.55</v>
      </c>
    </row>
    <row r="18" spans="1:4">
      <c r="A18" s="500"/>
      <c r="B18" s="500" t="s">
        <v>168</v>
      </c>
      <c r="C18" s="506"/>
      <c r="D18" s="507">
        <f>+'ODHAV '!E81</f>
        <v>2672.55</v>
      </c>
    </row>
    <row r="19" spans="1:4">
      <c r="A19" s="500"/>
      <c r="B19" s="500" t="s">
        <v>178</v>
      </c>
      <c r="C19" s="506"/>
      <c r="D19" s="507">
        <f>+'ODHAV '!F81</f>
        <v>0</v>
      </c>
    </row>
    <row r="20" spans="1:4">
      <c r="A20" s="500"/>
      <c r="B20" s="500" t="s">
        <v>169</v>
      </c>
      <c r="C20" s="506"/>
      <c r="D20" s="507"/>
    </row>
    <row r="21" spans="1:4" ht="16.5" thickBot="1">
      <c r="A21" s="509"/>
      <c r="B21" s="509" t="s">
        <v>170</v>
      </c>
      <c r="C21" s="510"/>
      <c r="D21" s="511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8" fitToHeight="0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92D050"/>
    <pageSetUpPr fitToPage="1"/>
  </sheetPr>
  <dimension ref="A1:M675"/>
  <sheetViews>
    <sheetView view="pageBreakPreview" zoomScale="80" zoomScaleNormal="100" zoomScaleSheetLayoutView="80" workbookViewId="0">
      <selection activeCell="C7" sqref="C7"/>
    </sheetView>
  </sheetViews>
  <sheetFormatPr defaultColWidth="9.140625" defaultRowHeight="15.75"/>
  <cols>
    <col min="1" max="1" width="11.5703125" style="90" bestFit="1" customWidth="1"/>
    <col min="2" max="2" width="70.42578125" style="90" customWidth="1"/>
    <col min="3" max="3" width="20.5703125" style="90" customWidth="1"/>
    <col min="4" max="4" width="19.140625" style="90" bestFit="1" customWidth="1"/>
    <col min="5" max="16384" width="9.140625" style="90"/>
  </cols>
  <sheetData>
    <row r="1" spans="1:4">
      <c r="A1" s="1463" t="s">
        <v>171</v>
      </c>
      <c r="B1" s="1463"/>
      <c r="C1" s="1463"/>
      <c r="D1" s="1463"/>
    </row>
    <row r="2" spans="1:4">
      <c r="A2" s="91"/>
      <c r="B2" s="91"/>
      <c r="C2" s="91"/>
      <c r="D2" s="91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+RAKHIAL!D74</f>
        <v>18891.4800000002</v>
      </c>
      <c r="D7" s="97"/>
    </row>
    <row r="8" spans="1:4">
      <c r="A8" s="95"/>
      <c r="B8" s="94" t="s">
        <v>162</v>
      </c>
      <c r="C8" s="96">
        <f>+RAKHIAL!E74</f>
        <v>18891.4800000002</v>
      </c>
      <c r="D8" s="97"/>
    </row>
    <row r="9" spans="1:4">
      <c r="A9" s="95"/>
      <c r="B9" s="94" t="s">
        <v>195</v>
      </c>
      <c r="C9" s="96">
        <f>+RAKHIAL!F74</f>
        <v>0</v>
      </c>
      <c r="D9" s="97"/>
    </row>
    <row r="10" spans="1:4">
      <c r="A10" s="95"/>
      <c r="B10" s="94" t="s">
        <v>163</v>
      </c>
      <c r="C10" s="96"/>
      <c r="D10" s="97">
        <f>SUM(C7:C9)</f>
        <v>37782.960000000399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165</v>
      </c>
      <c r="C15" s="96">
        <f>+D17+D18+D19-C16</f>
        <v>1575</v>
      </c>
      <c r="D15" s="97"/>
    </row>
    <row r="16" spans="1:4">
      <c r="A16" s="95"/>
      <c r="B16" s="94" t="s">
        <v>166</v>
      </c>
      <c r="C16" s="96">
        <f>+(D17+D18+D19)/2</f>
        <v>1575</v>
      </c>
      <c r="D16" s="97"/>
    </row>
    <row r="17" spans="1:4">
      <c r="A17" s="94"/>
      <c r="B17" s="94" t="s">
        <v>167</v>
      </c>
      <c r="C17" s="96"/>
      <c r="D17" s="97">
        <f>+RAKHIAL!D81</f>
        <v>1575</v>
      </c>
    </row>
    <row r="18" spans="1:4">
      <c r="A18" s="94"/>
      <c r="B18" s="94" t="s">
        <v>168</v>
      </c>
      <c r="C18" s="96"/>
      <c r="D18" s="97">
        <f>+RAKHIAL!E81</f>
        <v>1575</v>
      </c>
    </row>
    <row r="19" spans="1:4">
      <c r="A19" s="94"/>
      <c r="B19" s="94" t="s">
        <v>178</v>
      </c>
      <c r="C19" s="96"/>
      <c r="D19" s="97">
        <f>+RAKHIAL!F81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1" fitToHeight="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92D050"/>
    <pageSetUpPr fitToPage="1"/>
  </sheetPr>
  <dimension ref="A1:M675"/>
  <sheetViews>
    <sheetView view="pageBreakPreview" zoomScale="80" zoomScaleNormal="100" zoomScaleSheetLayoutView="80" workbookViewId="0">
      <selection activeCell="F20" sqref="F20"/>
    </sheetView>
  </sheetViews>
  <sheetFormatPr defaultColWidth="9.140625" defaultRowHeight="15.75"/>
  <cols>
    <col min="1" max="1" width="11.5703125" style="90" bestFit="1" customWidth="1"/>
    <col min="2" max="2" width="78.85546875" style="90" bestFit="1" customWidth="1"/>
    <col min="3" max="4" width="17.42578125" style="90" bestFit="1" customWidth="1"/>
    <col min="5" max="5" width="12.28515625" style="90" bestFit="1" customWidth="1"/>
    <col min="6" max="6" width="14.85546875" style="90" bestFit="1" customWidth="1"/>
    <col min="7" max="7" width="9.140625" style="90"/>
    <col min="8" max="8" width="14.85546875" style="90" bestFit="1" customWidth="1"/>
    <col min="9" max="16384" width="9.140625" style="90"/>
  </cols>
  <sheetData>
    <row r="1" spans="1:8">
      <c r="A1" s="1463" t="s">
        <v>172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+CHANGODAR!D74</f>
        <v>4599.8900000000003</v>
      </c>
      <c r="D7" s="97"/>
    </row>
    <row r="8" spans="1:8">
      <c r="A8" s="95"/>
      <c r="B8" s="94" t="s">
        <v>162</v>
      </c>
      <c r="C8" s="96">
        <f>+CHANGODAR!E74</f>
        <v>4599.8900000000003</v>
      </c>
      <c r="D8" s="97"/>
    </row>
    <row r="9" spans="1:8">
      <c r="A9" s="95"/>
      <c r="B9" s="94" t="s">
        <v>195</v>
      </c>
      <c r="C9" s="96">
        <f>+CHANGODAR!F74</f>
        <v>0</v>
      </c>
      <c r="D9" s="97"/>
    </row>
    <row r="10" spans="1:8">
      <c r="A10" s="95"/>
      <c r="B10" s="94" t="s">
        <v>163</v>
      </c>
      <c r="C10" s="96"/>
      <c r="D10" s="97">
        <f>SUM(C7:C9)</f>
        <v>9199.7800000000007</v>
      </c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AUG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94"/>
      <c r="C14" s="96"/>
      <c r="D14" s="97"/>
      <c r="E14" s="779"/>
      <c r="F14" s="779"/>
      <c r="G14" s="779"/>
      <c r="H14" s="779"/>
    </row>
    <row r="15" spans="1:8" ht="15.75" customHeight="1">
      <c r="A15" s="95">
        <v>2</v>
      </c>
      <c r="B15" s="94" t="s">
        <v>165</v>
      </c>
      <c r="C15" s="96">
        <f>+D17+D18+D19-C16</f>
        <v>3174.75</v>
      </c>
      <c r="D15" s="97"/>
      <c r="E15" s="779"/>
      <c r="F15" s="779"/>
      <c r="G15" s="779"/>
      <c r="H15" s="779"/>
    </row>
    <row r="16" spans="1:8">
      <c r="A16" s="95"/>
      <c r="B16" s="94" t="s">
        <v>166</v>
      </c>
      <c r="C16" s="96">
        <f>+(D17+D18+D19)/2</f>
        <v>3174.75</v>
      </c>
      <c r="D16" s="97"/>
      <c r="E16" s="779"/>
      <c r="F16" s="779"/>
      <c r="G16" s="779"/>
      <c r="H16" s="779"/>
    </row>
    <row r="17" spans="1:8">
      <c r="A17" s="94"/>
      <c r="B17" s="94" t="s">
        <v>167</v>
      </c>
      <c r="C17" s="96"/>
      <c r="D17" s="97">
        <f>+CHANGODAR!D81</f>
        <v>3174.75</v>
      </c>
      <c r="E17" s="779"/>
      <c r="F17" s="779"/>
      <c r="G17" s="779"/>
      <c r="H17" s="779"/>
    </row>
    <row r="18" spans="1:8">
      <c r="A18" s="94"/>
      <c r="B18" s="94" t="s">
        <v>168</v>
      </c>
      <c r="C18" s="96"/>
      <c r="D18" s="97">
        <f>+CHANGODAR!E81</f>
        <v>3174.75</v>
      </c>
      <c r="E18" s="779"/>
      <c r="F18" s="779"/>
      <c r="G18" s="779"/>
      <c r="H18" s="779"/>
    </row>
    <row r="19" spans="1:8">
      <c r="A19" s="94"/>
      <c r="B19" s="94" t="s">
        <v>178</v>
      </c>
      <c r="C19" s="96"/>
      <c r="D19" s="97">
        <f>+CHANGODAR!F81</f>
        <v>0</v>
      </c>
      <c r="E19" s="779"/>
      <c r="F19" s="779"/>
      <c r="G19" s="779"/>
      <c r="H19" s="779"/>
    </row>
    <row r="20" spans="1:8">
      <c r="A20" s="94"/>
      <c r="B20" s="94" t="str">
        <f>+ODHAV1!B20</f>
        <v>(BEING 50% SET OFF TRF TO EXPS PL4197 AND</v>
      </c>
      <c r="C20" s="96"/>
      <c r="D20" s="97"/>
      <c r="E20" s="779"/>
      <c r="F20" s="779"/>
      <c r="G20" s="779"/>
      <c r="H20" s="779"/>
    </row>
    <row r="21" spans="1:8" ht="16.5" thickBot="1">
      <c r="A21" s="99"/>
      <c r="B21" s="99" t="str">
        <f>+ODHAV1!B21</f>
        <v>50% TRF TO HO)</v>
      </c>
      <c r="C21" s="100"/>
      <c r="D21" s="101"/>
      <c r="E21" s="779"/>
      <c r="F21" s="779"/>
      <c r="G21" s="779"/>
      <c r="H21" s="779"/>
    </row>
    <row r="22" spans="1:8">
      <c r="C22" s="102"/>
      <c r="D22" s="102"/>
    </row>
    <row r="23" spans="1:8">
      <c r="C23" s="102"/>
      <c r="D23" s="102"/>
    </row>
    <row r="24" spans="1:8">
      <c r="C24" s="102"/>
      <c r="D24" s="102"/>
    </row>
    <row r="25" spans="1:8">
      <c r="C25" s="102"/>
      <c r="D25" s="102"/>
    </row>
    <row r="26" spans="1:8">
      <c r="C26" s="102"/>
      <c r="D26" s="102"/>
    </row>
    <row r="27" spans="1:8">
      <c r="C27" s="102"/>
      <c r="D27" s="102"/>
    </row>
    <row r="28" spans="1:8">
      <c r="C28" s="102"/>
      <c r="D28" s="102"/>
    </row>
    <row r="29" spans="1:8">
      <c r="C29" s="102"/>
      <c r="D29" s="102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69" fitToHeight="0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>
    <tabColor rgb="FF92D050"/>
    <pageSetUpPr fitToPage="1"/>
  </sheetPr>
  <dimension ref="A1:M675"/>
  <sheetViews>
    <sheetView view="pageBreakPreview" zoomScale="60" zoomScaleNormal="100" workbookViewId="0">
      <selection activeCell="P25" sqref="P25"/>
    </sheetView>
  </sheetViews>
  <sheetFormatPr defaultColWidth="9.140625" defaultRowHeight="15.75"/>
  <cols>
    <col min="1" max="1" width="11.5703125" style="90" bestFit="1" customWidth="1"/>
    <col min="2" max="2" width="68.28515625" style="90" bestFit="1" customWidth="1"/>
    <col min="3" max="3" width="17.42578125" style="90" bestFit="1" customWidth="1"/>
    <col min="4" max="4" width="18.140625" style="90" bestFit="1" customWidth="1"/>
    <col min="5" max="5" width="9.140625" style="90"/>
    <col min="6" max="6" width="16.42578125" style="90" bestFit="1" customWidth="1"/>
    <col min="7" max="7" width="10.7109375" style="90" bestFit="1" customWidth="1"/>
    <col min="8" max="16384" width="9.140625" style="90"/>
  </cols>
  <sheetData>
    <row r="1" spans="1:4">
      <c r="A1" s="1463" t="s">
        <v>173</v>
      </c>
      <c r="B1" s="1463"/>
      <c r="C1" s="1463"/>
      <c r="D1" s="1463"/>
    </row>
    <row r="2" spans="1:4">
      <c r="A2" s="91"/>
      <c r="B2" s="91"/>
      <c r="C2" s="91"/>
      <c r="D2" s="91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'NEW SHARDA'!D74</f>
        <v>42179.47</v>
      </c>
      <c r="D7" s="97"/>
    </row>
    <row r="8" spans="1:4">
      <c r="A8" s="95"/>
      <c r="B8" s="94" t="s">
        <v>162</v>
      </c>
      <c r="C8" s="96">
        <f>'NEW SHARDA'!E74</f>
        <v>42179.47</v>
      </c>
      <c r="D8" s="97"/>
    </row>
    <row r="9" spans="1:4">
      <c r="A9" s="95"/>
      <c r="B9" s="94" t="s">
        <v>195</v>
      </c>
      <c r="C9" s="157">
        <f>+'NEW SHARDA'!F74</f>
        <v>0</v>
      </c>
      <c r="D9" s="97"/>
    </row>
    <row r="10" spans="1:4">
      <c r="A10" s="95"/>
      <c r="B10" s="94" t="s">
        <v>163</v>
      </c>
      <c r="C10" s="96"/>
      <c r="D10" s="97">
        <f>C7+C8+C9</f>
        <v>84358.94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616</v>
      </c>
      <c r="C15" s="96">
        <v>0</v>
      </c>
      <c r="D15" s="97"/>
    </row>
    <row r="16" spans="1:4">
      <c r="A16" s="95"/>
      <c r="B16" s="94" t="s">
        <v>617</v>
      </c>
      <c r="C16" s="96">
        <v>0</v>
      </c>
      <c r="D16" s="97"/>
    </row>
    <row r="17" spans="1:7">
      <c r="A17" s="95"/>
      <c r="B17" s="94" t="s">
        <v>178</v>
      </c>
      <c r="C17" s="96"/>
      <c r="D17" s="97">
        <v>0</v>
      </c>
    </row>
    <row r="18" spans="1:7">
      <c r="A18" s="95"/>
      <c r="B18" s="94" t="s">
        <v>556</v>
      </c>
      <c r="C18" s="96"/>
      <c r="D18" s="97"/>
    </row>
    <row r="19" spans="1:7">
      <c r="A19" s="95"/>
      <c r="B19" s="94" t="s">
        <v>562</v>
      </c>
      <c r="C19" s="96"/>
      <c r="D19" s="97"/>
    </row>
    <row r="20" spans="1:7" ht="16.5" thickBot="1">
      <c r="A20" s="95"/>
      <c r="B20" s="94"/>
      <c r="C20" s="96"/>
      <c r="D20" s="97"/>
    </row>
    <row r="21" spans="1:7">
      <c r="A21" s="124"/>
      <c r="B21" s="119"/>
      <c r="C21" s="206"/>
      <c r="D21" s="206"/>
      <c r="F21" s="104"/>
    </row>
    <row r="22" spans="1:7">
      <c r="A22" s="95">
        <v>3</v>
      </c>
      <c r="B22" s="94" t="s">
        <v>165</v>
      </c>
      <c r="C22" s="97">
        <f>+D24+D25+D26-C23</f>
        <v>2977</v>
      </c>
      <c r="D22" s="97"/>
      <c r="F22" s="104"/>
    </row>
    <row r="23" spans="1:7">
      <c r="A23" s="95"/>
      <c r="B23" s="94" t="s">
        <v>166</v>
      </c>
      <c r="C23" s="97">
        <f>+SUM(D24:D26)/2</f>
        <v>2977</v>
      </c>
      <c r="D23" s="97"/>
      <c r="G23" s="104"/>
    </row>
    <row r="24" spans="1:7">
      <c r="A24" s="94"/>
      <c r="B24" s="94" t="s">
        <v>167</v>
      </c>
      <c r="C24" s="97"/>
      <c r="D24" s="97">
        <f>'NEW SHARDA'!D81</f>
        <v>2977</v>
      </c>
    </row>
    <row r="25" spans="1:7">
      <c r="A25" s="94"/>
      <c r="B25" s="94" t="s">
        <v>168</v>
      </c>
      <c r="C25" s="97"/>
      <c r="D25" s="97">
        <f>'NEW SHARDA'!E81</f>
        <v>2977</v>
      </c>
    </row>
    <row r="26" spans="1:7">
      <c r="A26" s="94"/>
      <c r="B26" s="94" t="s">
        <v>178</v>
      </c>
      <c r="C26" s="97"/>
      <c r="D26" s="97">
        <f>+'NEW SHARDA'!F81</f>
        <v>0</v>
      </c>
    </row>
    <row r="27" spans="1:7">
      <c r="A27" s="94"/>
      <c r="B27" s="94" t="str">
        <f>+ODHAV1!B20</f>
        <v>(BEING 50% SET OFF TRF TO EXPS PL4197 AND</v>
      </c>
      <c r="C27" s="97"/>
      <c r="D27" s="97"/>
    </row>
    <row r="28" spans="1:7">
      <c r="A28" s="94"/>
      <c r="B28" s="94" t="str">
        <f>+ODHAV1!B21</f>
        <v>50% TRF TO HO)</v>
      </c>
      <c r="C28" s="97"/>
      <c r="D28" s="97"/>
    </row>
    <row r="29" spans="1:7" ht="16.5" thickBot="1">
      <c r="A29" s="99"/>
      <c r="B29" s="99"/>
      <c r="C29" s="450"/>
      <c r="D29" s="450"/>
    </row>
    <row r="30" spans="1:7">
      <c r="C30" s="102"/>
      <c r="D30" s="102"/>
    </row>
    <row r="31" spans="1:7">
      <c r="C31" s="102"/>
      <c r="D31" s="102"/>
    </row>
    <row r="32" spans="1:7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5" fitToHeight="0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92D050"/>
    <pageSetUpPr fitToPage="1"/>
  </sheetPr>
  <dimension ref="A1:M671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5703125" style="90" bestFit="1" customWidth="1"/>
    <col min="2" max="2" width="64.85546875" style="90" bestFit="1" customWidth="1"/>
    <col min="3" max="4" width="19" style="90" bestFit="1" customWidth="1"/>
    <col min="5" max="5" width="16.42578125" style="90" bestFit="1" customWidth="1"/>
    <col min="6" max="16384" width="9.140625" style="90"/>
  </cols>
  <sheetData>
    <row r="1" spans="1:7">
      <c r="A1" s="1463" t="s">
        <v>174</v>
      </c>
      <c r="B1" s="1463"/>
      <c r="C1" s="1463"/>
      <c r="D1" s="1463"/>
    </row>
    <row r="2" spans="1:7">
      <c r="A2" s="91"/>
      <c r="B2" s="91"/>
      <c r="C2" s="91"/>
      <c r="D2" s="91"/>
    </row>
    <row r="3" spans="1:7">
      <c r="A3" s="1463" t="str">
        <f>+ODHAV1!$A$3</f>
        <v>GST ENTRIES FOR THE MONTH OF SEP 2026</v>
      </c>
      <c r="B3" s="1463"/>
      <c r="C3" s="1463"/>
      <c r="D3" s="1463"/>
    </row>
    <row r="4" spans="1:7" ht="16.5" thickBot="1"/>
    <row r="5" spans="1:7" ht="16.5" thickBot="1">
      <c r="A5" s="92" t="s">
        <v>158</v>
      </c>
      <c r="B5" s="149" t="s">
        <v>139</v>
      </c>
      <c r="C5" s="93" t="s">
        <v>159</v>
      </c>
      <c r="D5" s="92" t="s">
        <v>333</v>
      </c>
    </row>
    <row r="6" spans="1:7" ht="15.75" customHeight="1">
      <c r="A6" s="94"/>
      <c r="B6" s="94"/>
      <c r="D6" s="94"/>
      <c r="E6" s="954"/>
      <c r="F6" s="954"/>
    </row>
    <row r="7" spans="1:7" ht="16.5">
      <c r="A7" s="95">
        <v>1</v>
      </c>
      <c r="B7" s="94" t="s">
        <v>161</v>
      </c>
      <c r="C7" s="96">
        <f>+ISANPUR!D74</f>
        <v>39552.17</v>
      </c>
      <c r="D7" s="97"/>
      <c r="E7"/>
      <c r="F7"/>
      <c r="G7"/>
    </row>
    <row r="8" spans="1:7" ht="16.5">
      <c r="A8" s="95"/>
      <c r="B8" s="94" t="s">
        <v>162</v>
      </c>
      <c r="C8" s="96">
        <f>+ISANPUR!E74</f>
        <v>39552.17</v>
      </c>
      <c r="D8" s="97"/>
      <c r="E8"/>
      <c r="F8"/>
      <c r="G8"/>
    </row>
    <row r="9" spans="1:7" ht="16.5">
      <c r="A9" s="95"/>
      <c r="B9" s="94" t="s">
        <v>195</v>
      </c>
      <c r="C9" s="96">
        <f>+ISANPUR!F74</f>
        <v>0</v>
      </c>
      <c r="D9" s="97"/>
      <c r="E9"/>
      <c r="F9"/>
      <c r="G9"/>
    </row>
    <row r="10" spans="1:7" ht="16.5">
      <c r="A10" s="95"/>
      <c r="B10" s="94" t="s">
        <v>163</v>
      </c>
      <c r="C10" s="96"/>
      <c r="D10" s="97">
        <f>+C7+C8+C9</f>
        <v>79104.34</v>
      </c>
      <c r="E10"/>
      <c r="F10"/>
      <c r="G10"/>
    </row>
    <row r="11" spans="1:7" ht="16.5">
      <c r="A11" s="95"/>
      <c r="B11" s="94" t="str">
        <f>+ODHAV1!B11</f>
        <v>(BEING GST PAYABLE FOR THE MONTH OF</v>
      </c>
      <c r="C11" s="96"/>
      <c r="D11" s="97"/>
      <c r="E11"/>
      <c r="F11"/>
      <c r="G11"/>
    </row>
    <row r="12" spans="1:7" ht="16.5">
      <c r="A12" s="95"/>
      <c r="B12" s="94" t="str">
        <f>+ODHAV1!B12</f>
        <v>AUG 2026 TRANSFER TO HO)</v>
      </c>
      <c r="C12" s="96"/>
      <c r="D12" s="97"/>
      <c r="E12"/>
      <c r="F12"/>
      <c r="G12"/>
    </row>
    <row r="13" spans="1:7" ht="16.5" thickBot="1">
      <c r="A13" s="98"/>
      <c r="B13" s="99"/>
      <c r="C13" s="100"/>
      <c r="D13" s="101"/>
      <c r="E13" s="954"/>
      <c r="F13" s="954"/>
    </row>
    <row r="14" spans="1:7">
      <c r="A14" s="95"/>
      <c r="B14" s="119"/>
      <c r="C14" s="96"/>
      <c r="D14" s="97"/>
    </row>
    <row r="15" spans="1:7">
      <c r="A15" s="95">
        <v>2</v>
      </c>
      <c r="B15" s="94" t="s">
        <v>165</v>
      </c>
      <c r="C15" s="96">
        <f>+D17+D18+D19-C16</f>
        <v>2287.6799999999998</v>
      </c>
      <c r="D15" s="97"/>
    </row>
    <row r="16" spans="1:7">
      <c r="A16" s="95"/>
      <c r="B16" s="94" t="s">
        <v>166</v>
      </c>
      <c r="C16" s="96">
        <f>+SUM(D17:D19)/2</f>
        <v>2287.6799999999998</v>
      </c>
      <c r="D16" s="97"/>
    </row>
    <row r="17" spans="1:9">
      <c r="A17" s="94"/>
      <c r="B17" s="94" t="s">
        <v>167</v>
      </c>
      <c r="C17" s="96"/>
      <c r="D17" s="97">
        <f>+ISANPUR!D81</f>
        <v>2287.6799999999998</v>
      </c>
    </row>
    <row r="18" spans="1:9">
      <c r="A18" s="94"/>
      <c r="B18" s="94" t="s">
        <v>168</v>
      </c>
      <c r="C18" s="96"/>
      <c r="D18" s="97">
        <f>+ISANPUR!E81</f>
        <v>2287.6799999999998</v>
      </c>
    </row>
    <row r="19" spans="1:9">
      <c r="A19" s="94"/>
      <c r="B19" s="94" t="s">
        <v>178</v>
      </c>
      <c r="C19" s="96"/>
      <c r="D19" s="97">
        <f>+ISANPUR!F81</f>
        <v>0</v>
      </c>
    </row>
    <row r="20" spans="1:9">
      <c r="A20" s="94"/>
      <c r="B20" s="94" t="str">
        <f>+ODHAV1!B20</f>
        <v>(BEING 50% SET OFF TRF TO EXPS PL4197 AND</v>
      </c>
      <c r="C20" s="96"/>
      <c r="D20" s="97"/>
    </row>
    <row r="21" spans="1:9" ht="16.5" thickBot="1">
      <c r="A21" s="99"/>
      <c r="B21" s="99" t="str">
        <f>+ODHAV1!B21</f>
        <v>50% TRF TO HO)</v>
      </c>
      <c r="C21" s="100"/>
      <c r="D21" s="101"/>
    </row>
    <row r="22" spans="1:9" ht="16.5" customHeight="1">
      <c r="A22" s="150"/>
      <c r="B22" s="119"/>
      <c r="C22" s="715"/>
      <c r="D22" s="689"/>
      <c r="E22" s="866"/>
      <c r="F22" s="866"/>
      <c r="G22" s="866"/>
      <c r="H22" s="558"/>
    </row>
    <row r="23" spans="1:9">
      <c r="A23" s="955">
        <v>3</v>
      </c>
      <c r="B23" s="94" t="s">
        <v>655</v>
      </c>
      <c r="C23" s="102"/>
      <c r="D23" s="210"/>
      <c r="E23" s="866"/>
      <c r="F23" s="866"/>
      <c r="G23" s="866"/>
      <c r="H23" s="558"/>
    </row>
    <row r="24" spans="1:9">
      <c r="A24" s="151"/>
      <c r="B24" s="94" t="s">
        <v>656</v>
      </c>
      <c r="C24" s="102"/>
      <c r="D24" s="210"/>
      <c r="E24" s="866"/>
      <c r="F24" s="866"/>
      <c r="G24" s="866"/>
      <c r="H24" s="558"/>
    </row>
    <row r="25" spans="1:9">
      <c r="A25" s="151"/>
      <c r="B25" s="94" t="s">
        <v>775</v>
      </c>
      <c r="C25" s="102"/>
      <c r="D25" s="210"/>
      <c r="E25" s="866"/>
      <c r="F25" s="866"/>
      <c r="G25" s="866"/>
      <c r="H25" s="558"/>
    </row>
    <row r="26" spans="1:9" ht="15.75" customHeight="1">
      <c r="A26" s="151"/>
      <c r="B26" s="94" t="s">
        <v>762</v>
      </c>
      <c r="C26" s="102"/>
      <c r="D26" s="210"/>
      <c r="E26" s="1060"/>
      <c r="F26" s="1060"/>
      <c r="G26" s="1060"/>
      <c r="H26" s="1060"/>
      <c r="I26" s="1060"/>
    </row>
    <row r="27" spans="1:9" ht="16.5" thickBot="1">
      <c r="A27" s="520"/>
      <c r="B27" s="99"/>
      <c r="C27" s="716"/>
      <c r="D27" s="450"/>
      <c r="E27" s="1060"/>
      <c r="F27" s="1060"/>
      <c r="G27" s="1060"/>
      <c r="H27" s="1060"/>
      <c r="I27" s="1060"/>
    </row>
    <row r="28" spans="1:9">
      <c r="C28" s="102"/>
      <c r="D28" s="102"/>
    </row>
    <row r="29" spans="1:9">
      <c r="C29" s="102"/>
      <c r="D29" s="102"/>
    </row>
    <row r="30" spans="1:9">
      <c r="C30" s="102"/>
      <c r="D30" s="102"/>
    </row>
    <row r="31" spans="1:9">
      <c r="C31" s="102"/>
      <c r="D31" s="102"/>
    </row>
    <row r="32" spans="1:9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33" spans="2:2">
      <c r="B433" s="90" t="s">
        <v>811</v>
      </c>
    </row>
    <row r="562" spans="13:13">
      <c r="M562" s="90" t="s">
        <v>804</v>
      </c>
    </row>
    <row r="580" spans="2:2">
      <c r="B580" s="90" t="s">
        <v>822</v>
      </c>
    </row>
    <row r="594" spans="2:2">
      <c r="B594" s="90" t="s">
        <v>821</v>
      </c>
    </row>
    <row r="671" spans="2:2">
      <c r="B671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6" fitToHeight="0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>
    <tabColor rgb="FF92D050"/>
    <pageSetUpPr fitToPage="1"/>
  </sheetPr>
  <dimension ref="A1:M687"/>
  <sheetViews>
    <sheetView view="pageBreakPreview" zoomScale="60" zoomScaleNormal="100" workbookViewId="0">
      <selection activeCell="P27" sqref="P27"/>
    </sheetView>
  </sheetViews>
  <sheetFormatPr defaultColWidth="9.140625" defaultRowHeight="15.75"/>
  <cols>
    <col min="1" max="1" width="9.42578125" style="90" customWidth="1"/>
    <col min="2" max="2" width="63" style="90" customWidth="1"/>
    <col min="3" max="3" width="17.42578125" style="90" bestFit="1" customWidth="1"/>
    <col min="4" max="4" width="17.42578125" style="90" customWidth="1"/>
    <col min="5" max="16384" width="9.140625" style="90"/>
  </cols>
  <sheetData>
    <row r="1" spans="1:4">
      <c r="A1" s="1463" t="s">
        <v>175</v>
      </c>
      <c r="B1" s="1463"/>
      <c r="C1" s="1463"/>
      <c r="D1" s="1463"/>
    </row>
    <row r="2" spans="1:4">
      <c r="A2" s="91"/>
      <c r="B2" s="91"/>
      <c r="C2" s="91"/>
      <c r="D2" s="91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MANINAGAR!D74</f>
        <v>37918.81</v>
      </c>
      <c r="D7" s="97"/>
    </row>
    <row r="8" spans="1:4">
      <c r="A8" s="95"/>
      <c r="B8" s="94" t="s">
        <v>162</v>
      </c>
      <c r="C8" s="96">
        <f>MANINAGAR!E74</f>
        <v>37918.81</v>
      </c>
      <c r="D8" s="97"/>
    </row>
    <row r="9" spans="1:4">
      <c r="A9" s="95"/>
      <c r="B9" s="94" t="s">
        <v>195</v>
      </c>
      <c r="C9" s="96">
        <f>+MANINAGAR!F74</f>
        <v>0</v>
      </c>
      <c r="D9" s="97"/>
    </row>
    <row r="10" spans="1:4">
      <c r="A10" s="95"/>
      <c r="B10" s="94" t="s">
        <v>163</v>
      </c>
      <c r="C10" s="96"/>
      <c r="D10" s="97">
        <f>+C7+C8+C9</f>
        <v>75837.62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+D17+D18+D19-C16</f>
        <v>5841</v>
      </c>
      <c r="D15" s="97"/>
    </row>
    <row r="16" spans="1:4">
      <c r="A16" s="95"/>
      <c r="B16" s="94" t="s">
        <v>166</v>
      </c>
      <c r="C16" s="96">
        <f>+SUM(D17:D19)/2</f>
        <v>5841</v>
      </c>
      <c r="D16" s="97"/>
    </row>
    <row r="17" spans="1:4">
      <c r="A17" s="94"/>
      <c r="B17" s="94" t="s">
        <v>167</v>
      </c>
      <c r="C17" s="96"/>
      <c r="D17" s="97">
        <f>+MANINAGAR!D81</f>
        <v>5841</v>
      </c>
    </row>
    <row r="18" spans="1:4">
      <c r="A18" s="94"/>
      <c r="B18" s="94" t="s">
        <v>168</v>
      </c>
      <c r="C18" s="96"/>
      <c r="D18" s="97">
        <f>+MANINAGAR!E81</f>
        <v>5841</v>
      </c>
    </row>
    <row r="19" spans="1:4">
      <c r="A19" s="94"/>
      <c r="B19" s="94" t="s">
        <v>178</v>
      </c>
      <c r="C19" s="96"/>
      <c r="D19" s="97">
        <f>+MANINAGAR!F81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A22" s="150"/>
      <c r="B22" s="119"/>
      <c r="C22" s="205"/>
      <c r="D22" s="206"/>
    </row>
    <row r="23" spans="1:4">
      <c r="A23" s="956">
        <v>3</v>
      </c>
      <c r="B23" s="94" t="s">
        <v>161</v>
      </c>
      <c r="C23" s="96">
        <v>0</v>
      </c>
      <c r="D23" s="97"/>
    </row>
    <row r="24" spans="1:4">
      <c r="A24" s="151"/>
      <c r="B24" s="94" t="s">
        <v>162</v>
      </c>
      <c r="C24" s="96">
        <f>+C23</f>
        <v>0</v>
      </c>
      <c r="D24" s="97"/>
    </row>
    <row r="25" spans="1:4">
      <c r="A25" s="151"/>
      <c r="B25" s="94" t="s">
        <v>827</v>
      </c>
      <c r="C25" s="96"/>
      <c r="D25" s="97">
        <f>+C23+C24</f>
        <v>0</v>
      </c>
    </row>
    <row r="26" spans="1:4">
      <c r="A26" s="151"/>
      <c r="B26" s="94" t="s">
        <v>828</v>
      </c>
      <c r="C26" s="96"/>
      <c r="D26" s="97"/>
    </row>
    <row r="27" spans="1:4">
      <c r="A27" s="151"/>
      <c r="B27" s="94"/>
      <c r="C27" s="96"/>
      <c r="D27" s="97"/>
    </row>
    <row r="28" spans="1:4" ht="16.5" thickBot="1">
      <c r="A28" s="520"/>
      <c r="B28" s="99"/>
      <c r="C28" s="100"/>
      <c r="D28" s="101"/>
    </row>
    <row r="29" spans="1:4">
      <c r="C29" s="96"/>
      <c r="D29" s="96"/>
    </row>
    <row r="30" spans="1:4">
      <c r="C30" s="96"/>
      <c r="D30" s="96"/>
    </row>
    <row r="31" spans="1:4">
      <c r="C31" s="96"/>
      <c r="D31" s="96"/>
    </row>
    <row r="32" spans="1:4">
      <c r="C32" s="96"/>
      <c r="D32" s="96"/>
    </row>
    <row r="33" spans="3:4">
      <c r="C33" s="96"/>
      <c r="D33" s="96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57" spans="3:4">
      <c r="C57" s="102"/>
      <c r="D57" s="102"/>
    </row>
    <row r="58" spans="3:4">
      <c r="C58" s="102"/>
      <c r="D58" s="102"/>
    </row>
    <row r="59" spans="3:4">
      <c r="C59" s="102"/>
      <c r="D59" s="102"/>
    </row>
    <row r="60" spans="3:4">
      <c r="C60" s="102"/>
      <c r="D60" s="102"/>
    </row>
    <row r="61" spans="3:4">
      <c r="C61" s="102"/>
      <c r="D61" s="102"/>
    </row>
    <row r="449" spans="2:2">
      <c r="B449" s="90" t="s">
        <v>811</v>
      </c>
    </row>
    <row r="578" spans="13:13">
      <c r="M578" s="90" t="s">
        <v>804</v>
      </c>
    </row>
    <row r="596" spans="2:2">
      <c r="B596" s="90" t="s">
        <v>822</v>
      </c>
    </row>
    <row r="610" spans="2:2">
      <c r="B610" s="90" t="s">
        <v>821</v>
      </c>
    </row>
    <row r="687" spans="2:2">
      <c r="B687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92D050"/>
    <pageSetUpPr fitToPage="1"/>
  </sheetPr>
  <dimension ref="A1:M675"/>
  <sheetViews>
    <sheetView view="pageBreakPreview" zoomScale="60" zoomScaleNormal="100" workbookViewId="0">
      <selection activeCell="O24" sqref="O24"/>
    </sheetView>
  </sheetViews>
  <sheetFormatPr defaultColWidth="9.140625" defaultRowHeight="15.75"/>
  <cols>
    <col min="1" max="1" width="11.5703125" style="90" bestFit="1" customWidth="1"/>
    <col min="2" max="2" width="66.42578125" style="90" bestFit="1" customWidth="1"/>
    <col min="3" max="4" width="17.42578125" style="90" bestFit="1" customWidth="1"/>
    <col min="5" max="16384" width="9.140625" style="90"/>
  </cols>
  <sheetData>
    <row r="1" spans="1:8">
      <c r="A1" s="1463" t="s">
        <v>176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+'SHANTI COMM'!D74</f>
        <v>35384.32</v>
      </c>
      <c r="D7" s="97"/>
    </row>
    <row r="8" spans="1:8">
      <c r="A8" s="95"/>
      <c r="B8" s="94" t="s">
        <v>162</v>
      </c>
      <c r="C8" s="96">
        <f>+'SHANTI COMM'!E74</f>
        <v>35384.32</v>
      </c>
      <c r="D8" s="97"/>
    </row>
    <row r="9" spans="1:8">
      <c r="A9" s="95"/>
      <c r="B9" s="94" t="s">
        <v>195</v>
      </c>
      <c r="C9" s="96">
        <f>+'SHANTI COMM'!F74</f>
        <v>0</v>
      </c>
      <c r="D9" s="97"/>
    </row>
    <row r="10" spans="1:8">
      <c r="A10" s="95"/>
      <c r="B10" s="94" t="s">
        <v>163</v>
      </c>
      <c r="C10" s="96"/>
      <c r="D10" s="97">
        <f>+C7+C8+C9</f>
        <v>70768.639999999999</v>
      </c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AUG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 ht="16.5" customHeight="1">
      <c r="A14" s="124"/>
      <c r="B14" s="119"/>
      <c r="C14" s="205"/>
      <c r="D14" s="206"/>
      <c r="E14" s="779"/>
      <c r="F14" s="779"/>
      <c r="G14" s="779"/>
      <c r="H14" s="779"/>
    </row>
    <row r="15" spans="1:8" ht="16.5" customHeight="1">
      <c r="A15" s="95">
        <v>2</v>
      </c>
      <c r="B15" s="94" t="s">
        <v>165</v>
      </c>
      <c r="C15" s="96">
        <f>+D17+D18+D19-C16</f>
        <v>3659.22</v>
      </c>
      <c r="D15" s="97"/>
      <c r="E15" s="779"/>
      <c r="F15" s="779"/>
      <c r="G15" s="779"/>
      <c r="H15" s="779"/>
    </row>
    <row r="16" spans="1:8" ht="16.5" customHeight="1">
      <c r="A16" s="95"/>
      <c r="B16" s="94" t="s">
        <v>166</v>
      </c>
      <c r="C16" s="96">
        <f>+SUM(D17:D19)/2</f>
        <v>3659.22</v>
      </c>
      <c r="D16" s="97"/>
      <c r="E16" s="779"/>
      <c r="F16" s="779"/>
      <c r="G16" s="779"/>
      <c r="H16" s="779"/>
    </row>
    <row r="17" spans="1:8" ht="16.5" customHeight="1">
      <c r="A17" s="94"/>
      <c r="B17" s="94" t="s">
        <v>167</v>
      </c>
      <c r="C17" s="96"/>
      <c r="D17" s="97">
        <f>+'SHANTI COMM'!D81</f>
        <v>3659.22</v>
      </c>
      <c r="E17" s="779"/>
      <c r="F17" s="779"/>
      <c r="G17" s="779"/>
      <c r="H17" s="779"/>
    </row>
    <row r="18" spans="1:8" ht="16.5" customHeight="1">
      <c r="A18" s="94"/>
      <c r="B18" s="94" t="s">
        <v>168</v>
      </c>
      <c r="C18" s="96"/>
      <c r="D18" s="97">
        <f>+'SHANTI COMM'!E81</f>
        <v>3659.22</v>
      </c>
      <c r="E18" s="779"/>
      <c r="F18" s="779"/>
      <c r="G18" s="779"/>
      <c r="H18" s="779"/>
    </row>
    <row r="19" spans="1:8" ht="16.5" customHeight="1">
      <c r="A19" s="94"/>
      <c r="B19" s="94" t="s">
        <v>178</v>
      </c>
      <c r="C19" s="96"/>
      <c r="D19" s="97">
        <f>+'SHANTI COMM'!F81</f>
        <v>0</v>
      </c>
      <c r="E19" s="779"/>
      <c r="F19" s="779"/>
      <c r="G19" s="779"/>
      <c r="H19" s="779"/>
    </row>
    <row r="20" spans="1:8" ht="16.5" customHeight="1">
      <c r="A20" s="94"/>
      <c r="B20" s="94" t="str">
        <f>+ODHAV1!B20</f>
        <v>(BEING 50% SET OFF TRF TO EXPS PL4197 AND</v>
      </c>
      <c r="C20" s="96"/>
      <c r="D20" s="97"/>
      <c r="E20" s="779"/>
      <c r="F20" s="779"/>
      <c r="G20" s="779"/>
      <c r="H20" s="779"/>
    </row>
    <row r="21" spans="1:8" ht="17.25" customHeight="1" thickBot="1">
      <c r="A21" s="99"/>
      <c r="B21" s="99" t="str">
        <f>+ODHAV1!B21</f>
        <v>50% TRF TO HO)</v>
      </c>
      <c r="C21" s="100"/>
      <c r="D21" s="101"/>
      <c r="E21" s="779"/>
      <c r="F21" s="779"/>
      <c r="G21" s="779"/>
      <c r="H21" s="779"/>
    </row>
    <row r="22" spans="1:8" ht="16.5">
      <c r="A22" s="201"/>
      <c r="B22" s="202"/>
      <c r="C22" s="206"/>
      <c r="D22" s="206"/>
      <c r="E22"/>
      <c r="F22"/>
      <c r="G22"/>
      <c r="H22"/>
    </row>
    <row r="23" spans="1:8" ht="16.5">
      <c r="A23" s="95">
        <v>3</v>
      </c>
      <c r="B23" s="94" t="s">
        <v>655</v>
      </c>
      <c r="C23" s="97"/>
      <c r="D23" s="97"/>
      <c r="E23"/>
      <c r="F23"/>
      <c r="G23"/>
      <c r="H23"/>
    </row>
    <row r="24" spans="1:8" ht="16.5">
      <c r="A24" s="115"/>
      <c r="B24" s="94" t="s">
        <v>656</v>
      </c>
      <c r="C24" s="97"/>
      <c r="D24" s="97">
        <v>0</v>
      </c>
      <c r="E24"/>
      <c r="F24"/>
      <c r="G24"/>
      <c r="H24"/>
    </row>
    <row r="25" spans="1:8" ht="16.5">
      <c r="A25" s="115"/>
      <c r="B25" s="94" t="s">
        <v>663</v>
      </c>
      <c r="C25" s="97"/>
      <c r="D25" s="97">
        <f>+C24</f>
        <v>0</v>
      </c>
      <c r="E25"/>
      <c r="F25"/>
      <c r="G25"/>
      <c r="H25"/>
    </row>
    <row r="26" spans="1:8" ht="16.5">
      <c r="A26" s="115"/>
      <c r="B26" s="94" t="s">
        <v>664</v>
      </c>
      <c r="C26" s="97"/>
      <c r="D26" s="97">
        <f>+C24</f>
        <v>0</v>
      </c>
      <c r="E26"/>
      <c r="F26"/>
      <c r="G26"/>
      <c r="H26"/>
    </row>
    <row r="27" spans="1:8" ht="16.5">
      <c r="A27" s="115"/>
      <c r="B27" s="94" t="s">
        <v>662</v>
      </c>
      <c r="C27" s="712"/>
      <c r="D27" s="712"/>
      <c r="E27"/>
      <c r="F27"/>
      <c r="G27"/>
      <c r="H27"/>
    </row>
    <row r="28" spans="1:8" ht="16.5">
      <c r="A28" s="115"/>
      <c r="B28" s="91"/>
      <c r="C28" s="712"/>
      <c r="D28" s="712"/>
      <c r="E28"/>
      <c r="F28"/>
      <c r="G28"/>
      <c r="H28"/>
    </row>
    <row r="29" spans="1:8" ht="17.25" thickBot="1">
      <c r="A29" s="423"/>
      <c r="B29" s="711"/>
      <c r="C29" s="713"/>
      <c r="D29" s="713"/>
      <c r="E29"/>
      <c r="F29"/>
      <c r="G29"/>
      <c r="H29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7" fitToHeight="0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92D050"/>
    <pageSetUpPr fitToPage="1"/>
  </sheetPr>
  <dimension ref="A1:M675"/>
  <sheetViews>
    <sheetView view="pageBreakPreview" zoomScale="60" zoomScaleNormal="100" workbookViewId="0">
      <selection activeCell="N31" sqref="N31"/>
    </sheetView>
  </sheetViews>
  <sheetFormatPr defaultColWidth="9.140625" defaultRowHeight="15.75"/>
  <cols>
    <col min="1" max="1" width="11.5703125" style="91" bestFit="1" customWidth="1"/>
    <col min="2" max="2" width="72.5703125" style="91" bestFit="1" customWidth="1"/>
    <col min="3" max="3" width="18.7109375" style="91" customWidth="1"/>
    <col min="4" max="4" width="19.28515625" style="91" bestFit="1" customWidth="1"/>
    <col min="5" max="5" width="9.140625" style="91"/>
    <col min="6" max="6" width="19.28515625" style="91" bestFit="1" customWidth="1"/>
    <col min="7" max="16384" width="9.140625" style="91"/>
  </cols>
  <sheetData>
    <row r="1" spans="1:4">
      <c r="A1" s="1463" t="s">
        <v>177</v>
      </c>
      <c r="B1" s="1463"/>
      <c r="C1" s="1463"/>
      <c r="D1" s="1463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132">
        <v>1</v>
      </c>
      <c r="B7" s="94" t="s">
        <v>161</v>
      </c>
      <c r="C7" s="90">
        <v>0</v>
      </c>
      <c r="D7" s="115"/>
    </row>
    <row r="8" spans="1:4">
      <c r="A8" s="115"/>
      <c r="B8" s="94" t="s">
        <v>162</v>
      </c>
      <c r="C8" s="90">
        <v>0</v>
      </c>
      <c r="D8" s="115"/>
    </row>
    <row r="9" spans="1:4">
      <c r="A9" s="115"/>
      <c r="B9" s="557" t="s">
        <v>618</v>
      </c>
      <c r="D9" s="94">
        <v>0</v>
      </c>
    </row>
    <row r="10" spans="1:4">
      <c r="A10" s="115"/>
      <c r="B10" s="94" t="s">
        <v>619</v>
      </c>
      <c r="D10" s="115"/>
    </row>
    <row r="11" spans="1:4">
      <c r="A11" s="115"/>
      <c r="B11" s="94" t="s">
        <v>620</v>
      </c>
      <c r="D11" s="115"/>
    </row>
    <row r="12" spans="1:4">
      <c r="A12" s="115"/>
      <c r="B12" s="94" t="s">
        <v>621</v>
      </c>
      <c r="D12" s="115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120"/>
      <c r="D14" s="121"/>
    </row>
    <row r="15" spans="1:4">
      <c r="A15" s="95">
        <f>+A7+1</f>
        <v>2</v>
      </c>
      <c r="B15" s="94" t="s">
        <v>622</v>
      </c>
      <c r="C15" s="120">
        <v>0</v>
      </c>
      <c r="D15" s="121"/>
    </row>
    <row r="16" spans="1:4">
      <c r="A16" s="95"/>
      <c r="B16" s="94" t="s">
        <v>623</v>
      </c>
      <c r="C16" s="120">
        <v>0</v>
      </c>
      <c r="D16" s="121"/>
    </row>
    <row r="17" spans="1:7">
      <c r="A17" s="95"/>
      <c r="B17" s="577" t="s">
        <v>584</v>
      </c>
      <c r="C17" s="120"/>
      <c r="D17" s="121">
        <v>0</v>
      </c>
    </row>
    <row r="18" spans="1:7">
      <c r="A18" s="95"/>
      <c r="B18" s="577" t="s">
        <v>585</v>
      </c>
      <c r="C18" s="120"/>
      <c r="D18" s="121">
        <f>+D17</f>
        <v>0</v>
      </c>
      <c r="F18" s="396"/>
    </row>
    <row r="19" spans="1:7">
      <c r="A19" s="95"/>
      <c r="B19" s="94" t="s">
        <v>624</v>
      </c>
      <c r="C19" s="120"/>
      <c r="D19" s="121"/>
      <c r="F19" s="396"/>
    </row>
    <row r="20" spans="1:7">
      <c r="A20" s="95"/>
      <c r="B20" s="94" t="s">
        <v>625</v>
      </c>
      <c r="C20" s="120"/>
      <c r="D20" s="121"/>
    </row>
    <row r="21" spans="1:7">
      <c r="A21" s="95"/>
      <c r="B21" s="94"/>
      <c r="C21" s="120"/>
      <c r="D21" s="121"/>
    </row>
    <row r="22" spans="1:7" ht="16.5" thickBot="1">
      <c r="A22" s="98"/>
      <c r="B22" s="99"/>
      <c r="C22" s="122"/>
      <c r="D22" s="116"/>
    </row>
    <row r="23" spans="1:7">
      <c r="A23" s="95"/>
      <c r="B23" s="119"/>
      <c r="C23" s="96"/>
      <c r="D23" s="97"/>
      <c r="E23" s="1464"/>
      <c r="F23" s="1465"/>
      <c r="G23" s="1465"/>
    </row>
    <row r="24" spans="1:7">
      <c r="A24" s="95">
        <f>+A15+1</f>
        <v>3</v>
      </c>
      <c r="B24" s="94" t="s">
        <v>161</v>
      </c>
      <c r="C24" s="96">
        <f>+MASKATI!D74</f>
        <v>52486.98</v>
      </c>
      <c r="D24" s="97"/>
      <c r="E24" s="1464"/>
      <c r="F24" s="1465"/>
      <c r="G24" s="1465"/>
    </row>
    <row r="25" spans="1:7">
      <c r="A25" s="95"/>
      <c r="B25" s="94" t="s">
        <v>162</v>
      </c>
      <c r="C25" s="96">
        <f>+MASKATI!E74</f>
        <v>52486.98</v>
      </c>
      <c r="D25" s="97"/>
      <c r="E25" s="1464"/>
      <c r="F25" s="1465"/>
      <c r="G25" s="1465"/>
    </row>
    <row r="26" spans="1:7">
      <c r="A26" s="95"/>
      <c r="B26" s="94" t="s">
        <v>195</v>
      </c>
      <c r="C26" s="96">
        <f>+MASKATI!F74</f>
        <v>0</v>
      </c>
      <c r="D26" s="97"/>
      <c r="E26" s="1464"/>
      <c r="F26" s="1465"/>
      <c r="G26" s="1465"/>
    </row>
    <row r="27" spans="1:7">
      <c r="A27" s="95"/>
      <c r="B27" s="94" t="s">
        <v>163</v>
      </c>
      <c r="C27" s="96"/>
      <c r="D27" s="97">
        <f>+C24+C25+C26</f>
        <v>104973.96</v>
      </c>
      <c r="E27" s="1464"/>
      <c r="F27" s="1465"/>
      <c r="G27" s="1465"/>
    </row>
    <row r="28" spans="1:7">
      <c r="A28" s="95"/>
      <c r="B28" s="94" t="str">
        <f>+ODHAV1!B11</f>
        <v>(BEING GST PAYABLE FOR THE MONTH OF</v>
      </c>
      <c r="C28" s="96"/>
      <c r="D28" s="97"/>
    </row>
    <row r="29" spans="1:7">
      <c r="A29" s="95"/>
      <c r="B29" s="94" t="str">
        <f>+ODHAV1!B12</f>
        <v>AUG 2026 TRANSFER TO HO)</v>
      </c>
      <c r="C29" s="96"/>
      <c r="D29" s="97"/>
    </row>
    <row r="30" spans="1:7" ht="16.5" thickBot="1">
      <c r="A30" s="98"/>
      <c r="B30" s="99"/>
      <c r="C30" s="100"/>
      <c r="D30" s="97"/>
    </row>
    <row r="31" spans="1:7" ht="16.5">
      <c r="A31" s="95"/>
      <c r="B31" s="119"/>
      <c r="C31" s="120"/>
      <c r="D31" s="206"/>
      <c r="E31"/>
      <c r="F31"/>
    </row>
    <row r="32" spans="1:7" ht="16.5">
      <c r="A32" s="95">
        <f>+A24+1</f>
        <v>4</v>
      </c>
      <c r="B32" s="94" t="s">
        <v>165</v>
      </c>
      <c r="C32" s="120">
        <f>+D34+D35+D36-C33</f>
        <v>9299.99</v>
      </c>
      <c r="D32" s="97"/>
      <c r="E32"/>
      <c r="F32"/>
    </row>
    <row r="33" spans="1:6" ht="16.5">
      <c r="A33" s="95"/>
      <c r="B33" s="94" t="s">
        <v>166</v>
      </c>
      <c r="C33" s="120">
        <f>+SUM(D34:D36)/2</f>
        <v>9299.99</v>
      </c>
      <c r="D33" s="97"/>
      <c r="E33"/>
      <c r="F33"/>
    </row>
    <row r="34" spans="1:6" ht="15.75" customHeight="1">
      <c r="A34" s="94"/>
      <c r="B34" s="94" t="s">
        <v>167</v>
      </c>
      <c r="C34" s="120"/>
      <c r="D34" s="97">
        <f>+MASKATI!D81</f>
        <v>1753.22</v>
      </c>
      <c r="E34"/>
      <c r="F34"/>
    </row>
    <row r="35" spans="1:6" ht="16.5">
      <c r="A35" s="94"/>
      <c r="B35" s="94" t="s">
        <v>168</v>
      </c>
      <c r="C35" s="120"/>
      <c r="D35" s="97">
        <f>+MASKATI!E81</f>
        <v>1753.22</v>
      </c>
      <c r="E35"/>
      <c r="F35"/>
    </row>
    <row r="36" spans="1:6" ht="16.5">
      <c r="A36" s="94"/>
      <c r="B36" s="94" t="s">
        <v>178</v>
      </c>
      <c r="C36" s="120"/>
      <c r="D36" s="97">
        <f>+MASKATI!F81</f>
        <v>15093.54</v>
      </c>
      <c r="E36"/>
      <c r="F36"/>
    </row>
    <row r="37" spans="1:6" ht="16.5">
      <c r="A37" s="94"/>
      <c r="B37" s="648" t="str">
        <f>+ODHAV1!B20</f>
        <v>(BEING 50% SET OFF TRF TO EXPS PL4197 AND</v>
      </c>
      <c r="C37" s="120"/>
      <c r="D37" s="97"/>
      <c r="E37"/>
      <c r="F37"/>
    </row>
    <row r="38" spans="1:6" ht="17.25" thickBot="1">
      <c r="A38" s="99"/>
      <c r="B38" s="655" t="str">
        <f>+ODHAV1!B21</f>
        <v>50% TRF TO HO)</v>
      </c>
      <c r="C38" s="122"/>
      <c r="D38" s="101"/>
      <c r="E38"/>
      <c r="F38"/>
    </row>
    <row r="39" spans="1:6" ht="16.5">
      <c r="A39" s="95"/>
      <c r="B39" s="119"/>
      <c r="C39" s="120"/>
      <c r="D39" s="123"/>
      <c r="E39"/>
      <c r="F39"/>
    </row>
    <row r="40" spans="1:6" ht="16.5">
      <c r="A40" s="95">
        <v>5</v>
      </c>
      <c r="B40" s="94" t="s">
        <v>651</v>
      </c>
      <c r="C40" s="120">
        <f>+D41+D42</f>
        <v>0</v>
      </c>
      <c r="D40" s="121"/>
      <c r="E40"/>
      <c r="F40"/>
    </row>
    <row r="41" spans="1:6" ht="16.5">
      <c r="A41" s="95"/>
      <c r="B41" s="94" t="s">
        <v>649</v>
      </c>
      <c r="C41" s="120"/>
      <c r="D41" s="121">
        <v>0</v>
      </c>
      <c r="E41"/>
      <c r="F41"/>
    </row>
    <row r="42" spans="1:6" ht="16.5">
      <c r="A42" s="94"/>
      <c r="B42" s="94" t="s">
        <v>650</v>
      </c>
      <c r="C42" s="120"/>
      <c r="D42" s="121">
        <v>0</v>
      </c>
      <c r="E42"/>
      <c r="F42"/>
    </row>
    <row r="43" spans="1:6" ht="16.5">
      <c r="A43" s="94"/>
      <c r="B43" s="94" t="s">
        <v>652</v>
      </c>
      <c r="C43" s="120"/>
      <c r="D43" s="121"/>
      <c r="E43"/>
      <c r="F43"/>
    </row>
    <row r="44" spans="1:6" ht="17.25" thickBot="1">
      <c r="A44" s="99"/>
      <c r="B44" s="655" t="s">
        <v>653</v>
      </c>
      <c r="C44" s="122"/>
      <c r="D44" s="116"/>
      <c r="E44"/>
      <c r="F44"/>
    </row>
    <row r="45" spans="1:6">
      <c r="C45" s="178"/>
      <c r="D45" s="178"/>
    </row>
    <row r="46" spans="1:6">
      <c r="C46" s="178"/>
      <c r="D46" s="178"/>
    </row>
    <row r="47" spans="1:6">
      <c r="C47" s="178"/>
      <c r="D47" s="178"/>
    </row>
    <row r="437" spans="2:2">
      <c r="B437" s="91" t="s">
        <v>811</v>
      </c>
    </row>
    <row r="566" spans="13:13">
      <c r="M566" s="91" t="s">
        <v>804</v>
      </c>
    </row>
    <row r="584" spans="2:2">
      <c r="B584" s="91" t="s">
        <v>822</v>
      </c>
    </row>
    <row r="598" spans="2:2">
      <c r="B598" s="91" t="s">
        <v>821</v>
      </c>
    </row>
    <row r="675" spans="2:2">
      <c r="B675" s="91" t="s">
        <v>820</v>
      </c>
    </row>
  </sheetData>
  <mergeCells count="3">
    <mergeCell ref="A1:D1"/>
    <mergeCell ref="A3:D3"/>
    <mergeCell ref="E23:G27"/>
  </mergeCells>
  <pageMargins left="0.7" right="0.7" top="0.75" bottom="0.75" header="0.3" footer="0.3"/>
  <pageSetup paperSize="9" scale="71" fitToHeight="0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>
    <tabColor rgb="FF92D050"/>
    <pageSetUpPr fitToPage="1"/>
  </sheetPr>
  <dimension ref="A1:M675"/>
  <sheetViews>
    <sheetView view="pageBreakPreview" zoomScale="60" zoomScaleNormal="100" workbookViewId="0">
      <selection activeCell="J25" sqref="J25"/>
    </sheetView>
  </sheetViews>
  <sheetFormatPr defaultColWidth="9.140625" defaultRowHeight="15.75"/>
  <cols>
    <col min="1" max="1" width="11.5703125" style="90" bestFit="1" customWidth="1"/>
    <col min="2" max="2" width="88.140625" style="90" bestFit="1" customWidth="1"/>
    <col min="3" max="3" width="19.85546875" style="90" customWidth="1"/>
    <col min="4" max="4" width="24.85546875" style="90" customWidth="1"/>
    <col min="5" max="5" width="14.42578125" style="90" bestFit="1" customWidth="1"/>
    <col min="6" max="6" width="11.85546875" style="90" bestFit="1" customWidth="1"/>
    <col min="7" max="16384" width="9.140625" style="90"/>
  </cols>
  <sheetData>
    <row r="1" spans="1:6">
      <c r="A1" s="1463" t="s">
        <v>179</v>
      </c>
      <c r="B1" s="1463"/>
      <c r="C1" s="1463"/>
      <c r="D1" s="1463"/>
    </row>
    <row r="2" spans="1:6">
      <c r="A2" s="91"/>
      <c r="B2" s="91"/>
      <c r="C2" s="91"/>
      <c r="D2" s="91"/>
    </row>
    <row r="3" spans="1:6">
      <c r="A3" s="1463" t="str">
        <f>+ODHAV1!$A$3</f>
        <v>GST ENTRIES FOR THE MONTH OF SEP 2026</v>
      </c>
      <c r="B3" s="1463"/>
      <c r="C3" s="1463"/>
      <c r="D3" s="1463"/>
    </row>
    <row r="4" spans="1:6" ht="16.5" thickBot="1"/>
    <row r="5" spans="1:6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6">
      <c r="A6" s="94"/>
      <c r="B6" s="94"/>
      <c r="D6" s="94"/>
    </row>
    <row r="7" spans="1:6">
      <c r="A7" s="95">
        <v>1</v>
      </c>
      <c r="B7" s="94" t="s">
        <v>161</v>
      </c>
      <c r="C7" s="96">
        <f>+VEJALPUR!D74</f>
        <v>41204.050000000003</v>
      </c>
      <c r="D7" s="97"/>
      <c r="F7" s="104"/>
    </row>
    <row r="8" spans="1:6">
      <c r="A8" s="95"/>
      <c r="B8" s="94" t="s">
        <v>162</v>
      </c>
      <c r="C8" s="96">
        <f>+VEJALPUR!E74</f>
        <v>41204.050000000003</v>
      </c>
      <c r="D8" s="97"/>
    </row>
    <row r="9" spans="1:6">
      <c r="A9" s="95"/>
      <c r="B9" s="94" t="s">
        <v>195</v>
      </c>
      <c r="C9" s="96">
        <f>+VEJALPUR!F74</f>
        <v>0</v>
      </c>
      <c r="D9" s="97"/>
    </row>
    <row r="10" spans="1:6">
      <c r="A10" s="95"/>
      <c r="B10" s="94" t="s">
        <v>163</v>
      </c>
      <c r="C10" s="96"/>
      <c r="D10" s="97">
        <f>+C7+C8+C9</f>
        <v>82408.100000000006</v>
      </c>
    </row>
    <row r="11" spans="1:6">
      <c r="A11" s="95"/>
      <c r="B11" s="94" t="str">
        <f>+ODHAV1!B11</f>
        <v>(BEING GST PAYABLE FOR THE MONTH OF</v>
      </c>
      <c r="C11" s="96"/>
      <c r="D11" s="97"/>
    </row>
    <row r="12" spans="1:6">
      <c r="A12" s="95"/>
      <c r="B12" s="94" t="str">
        <f>+ODHAV1!B12</f>
        <v>AUG 2026 TRANSFER TO HO)</v>
      </c>
      <c r="C12" s="96"/>
      <c r="D12" s="97"/>
    </row>
    <row r="13" spans="1:6" ht="16.5" thickBot="1">
      <c r="A13" s="98"/>
      <c r="B13" s="99"/>
      <c r="C13" s="100"/>
      <c r="D13" s="101"/>
    </row>
    <row r="14" spans="1:6">
      <c r="A14" s="95"/>
      <c r="B14" s="119"/>
      <c r="C14" s="96"/>
      <c r="D14" s="97"/>
    </row>
    <row r="15" spans="1:6">
      <c r="A15" s="95">
        <v>2</v>
      </c>
      <c r="B15" s="94" t="s">
        <v>165</v>
      </c>
      <c r="C15" s="96">
        <f>+D17+D18+D19-C16</f>
        <v>1660.86</v>
      </c>
      <c r="D15" s="97"/>
    </row>
    <row r="16" spans="1:6">
      <c r="A16" s="95"/>
      <c r="B16" s="94" t="s">
        <v>166</v>
      </c>
      <c r="C16" s="96">
        <f>+SUM(D17:D19)/2</f>
        <v>1660.86</v>
      </c>
      <c r="D16" s="97"/>
    </row>
    <row r="17" spans="1:4">
      <c r="A17" s="94"/>
      <c r="B17" s="94" t="s">
        <v>167</v>
      </c>
      <c r="C17" s="96"/>
      <c r="D17" s="97">
        <f>+VEJALPUR!D81</f>
        <v>1660.86</v>
      </c>
    </row>
    <row r="18" spans="1:4">
      <c r="A18" s="94"/>
      <c r="B18" s="94" t="s">
        <v>168</v>
      </c>
      <c r="C18" s="96"/>
      <c r="D18" s="97">
        <f>+VEJALPUR!E81</f>
        <v>1660.86</v>
      </c>
    </row>
    <row r="19" spans="1:4">
      <c r="A19" s="94"/>
      <c r="B19" s="94" t="s">
        <v>178</v>
      </c>
      <c r="C19" s="96"/>
      <c r="D19" s="97">
        <f>+VEJALPUR!F81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A22" s="119"/>
      <c r="B22" s="465"/>
      <c r="C22" s="689"/>
      <c r="D22" s="689"/>
    </row>
    <row r="23" spans="1:4">
      <c r="A23" s="95">
        <v>3</v>
      </c>
      <c r="B23" s="90" t="s">
        <v>166</v>
      </c>
      <c r="C23" s="97">
        <v>0</v>
      </c>
      <c r="D23" s="97"/>
    </row>
    <row r="24" spans="1:4">
      <c r="A24" s="94"/>
      <c r="B24" s="90" t="s">
        <v>794</v>
      </c>
      <c r="C24" s="97"/>
      <c r="D24" s="97">
        <v>0</v>
      </c>
    </row>
    <row r="25" spans="1:4">
      <c r="A25" s="94"/>
      <c r="B25" s="90" t="s">
        <v>795</v>
      </c>
      <c r="C25" s="97"/>
      <c r="D25" s="97">
        <v>0</v>
      </c>
    </row>
    <row r="26" spans="1:4">
      <c r="A26" s="94"/>
      <c r="B26" s="90" t="s">
        <v>796</v>
      </c>
      <c r="C26" s="897"/>
      <c r="D26" s="897"/>
    </row>
    <row r="27" spans="1:4" ht="16.5" thickBot="1">
      <c r="A27" s="99"/>
      <c r="B27" s="425"/>
      <c r="C27" s="914"/>
      <c r="D27" s="914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60" fitToHeight="0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92D050"/>
    <pageSetUpPr fitToPage="1"/>
  </sheetPr>
  <dimension ref="A1:M675"/>
  <sheetViews>
    <sheetView view="pageBreakPreview" zoomScale="60" zoomScaleNormal="100" workbookViewId="0">
      <selection activeCell="N27" sqref="N26:N27"/>
    </sheetView>
  </sheetViews>
  <sheetFormatPr defaultColWidth="9.140625" defaultRowHeight="15.75"/>
  <cols>
    <col min="1" max="1" width="11.5703125" style="90" bestFit="1" customWidth="1"/>
    <col min="2" max="2" width="62.7109375" style="90" customWidth="1"/>
    <col min="3" max="3" width="19.140625" style="90" bestFit="1" customWidth="1"/>
    <col min="4" max="4" width="18.7109375" style="90" customWidth="1"/>
    <col min="5" max="5" width="9.140625" style="90" hidden="1" customWidth="1"/>
    <col min="6" max="6" width="9.140625" style="90"/>
    <col min="7" max="7" width="14.28515625" style="90" bestFit="1" customWidth="1"/>
    <col min="8" max="16384" width="9.140625" style="90"/>
  </cols>
  <sheetData>
    <row r="1" spans="1:9">
      <c r="A1" s="1463" t="s">
        <v>180</v>
      </c>
      <c r="B1" s="1463"/>
      <c r="C1" s="1463"/>
      <c r="D1" s="1463"/>
    </row>
    <row r="2" spans="1:9">
      <c r="A2" s="91"/>
      <c r="B2" s="91"/>
      <c r="C2" s="91"/>
      <c r="D2" s="91"/>
    </row>
    <row r="3" spans="1:9">
      <c r="A3" s="1463" t="str">
        <f>+ODHAV1!$A$3</f>
        <v>GST ENTRIES FOR THE MONTH OF SEP 2026</v>
      </c>
      <c r="B3" s="1463"/>
      <c r="C3" s="1463"/>
      <c r="D3" s="1463"/>
    </row>
    <row r="4" spans="1:9" ht="16.5" thickBot="1"/>
    <row r="5" spans="1:9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9">
      <c r="A6" s="94"/>
      <c r="B6" s="94"/>
      <c r="D6" s="94"/>
    </row>
    <row r="7" spans="1:9">
      <c r="A7" s="95">
        <v>1</v>
      </c>
      <c r="B7" s="94" t="s">
        <v>161</v>
      </c>
      <c r="C7" s="96">
        <f>+'JODHPUR-SATELLITE'!D74</f>
        <v>44003.91</v>
      </c>
      <c r="D7" s="97"/>
      <c r="G7" s="781"/>
      <c r="H7" s="781"/>
      <c r="I7" s="781"/>
    </row>
    <row r="8" spans="1:9">
      <c r="A8" s="95"/>
      <c r="B8" s="94" t="s">
        <v>162</v>
      </c>
      <c r="C8" s="96">
        <f>+'JODHPUR-SATELLITE'!E74</f>
        <v>44003.91</v>
      </c>
      <c r="D8" s="97"/>
      <c r="G8" s="781"/>
      <c r="H8" s="781"/>
      <c r="I8" s="781"/>
    </row>
    <row r="9" spans="1:9">
      <c r="A9" s="95"/>
      <c r="B9" s="94" t="s">
        <v>195</v>
      </c>
      <c r="C9" s="96">
        <f>+'JODHPUR-SATELLITE'!F74</f>
        <v>0</v>
      </c>
      <c r="D9" s="97"/>
      <c r="G9" s="781"/>
      <c r="H9" s="781"/>
      <c r="I9" s="781"/>
    </row>
    <row r="10" spans="1:9">
      <c r="A10" s="95"/>
      <c r="B10" s="94" t="s">
        <v>163</v>
      </c>
      <c r="C10" s="96"/>
      <c r="D10" s="97">
        <f>+C7+C8+C9</f>
        <v>88007.82</v>
      </c>
      <c r="G10" s="781"/>
      <c r="H10" s="781"/>
      <c r="I10" s="781"/>
    </row>
    <row r="11" spans="1:9">
      <c r="A11" s="95"/>
      <c r="B11" s="94" t="str">
        <f>+ODHAV1!B11</f>
        <v>(BEING GST PAYABLE FOR THE MONTH OF</v>
      </c>
      <c r="C11" s="96"/>
      <c r="D11" s="97"/>
    </row>
    <row r="12" spans="1:9">
      <c r="A12" s="95"/>
      <c r="B12" s="94" t="str">
        <f>+ODHAV1!B12</f>
        <v>AUG 2026 TRANSFER TO HO)</v>
      </c>
      <c r="C12" s="96"/>
      <c r="D12" s="97"/>
    </row>
    <row r="13" spans="1:9" ht="16.5" thickBot="1">
      <c r="A13" s="98"/>
      <c r="B13" s="99"/>
      <c r="C13" s="100"/>
      <c r="D13" s="101"/>
    </row>
    <row r="14" spans="1:9">
      <c r="A14" s="95"/>
      <c r="B14" s="94"/>
      <c r="C14" s="96"/>
      <c r="D14" s="97"/>
    </row>
    <row r="15" spans="1:9">
      <c r="A15" s="95">
        <v>2</v>
      </c>
      <c r="B15" s="94" t="s">
        <v>560</v>
      </c>
      <c r="C15" s="96">
        <v>0</v>
      </c>
      <c r="D15" s="97"/>
      <c r="G15" s="102"/>
    </row>
    <row r="16" spans="1:9">
      <c r="A16" s="95"/>
      <c r="B16" s="94" t="s">
        <v>167</v>
      </c>
      <c r="C16" s="96"/>
      <c r="D16" s="97">
        <v>0</v>
      </c>
    </row>
    <row r="17" spans="1:4">
      <c r="A17" s="95"/>
      <c r="B17" s="94" t="s">
        <v>168</v>
      </c>
      <c r="C17" s="96"/>
      <c r="D17" s="97">
        <v>0</v>
      </c>
    </row>
    <row r="18" spans="1:4">
      <c r="A18" s="95"/>
      <c r="B18" s="94" t="s">
        <v>556</v>
      </c>
      <c r="C18" s="96"/>
      <c r="D18" s="97"/>
    </row>
    <row r="19" spans="1:4">
      <c r="A19" s="95"/>
      <c r="B19" s="94" t="s">
        <v>561</v>
      </c>
      <c r="C19" s="96"/>
      <c r="D19" s="97"/>
    </row>
    <row r="20" spans="1:4" ht="16.5" thickBot="1">
      <c r="A20" s="98"/>
      <c r="B20" s="99"/>
      <c r="C20" s="100"/>
      <c r="D20" s="101"/>
    </row>
    <row r="21" spans="1:4" ht="15.75" customHeight="1">
      <c r="A21" s="95"/>
      <c r="B21" s="94"/>
      <c r="C21" s="96"/>
      <c r="D21" s="97"/>
    </row>
    <row r="22" spans="1:4">
      <c r="A22" s="95">
        <f>+A15+1</f>
        <v>3</v>
      </c>
      <c r="B22" s="94" t="s">
        <v>165</v>
      </c>
      <c r="C22" s="96">
        <f>+D24+D25+D26-C23</f>
        <v>4170.6000000000004</v>
      </c>
      <c r="D22" s="97"/>
    </row>
    <row r="23" spans="1:4">
      <c r="A23" s="95"/>
      <c r="B23" s="94" t="s">
        <v>166</v>
      </c>
      <c r="C23" s="96">
        <f>+SUM(D24:D26)/2</f>
        <v>4170.6000000000004</v>
      </c>
      <c r="D23" s="97"/>
    </row>
    <row r="24" spans="1:4">
      <c r="A24" s="94"/>
      <c r="B24" s="94" t="s">
        <v>167</v>
      </c>
      <c r="C24" s="96"/>
      <c r="D24" s="97">
        <f>+'JODHPUR-SATELLITE'!D81</f>
        <v>4170.6000000000004</v>
      </c>
    </row>
    <row r="25" spans="1:4">
      <c r="A25" s="94"/>
      <c r="B25" s="94" t="s">
        <v>168</v>
      </c>
      <c r="C25" s="96"/>
      <c r="D25" s="97">
        <f>+'JODHPUR-SATELLITE'!E81</f>
        <v>4170.6000000000004</v>
      </c>
    </row>
    <row r="26" spans="1:4">
      <c r="A26" s="94"/>
      <c r="B26" s="94" t="s">
        <v>178</v>
      </c>
      <c r="C26" s="96"/>
      <c r="D26" s="97">
        <f>+'JODHPUR-SATELLITE'!F81</f>
        <v>0</v>
      </c>
    </row>
    <row r="27" spans="1:4">
      <c r="A27" s="94"/>
      <c r="B27" s="94" t="str">
        <f>+ODHAV1!B20</f>
        <v>(BEING 50% SET OFF TRF TO EXPS PL4197 AND</v>
      </c>
      <c r="C27" s="96"/>
      <c r="D27" s="97"/>
    </row>
    <row r="28" spans="1:4" ht="16.5" thickBot="1">
      <c r="A28" s="99"/>
      <c r="B28" s="99" t="str">
        <f>+ODHAV1!B21</f>
        <v>50% TRF TO HO)</v>
      </c>
      <c r="C28" s="100"/>
      <c r="D28" s="101"/>
    </row>
    <row r="29" spans="1:4">
      <c r="A29" s="150"/>
      <c r="B29" s="119"/>
      <c r="C29" s="689"/>
      <c r="D29" s="686"/>
    </row>
    <row r="30" spans="1:4">
      <c r="A30" s="151">
        <v>4</v>
      </c>
      <c r="B30" s="94" t="s">
        <v>166</v>
      </c>
      <c r="C30" s="210">
        <f>+D31+D32</f>
        <v>0</v>
      </c>
      <c r="D30" s="687"/>
    </row>
    <row r="31" spans="1:4">
      <c r="A31" s="151"/>
      <c r="B31" s="94" t="s">
        <v>663</v>
      </c>
      <c r="C31" s="210"/>
      <c r="D31" s="687">
        <v>0</v>
      </c>
    </row>
    <row r="32" spans="1:4">
      <c r="A32" s="151"/>
      <c r="B32" s="94" t="s">
        <v>664</v>
      </c>
      <c r="C32" s="210"/>
      <c r="D32" s="687">
        <f>+D31</f>
        <v>0</v>
      </c>
    </row>
    <row r="33" spans="1:4">
      <c r="A33" s="151"/>
      <c r="B33" s="94" t="s">
        <v>670</v>
      </c>
      <c r="C33" s="210"/>
      <c r="D33" s="687"/>
    </row>
    <row r="34" spans="1:4" ht="16.5" thickBot="1">
      <c r="A34" s="520"/>
      <c r="B34" s="714" t="s">
        <v>671</v>
      </c>
      <c r="C34" s="450"/>
      <c r="D34" s="688"/>
    </row>
    <row r="35" spans="1:4">
      <c r="A35" s="150"/>
      <c r="B35" s="119"/>
      <c r="C35" s="689"/>
      <c r="D35" s="686"/>
    </row>
    <row r="36" spans="1:4">
      <c r="A36" s="151">
        <v>5</v>
      </c>
      <c r="B36" s="94" t="s">
        <v>161</v>
      </c>
      <c r="C36" s="210">
        <v>0</v>
      </c>
      <c r="D36" s="687"/>
    </row>
    <row r="37" spans="1:4">
      <c r="A37" s="151"/>
      <c r="B37" s="94" t="s">
        <v>162</v>
      </c>
      <c r="C37" s="210">
        <v>0</v>
      </c>
      <c r="D37" s="687"/>
    </row>
    <row r="38" spans="1:4">
      <c r="A38" s="151"/>
      <c r="B38" s="94" t="s">
        <v>163</v>
      </c>
      <c r="C38" s="210"/>
      <c r="D38" s="687">
        <f>+C36+C37</f>
        <v>0</v>
      </c>
    </row>
    <row r="39" spans="1:4">
      <c r="A39" s="151"/>
      <c r="B39" s="94" t="s">
        <v>164</v>
      </c>
      <c r="C39" s="210"/>
      <c r="D39" s="687"/>
    </row>
    <row r="40" spans="1:4" ht="16.5" thickBot="1">
      <c r="A40" s="520"/>
      <c r="B40" s="99" t="s">
        <v>669</v>
      </c>
      <c r="C40" s="450"/>
      <c r="D40" s="688"/>
    </row>
    <row r="41" spans="1:4">
      <c r="C41" s="102"/>
      <c r="D41" s="102"/>
    </row>
    <row r="42" spans="1:4">
      <c r="C42" s="102"/>
      <c r="D42" s="102"/>
    </row>
    <row r="43" spans="1:4">
      <c r="C43" s="102"/>
      <c r="D43" s="102"/>
    </row>
    <row r="44" spans="1:4">
      <c r="C44" s="102"/>
      <c r="D44" s="102"/>
    </row>
    <row r="45" spans="1:4">
      <c r="C45" s="102"/>
      <c r="D45" s="102"/>
    </row>
    <row r="46" spans="1:4">
      <c r="C46" s="102"/>
      <c r="D46" s="102"/>
    </row>
    <row r="47" spans="1:4">
      <c r="C47" s="102"/>
      <c r="D47" s="102"/>
    </row>
    <row r="48" spans="1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8" fitToHeight="0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>
    <tabColor rgb="FF92D050"/>
    <pageSetUpPr fitToPage="1"/>
  </sheetPr>
  <dimension ref="A1:N675"/>
  <sheetViews>
    <sheetView view="pageBreakPreview" topLeftCell="A4" zoomScale="60" zoomScaleNormal="100" workbookViewId="0">
      <selection activeCell="K28" sqref="K28"/>
    </sheetView>
  </sheetViews>
  <sheetFormatPr defaultColWidth="9.140625" defaultRowHeight="15.75"/>
  <cols>
    <col min="1" max="1" width="11.5703125" style="90" bestFit="1" customWidth="1"/>
    <col min="2" max="2" width="68.85546875" style="90" customWidth="1"/>
    <col min="3" max="3" width="19.140625" style="90" bestFit="1" customWidth="1"/>
    <col min="4" max="4" width="20.140625" style="90" bestFit="1" customWidth="1"/>
    <col min="5" max="16384" width="9.140625" style="90"/>
  </cols>
  <sheetData>
    <row r="1" spans="1:4">
      <c r="A1" s="1463" t="s">
        <v>181</v>
      </c>
      <c r="B1" s="1463"/>
      <c r="C1" s="1463"/>
      <c r="D1" s="1463"/>
    </row>
    <row r="2" spans="1:4">
      <c r="A2" s="91"/>
      <c r="B2" s="91"/>
      <c r="C2" s="91"/>
      <c r="D2" s="91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C6" s="94"/>
      <c r="D6" s="94"/>
    </row>
    <row r="7" spans="1:4">
      <c r="A7" s="95">
        <v>1</v>
      </c>
      <c r="B7" s="94" t="s">
        <v>161</v>
      </c>
      <c r="C7" s="97">
        <f>+PANJRAPOLE!D74</f>
        <v>68413.73</v>
      </c>
      <c r="D7" s="97"/>
    </row>
    <row r="8" spans="1:4">
      <c r="A8" s="95"/>
      <c r="B8" s="94" t="s">
        <v>162</v>
      </c>
      <c r="C8" s="97">
        <f>+PANJRAPOLE!E74</f>
        <v>68413.73</v>
      </c>
      <c r="D8" s="97"/>
    </row>
    <row r="9" spans="1:4">
      <c r="A9" s="95"/>
      <c r="B9" s="94" t="s">
        <v>195</v>
      </c>
      <c r="C9" s="97">
        <f>+PANJRAPOLE!F74</f>
        <v>0</v>
      </c>
      <c r="D9" s="97"/>
    </row>
    <row r="10" spans="1:4">
      <c r="A10" s="95"/>
      <c r="B10" s="94" t="s">
        <v>163</v>
      </c>
      <c r="C10" s="97"/>
      <c r="D10" s="97">
        <f>+C7+C8+C9</f>
        <v>136827.46</v>
      </c>
    </row>
    <row r="11" spans="1:4">
      <c r="A11" s="95"/>
      <c r="B11" s="94" t="str">
        <f>+ODHAV1!B11</f>
        <v>(BEING GST PAYABLE FOR THE MONTH OF</v>
      </c>
      <c r="C11" s="97"/>
      <c r="D11" s="97"/>
    </row>
    <row r="12" spans="1:4">
      <c r="A12" s="95"/>
      <c r="B12" s="94" t="str">
        <f>+ODHAV1!B12</f>
        <v>AUG 2026 TRANSFER TO HO)</v>
      </c>
      <c r="C12" s="97"/>
      <c r="D12" s="97"/>
    </row>
    <row r="13" spans="1:4" ht="16.5" thickBot="1">
      <c r="A13" s="98"/>
      <c r="B13" s="99"/>
      <c r="C13" s="101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+D17+D18+D19-C16</f>
        <v>26436.080000000002</v>
      </c>
      <c r="D15" s="97"/>
    </row>
    <row r="16" spans="1:4">
      <c r="A16" s="95"/>
      <c r="B16" s="94" t="s">
        <v>166</v>
      </c>
      <c r="C16" s="96">
        <f>+SUM(D17:D19)/2</f>
        <v>26436.080000000002</v>
      </c>
      <c r="D16" s="97"/>
    </row>
    <row r="17" spans="1:14">
      <c r="A17" s="94"/>
      <c r="B17" s="94" t="s">
        <v>167</v>
      </c>
      <c r="C17" s="96"/>
      <c r="D17" s="97">
        <f>+PANJRAPOLE!D81</f>
        <v>26436.080000000002</v>
      </c>
    </row>
    <row r="18" spans="1:14">
      <c r="A18" s="94"/>
      <c r="B18" s="94" t="s">
        <v>168</v>
      </c>
      <c r="C18" s="96"/>
      <c r="D18" s="97">
        <f>+PANJRAPOLE!E81</f>
        <v>26436.080000000002</v>
      </c>
    </row>
    <row r="19" spans="1:14">
      <c r="A19" s="94"/>
      <c r="B19" s="94" t="s">
        <v>178</v>
      </c>
      <c r="C19" s="96"/>
      <c r="D19" s="97">
        <f>+PANJRAPOLE!F81</f>
        <v>0</v>
      </c>
    </row>
    <row r="20" spans="1:14">
      <c r="A20" s="94"/>
      <c r="B20" s="94" t="str">
        <f>+ODHAV1!B20</f>
        <v>(BEING 50% SET OFF TRF TO EXPS PL4197 AND</v>
      </c>
      <c r="C20" s="96"/>
      <c r="D20" s="97"/>
    </row>
    <row r="21" spans="1:14" ht="16.5" thickBot="1">
      <c r="A21" s="99"/>
      <c r="B21" s="99" t="str">
        <f>+ODHAV1!B21</f>
        <v>50% TRF TO HO)</v>
      </c>
      <c r="C21" s="100"/>
      <c r="D21" s="101"/>
    </row>
    <row r="22" spans="1:14">
      <c r="C22" s="102"/>
      <c r="D22" s="102"/>
    </row>
    <row r="23" spans="1:14">
      <c r="C23" s="102"/>
      <c r="D23" s="102"/>
    </row>
    <row r="24" spans="1:14">
      <c r="C24" s="102"/>
      <c r="D24" s="102"/>
    </row>
    <row r="25" spans="1:14">
      <c r="C25" s="102"/>
      <c r="D25" s="102"/>
    </row>
    <row r="26" spans="1:14">
      <c r="C26" s="102"/>
      <c r="D26" s="102"/>
    </row>
    <row r="27" spans="1:14">
      <c r="C27" s="102"/>
      <c r="D27" s="102"/>
      <c r="N27" s="90" t="s">
        <v>5</v>
      </c>
    </row>
    <row r="28" spans="1:14">
      <c r="C28" s="102"/>
      <c r="D28" s="102"/>
    </row>
    <row r="29" spans="1:14">
      <c r="C29" s="102"/>
      <c r="D29" s="102"/>
    </row>
    <row r="30" spans="1:14">
      <c r="C30" s="102"/>
      <c r="D30" s="102"/>
    </row>
    <row r="31" spans="1:14">
      <c r="C31" s="102"/>
      <c r="D31" s="102"/>
    </row>
    <row r="32" spans="1:1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3" fitToHeight="0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>
    <tabColor rgb="FF92D050"/>
    <pageSetUpPr fitToPage="1"/>
  </sheetPr>
  <dimension ref="A1:M675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5703125" style="90" bestFit="1" customWidth="1"/>
    <col min="2" max="2" width="61.42578125" style="90" bestFit="1" customWidth="1"/>
    <col min="3" max="4" width="17.42578125" style="90" bestFit="1" customWidth="1"/>
    <col min="5" max="16384" width="9.140625" style="90"/>
  </cols>
  <sheetData>
    <row r="1" spans="1:8">
      <c r="A1" s="1463" t="s">
        <v>182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+'ASHRAM ROAD'!D74</f>
        <v>22500.65</v>
      </c>
      <c r="D7" s="97"/>
      <c r="F7" s="781"/>
      <c r="G7" s="781"/>
      <c r="H7" s="781"/>
    </row>
    <row r="8" spans="1:8">
      <c r="A8" s="95"/>
      <c r="B8" s="94" t="s">
        <v>162</v>
      </c>
      <c r="C8" s="96">
        <f>+'ASHRAM ROAD'!E74</f>
        <v>22500.65</v>
      </c>
      <c r="D8" s="97"/>
      <c r="F8" s="781"/>
      <c r="G8" s="781"/>
      <c r="H8" s="781"/>
    </row>
    <row r="9" spans="1:8">
      <c r="A9" s="95"/>
      <c r="B9" s="94" t="s">
        <v>195</v>
      </c>
      <c r="C9" s="96">
        <f>+'ASHRAM ROAD'!F74</f>
        <v>0</v>
      </c>
      <c r="D9" s="97"/>
      <c r="F9" s="781"/>
      <c r="G9" s="781"/>
      <c r="H9" s="781"/>
    </row>
    <row r="10" spans="1:8">
      <c r="A10" s="95"/>
      <c r="B10" s="94" t="s">
        <v>163</v>
      </c>
      <c r="C10" s="96"/>
      <c r="D10" s="97">
        <f>+C7+C8+C9</f>
        <v>45001.3</v>
      </c>
      <c r="F10" s="781"/>
      <c r="G10" s="781"/>
      <c r="H10" s="781"/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AUG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119"/>
      <c r="C14" s="96"/>
      <c r="D14" s="97"/>
    </row>
    <row r="15" spans="1:8">
      <c r="A15" s="95">
        <v>2</v>
      </c>
      <c r="B15" s="94" t="s">
        <v>165</v>
      </c>
      <c r="C15" s="96">
        <f>+D17+D18+D19-C16</f>
        <v>2534.2199999999998</v>
      </c>
      <c r="D15" s="97"/>
    </row>
    <row r="16" spans="1:8">
      <c r="A16" s="95"/>
      <c r="B16" s="94" t="s">
        <v>166</v>
      </c>
      <c r="C16" s="96">
        <f>+SUM(D17:D19)/2</f>
        <v>2534.2199999999998</v>
      </c>
      <c r="D16" s="97"/>
    </row>
    <row r="17" spans="1:4">
      <c r="A17" s="94"/>
      <c r="B17" s="94" t="s">
        <v>167</v>
      </c>
      <c r="C17" s="96"/>
      <c r="D17" s="97">
        <f>+'ASHRAM ROAD'!D81</f>
        <v>2534.2199999999998</v>
      </c>
    </row>
    <row r="18" spans="1:4">
      <c r="A18" s="94"/>
      <c r="B18" s="94" t="s">
        <v>168</v>
      </c>
      <c r="C18" s="96"/>
      <c r="D18" s="97">
        <f>+'ASHRAM ROAD'!E81</f>
        <v>2534.2199999999998</v>
      </c>
    </row>
    <row r="19" spans="1:4">
      <c r="A19" s="94"/>
      <c r="B19" s="94" t="s">
        <v>178</v>
      </c>
      <c r="C19" s="96"/>
      <c r="D19" s="97">
        <f>+'ASHRAM ROAD'!F81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9">
    <tabColor rgb="FF92D050"/>
    <pageSetUpPr fitToPage="1"/>
  </sheetPr>
  <dimension ref="A1:M675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5703125" style="90" bestFit="1" customWidth="1"/>
    <col min="2" max="2" width="68.5703125" style="90" customWidth="1"/>
    <col min="3" max="3" width="17.42578125" style="90" bestFit="1" customWidth="1"/>
    <col min="4" max="4" width="20.140625" style="90" bestFit="1" customWidth="1"/>
    <col min="5" max="5" width="13.28515625" style="90" bestFit="1" customWidth="1"/>
    <col min="6" max="6" width="14.28515625" style="90" bestFit="1" customWidth="1"/>
    <col min="7" max="16384" width="9.140625" style="90"/>
  </cols>
  <sheetData>
    <row r="1" spans="1:7">
      <c r="A1" s="1463" t="s">
        <v>183</v>
      </c>
      <c r="B1" s="1463"/>
      <c r="C1" s="1463"/>
      <c r="D1" s="1463"/>
    </row>
    <row r="2" spans="1:7">
      <c r="A2" s="91"/>
      <c r="B2" s="91"/>
      <c r="C2" s="91"/>
      <c r="D2" s="91"/>
    </row>
    <row r="3" spans="1:7">
      <c r="A3" s="1463" t="str">
        <f>+ODHAV1!$A$3</f>
        <v>GST ENTRIES FOR THE MONTH OF SEP 2026</v>
      </c>
      <c r="B3" s="1463"/>
      <c r="C3" s="1463"/>
      <c r="D3" s="1463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5.75" customHeight="1">
      <c r="A6" s="115"/>
      <c r="B6" s="115"/>
      <c r="C6" s="91"/>
      <c r="D6" s="115"/>
      <c r="E6" s="1464"/>
      <c r="F6" s="1466"/>
      <c r="G6" s="1466"/>
    </row>
    <row r="7" spans="1:7">
      <c r="A7" s="95">
        <v>1</v>
      </c>
      <c r="B7" s="94" t="s">
        <v>161</v>
      </c>
      <c r="C7" s="96">
        <f>+NARAYANNAGAR!D74</f>
        <v>35698.379999999997</v>
      </c>
      <c r="D7" s="97"/>
      <c r="E7" s="1464"/>
      <c r="F7" s="1466"/>
      <c r="G7" s="1466"/>
    </row>
    <row r="8" spans="1:7">
      <c r="A8" s="95"/>
      <c r="B8" s="94" t="s">
        <v>162</v>
      </c>
      <c r="C8" s="96">
        <f>+NARAYANNAGAR!E74</f>
        <v>35698.379999999997</v>
      </c>
      <c r="D8" s="97"/>
      <c r="E8" s="1464"/>
      <c r="F8" s="1466"/>
      <c r="G8" s="1466"/>
    </row>
    <row r="9" spans="1:7">
      <c r="A9" s="95"/>
      <c r="B9" s="94" t="s">
        <v>464</v>
      </c>
      <c r="C9" s="96">
        <f>+NARAYANNAGAR!F74</f>
        <v>0</v>
      </c>
      <c r="D9" s="97"/>
      <c r="E9" s="1464"/>
      <c r="F9" s="1466"/>
      <c r="G9" s="1466"/>
    </row>
    <row r="10" spans="1:7">
      <c r="A10" s="95"/>
      <c r="B10" s="94" t="s">
        <v>163</v>
      </c>
      <c r="C10" s="96"/>
      <c r="D10" s="97">
        <f>+C7+C8+C9</f>
        <v>71396.759999999995</v>
      </c>
      <c r="E10" s="1464"/>
      <c r="F10" s="1466"/>
      <c r="G10" s="1466"/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AUG 2026 TRANSFER TO HO)</v>
      </c>
      <c r="C12" s="96"/>
      <c r="D12" s="97"/>
    </row>
    <row r="13" spans="1:7" ht="16.5" thickBot="1">
      <c r="A13" s="95"/>
      <c r="B13" s="99"/>
      <c r="C13" s="100"/>
      <c r="D13" s="101"/>
    </row>
    <row r="14" spans="1:7">
      <c r="A14" s="119"/>
      <c r="B14" s="465"/>
      <c r="C14" s="119"/>
      <c r="D14" s="206"/>
    </row>
    <row r="15" spans="1:7">
      <c r="A15" s="95">
        <f>+A7+1</f>
        <v>2</v>
      </c>
      <c r="B15" s="90" t="s">
        <v>728</v>
      </c>
      <c r="C15" s="97">
        <f>+(D17+D18+D19)/2</f>
        <v>4003.3</v>
      </c>
      <c r="D15" s="97"/>
    </row>
    <row r="16" spans="1:7">
      <c r="A16" s="95"/>
      <c r="B16" s="90" t="s">
        <v>166</v>
      </c>
      <c r="C16" s="97">
        <f>+SUM(D17:D19)/2</f>
        <v>4003.3</v>
      </c>
      <c r="D16" s="334"/>
    </row>
    <row r="17" spans="1:5">
      <c r="A17" s="94"/>
      <c r="B17" s="90" t="s">
        <v>167</v>
      </c>
      <c r="C17" s="97"/>
      <c r="D17" s="334">
        <f>+NARAYANNAGAR!D82</f>
        <v>4003.3</v>
      </c>
      <c r="E17" s="90">
        <v>0</v>
      </c>
    </row>
    <row r="18" spans="1:5">
      <c r="A18" s="94"/>
      <c r="B18" s="90" t="s">
        <v>168</v>
      </c>
      <c r="C18" s="97"/>
      <c r="D18" s="97">
        <f>+NARAYANNAGAR!E82</f>
        <v>4003.3</v>
      </c>
      <c r="E18" s="90">
        <v>0</v>
      </c>
    </row>
    <row r="19" spans="1:5">
      <c r="A19" s="94"/>
      <c r="B19" s="90" t="s">
        <v>178</v>
      </c>
      <c r="C19" s="97"/>
      <c r="D19" s="97">
        <f>+NARAYANNAGAR!F82</f>
        <v>0</v>
      </c>
    </row>
    <row r="20" spans="1:5">
      <c r="A20" s="94"/>
      <c r="B20" s="558" t="str">
        <f>+ODHAV1!B20</f>
        <v>(BEING 50% SET OFF TRF TO EXPS PL4197 AND</v>
      </c>
      <c r="C20" s="97"/>
      <c r="D20" s="97"/>
    </row>
    <row r="21" spans="1:5">
      <c r="A21" s="94"/>
      <c r="B21" s="90" t="str">
        <f>+ODHAV1!B21</f>
        <v>50% TRF TO HO)</v>
      </c>
      <c r="C21" s="97"/>
      <c r="D21" s="97"/>
    </row>
    <row r="22" spans="1:5" ht="16.5" thickBot="1">
      <c r="A22" s="98"/>
      <c r="B22" s="425"/>
      <c r="C22" s="101"/>
      <c r="D22" s="101"/>
    </row>
    <row r="23" spans="1:5">
      <c r="A23" s="119"/>
      <c r="B23" s="465"/>
      <c r="C23" s="119"/>
      <c r="D23" s="206"/>
    </row>
    <row r="24" spans="1:5">
      <c r="A24" s="95">
        <v>3</v>
      </c>
      <c r="B24" s="90" t="s">
        <v>725</v>
      </c>
      <c r="C24" s="97">
        <v>0</v>
      </c>
      <c r="D24" s="97"/>
      <c r="E24" s="90" t="s">
        <v>5</v>
      </c>
    </row>
    <row r="25" spans="1:5">
      <c r="A25" s="94"/>
      <c r="B25" s="90" t="s">
        <v>726</v>
      </c>
      <c r="C25" s="97">
        <v>0</v>
      </c>
      <c r="D25" s="97"/>
      <c r="E25" s="338" t="s">
        <v>5</v>
      </c>
    </row>
    <row r="26" spans="1:5">
      <c r="A26" s="94"/>
      <c r="B26" s="90" t="s">
        <v>727</v>
      </c>
      <c r="C26" s="97"/>
      <c r="D26" s="97">
        <f>+C24+C25</f>
        <v>0</v>
      </c>
      <c r="E26" s="90" t="s">
        <v>5</v>
      </c>
    </row>
    <row r="27" spans="1:5">
      <c r="A27" s="94"/>
      <c r="B27" s="90" t="s">
        <v>660</v>
      </c>
      <c r="C27" s="97"/>
      <c r="D27" s="97" t="s">
        <v>5</v>
      </c>
    </row>
    <row r="28" spans="1:5" ht="31.5">
      <c r="A28" s="94"/>
      <c r="B28" s="558" t="s">
        <v>587</v>
      </c>
      <c r="C28" s="97"/>
      <c r="D28" s="97"/>
    </row>
    <row r="29" spans="1:5" ht="16.5" thickBot="1">
      <c r="A29" s="99"/>
      <c r="B29" s="425"/>
      <c r="C29" s="101"/>
      <c r="D29" s="101"/>
    </row>
    <row r="30" spans="1:5">
      <c r="A30" s="656"/>
      <c r="C30" s="96"/>
      <c r="D30" s="96"/>
    </row>
    <row r="31" spans="1:5">
      <c r="C31" s="96"/>
      <c r="D31" s="96"/>
    </row>
    <row r="32" spans="1:5">
      <c r="C32" s="96"/>
      <c r="D32" s="96"/>
    </row>
    <row r="33" spans="3:4">
      <c r="C33" s="96"/>
      <c r="D33" s="96"/>
    </row>
    <row r="34" spans="3:4">
      <c r="C34" s="96"/>
      <c r="D34" s="96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57" spans="3:4">
      <c r="C57" s="102"/>
      <c r="D57" s="102"/>
    </row>
    <row r="58" spans="3:4">
      <c r="C58" s="102"/>
      <c r="D58" s="102"/>
    </row>
    <row r="59" spans="3:4">
      <c r="C59" s="102"/>
      <c r="D59" s="102"/>
    </row>
    <row r="60" spans="3:4">
      <c r="C60" s="102"/>
      <c r="D60" s="102"/>
    </row>
    <row r="61" spans="3:4">
      <c r="C61" s="102"/>
      <c r="D61" s="102"/>
    </row>
    <row r="62" spans="3:4">
      <c r="C62" s="102"/>
      <c r="D62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3">
    <mergeCell ref="A1:D1"/>
    <mergeCell ref="A3:D3"/>
    <mergeCell ref="E6:G10"/>
  </mergeCells>
  <pageMargins left="0.7" right="0.7" top="0.75" bottom="0.75" header="0.3" footer="0.3"/>
  <pageSetup paperSize="9" scale="74" fitToHeight="0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0">
    <tabColor rgb="FF92D050"/>
    <pageSetUpPr fitToPage="1"/>
  </sheetPr>
  <dimension ref="A1:M680"/>
  <sheetViews>
    <sheetView view="pageBreakPreview" zoomScale="60" zoomScaleNormal="100" workbookViewId="0">
      <selection activeCell="C8" sqref="C8"/>
    </sheetView>
  </sheetViews>
  <sheetFormatPr defaultColWidth="9.140625" defaultRowHeight="15.75"/>
  <cols>
    <col min="1" max="1" width="10.5703125" style="90" customWidth="1"/>
    <col min="2" max="2" width="78.5703125" style="90" customWidth="1"/>
    <col min="3" max="3" width="19" style="90" bestFit="1" customWidth="1"/>
    <col min="4" max="4" width="19.85546875" style="90" customWidth="1"/>
    <col min="5" max="5" width="15.28515625" style="90" bestFit="1" customWidth="1"/>
    <col min="6" max="6" width="18.85546875" style="90" bestFit="1" customWidth="1"/>
    <col min="7" max="16384" width="9.140625" style="90"/>
  </cols>
  <sheetData>
    <row r="1" spans="1:8">
      <c r="A1" s="1463" t="s">
        <v>184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  <c r="E6" s="1464"/>
      <c r="F6" s="1465"/>
    </row>
    <row r="7" spans="1:8">
      <c r="A7" s="95">
        <v>1</v>
      </c>
      <c r="B7" s="94" t="s">
        <v>161</v>
      </c>
      <c r="C7" s="96">
        <f>+NARANPURA!D74</f>
        <v>32402.95</v>
      </c>
      <c r="D7" s="97"/>
      <c r="E7" s="1464"/>
      <c r="F7" s="1465"/>
    </row>
    <row r="8" spans="1:8">
      <c r="A8" s="95"/>
      <c r="B8" s="94" t="s">
        <v>162</v>
      </c>
      <c r="C8" s="96">
        <f>+NARANPURA!E74</f>
        <v>32402.95</v>
      </c>
      <c r="D8" s="97"/>
      <c r="E8" s="1464"/>
      <c r="F8" s="1465"/>
    </row>
    <row r="9" spans="1:8">
      <c r="A9" s="95"/>
      <c r="B9" s="94" t="s">
        <v>195</v>
      </c>
      <c r="C9" s="96">
        <f>+NARANPURA!F74</f>
        <v>0</v>
      </c>
      <c r="D9" s="97"/>
      <c r="E9" s="1464"/>
      <c r="F9" s="1465"/>
    </row>
    <row r="10" spans="1:8">
      <c r="A10" s="95"/>
      <c r="B10" s="94" t="s">
        <v>163</v>
      </c>
      <c r="C10" s="96"/>
      <c r="D10" s="97">
        <f>+C7+C8+C9</f>
        <v>64805.9</v>
      </c>
      <c r="E10" s="1464"/>
      <c r="F10" s="1465"/>
    </row>
    <row r="11" spans="1:8">
      <c r="A11" s="95"/>
      <c r="B11" s="94" t="str">
        <f>+ODHAV1!B11</f>
        <v>(BEING GST PAYABLE FOR THE MONTH OF</v>
      </c>
      <c r="C11" s="96"/>
      <c r="D11" s="97"/>
      <c r="E11" s="1464"/>
      <c r="F11" s="1465"/>
    </row>
    <row r="12" spans="1:8">
      <c r="A12" s="95"/>
      <c r="B12" s="94" t="str">
        <f>+ODHAV1!B12</f>
        <v>AUG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 ht="16.5" customHeight="1">
      <c r="A14" s="124"/>
      <c r="B14" s="119"/>
      <c r="C14" s="205"/>
      <c r="D14" s="206"/>
      <c r="E14" s="779"/>
      <c r="F14" s="779"/>
      <c r="G14" s="779"/>
      <c r="H14" s="779"/>
    </row>
    <row r="15" spans="1:8" ht="15.75" customHeight="1">
      <c r="A15" s="95"/>
      <c r="B15" s="94"/>
      <c r="C15" s="96"/>
      <c r="D15" s="97"/>
      <c r="E15" s="779"/>
      <c r="F15" s="779"/>
      <c r="G15" s="779"/>
      <c r="H15" s="779"/>
    </row>
    <row r="16" spans="1:8" ht="16.5" customHeight="1">
      <c r="A16" s="95">
        <v>2</v>
      </c>
      <c r="B16" s="94" t="s">
        <v>165</v>
      </c>
      <c r="C16" s="96">
        <f>+D18+D19+D20-C17</f>
        <v>1605.96</v>
      </c>
      <c r="D16" s="97"/>
      <c r="E16" s="779"/>
      <c r="F16" s="779"/>
      <c r="G16" s="779"/>
      <c r="H16" s="779"/>
    </row>
    <row r="17" spans="1:8" ht="16.5" customHeight="1">
      <c r="A17" s="95"/>
      <c r="B17" s="94" t="s">
        <v>166</v>
      </c>
      <c r="C17" s="96">
        <f>+SUM(D18:D20)/2</f>
        <v>1605.96</v>
      </c>
      <c r="D17" s="97"/>
      <c r="E17" s="779"/>
      <c r="F17" s="779"/>
      <c r="G17" s="779"/>
      <c r="H17" s="779"/>
    </row>
    <row r="18" spans="1:8" ht="16.5" customHeight="1">
      <c r="A18" s="94"/>
      <c r="B18" s="94" t="s">
        <v>167</v>
      </c>
      <c r="C18" s="96"/>
      <c r="D18" s="97">
        <f>+NARANPURA!D82</f>
        <v>1605.96</v>
      </c>
      <c r="E18" s="779"/>
      <c r="F18" s="779"/>
      <c r="G18" s="779"/>
      <c r="H18" s="779"/>
    </row>
    <row r="19" spans="1:8" ht="16.5" customHeight="1">
      <c r="A19" s="94"/>
      <c r="B19" s="94" t="s">
        <v>168</v>
      </c>
      <c r="C19" s="96"/>
      <c r="D19" s="97">
        <f>+NARANPURA!E82</f>
        <v>1605.96</v>
      </c>
      <c r="E19" s="779"/>
      <c r="F19" s="779"/>
      <c r="G19" s="779"/>
      <c r="H19" s="779"/>
    </row>
    <row r="20" spans="1:8" ht="16.5" customHeight="1">
      <c r="A20" s="94"/>
      <c r="B20" s="94" t="s">
        <v>178</v>
      </c>
      <c r="C20" s="96"/>
      <c r="D20" s="97">
        <f>+NARANPURA!F82</f>
        <v>0</v>
      </c>
      <c r="E20" s="779"/>
      <c r="F20" s="779"/>
      <c r="G20" s="779"/>
      <c r="H20" s="779"/>
    </row>
    <row r="21" spans="1:8" ht="16.5" customHeight="1">
      <c r="A21" s="94"/>
      <c r="B21" s="94" t="str">
        <f>+ODHAV1!B20</f>
        <v>(BEING 50% SET OFF TRF TO EXPS PL4197 AND</v>
      </c>
      <c r="C21" s="96"/>
      <c r="D21" s="97"/>
      <c r="E21" s="779"/>
      <c r="F21" s="779"/>
      <c r="G21" s="779"/>
      <c r="H21" s="779"/>
    </row>
    <row r="22" spans="1:8" ht="18.75" customHeight="1" thickBot="1">
      <c r="A22" s="99"/>
      <c r="B22" s="99" t="str">
        <f>+ODHAV1!B21</f>
        <v>50% TRF TO HO)</v>
      </c>
      <c r="C22" s="100"/>
      <c r="D22" s="101"/>
      <c r="E22" s="779"/>
      <c r="F22" s="779"/>
      <c r="G22" s="779"/>
      <c r="H22" s="779"/>
    </row>
    <row r="23" spans="1:8" ht="18.75" customHeight="1">
      <c r="A23" s="94"/>
      <c r="C23" s="206"/>
      <c r="D23" s="97"/>
      <c r="E23" s="779"/>
      <c r="F23" s="779"/>
      <c r="G23" s="779"/>
      <c r="H23" s="779"/>
    </row>
    <row r="24" spans="1:8" ht="18.75" customHeight="1">
      <c r="A24" s="94">
        <v>3</v>
      </c>
      <c r="B24" s="151" t="s">
        <v>166</v>
      </c>
      <c r="C24" s="97">
        <f>+D25+D26</f>
        <v>0</v>
      </c>
      <c r="D24" s="97"/>
      <c r="E24" s="779"/>
      <c r="F24" s="779"/>
      <c r="G24" s="779"/>
      <c r="H24" s="779"/>
    </row>
    <row r="25" spans="1:8" ht="18.75" customHeight="1">
      <c r="A25" s="94"/>
      <c r="B25" s="151" t="s">
        <v>829</v>
      </c>
      <c r="C25" s="97"/>
      <c r="D25" s="97">
        <v>0</v>
      </c>
      <c r="E25" s="779"/>
      <c r="F25" s="779"/>
      <c r="G25" s="779"/>
      <c r="H25" s="779"/>
    </row>
    <row r="26" spans="1:8" ht="18.75" customHeight="1">
      <c r="A26" s="94"/>
      <c r="B26" s="151" t="s">
        <v>830</v>
      </c>
      <c r="C26" s="97"/>
      <c r="D26" s="97">
        <v>0</v>
      </c>
      <c r="E26" s="779"/>
      <c r="F26" s="779"/>
      <c r="G26" s="779"/>
      <c r="H26" s="779"/>
    </row>
    <row r="27" spans="1:8" ht="18.75" customHeight="1" thickBot="1">
      <c r="A27" s="94"/>
      <c r="B27" s="90" t="s">
        <v>831</v>
      </c>
      <c r="C27" s="101"/>
      <c r="D27" s="97"/>
      <c r="E27" s="779"/>
      <c r="F27" s="779"/>
      <c r="G27" s="779"/>
      <c r="H27" s="779"/>
    </row>
    <row r="28" spans="1:8">
      <c r="A28" s="119"/>
      <c r="B28" s="465"/>
      <c r="C28" s="119"/>
      <c r="D28" s="206"/>
      <c r="E28" s="781"/>
      <c r="F28" s="781"/>
      <c r="G28" s="781"/>
      <c r="H28" s="781"/>
    </row>
    <row r="29" spans="1:8">
      <c r="A29" s="95">
        <v>3</v>
      </c>
      <c r="B29" s="90" t="s">
        <v>655</v>
      </c>
      <c r="C29" s="97">
        <v>0</v>
      </c>
      <c r="D29" s="97">
        <v>0</v>
      </c>
      <c r="E29" s="781"/>
      <c r="F29" s="781"/>
      <c r="G29" s="781"/>
      <c r="H29" s="781"/>
    </row>
    <row r="30" spans="1:8">
      <c r="A30" s="94"/>
      <c r="B30" s="90" t="s">
        <v>656</v>
      </c>
      <c r="C30" s="97">
        <v>0</v>
      </c>
      <c r="D30" s="97">
        <v>0</v>
      </c>
      <c r="E30" s="781"/>
      <c r="F30" s="781"/>
      <c r="G30" s="781"/>
      <c r="H30" s="781"/>
    </row>
    <row r="31" spans="1:8">
      <c r="A31" s="94"/>
      <c r="B31" s="90" t="s">
        <v>716</v>
      </c>
      <c r="C31" s="97"/>
      <c r="D31" s="97">
        <f>+C29+C30</f>
        <v>0</v>
      </c>
      <c r="E31" s="781"/>
      <c r="F31" s="781"/>
      <c r="G31" s="781"/>
      <c r="H31" s="781"/>
    </row>
    <row r="32" spans="1:8">
      <c r="A32" s="94"/>
      <c r="B32" s="90" t="s">
        <v>717</v>
      </c>
      <c r="C32" s="97"/>
      <c r="D32" s="97"/>
      <c r="E32" s="781"/>
      <c r="F32" s="781"/>
      <c r="G32" s="781"/>
      <c r="H32" s="781"/>
    </row>
    <row r="33" spans="1:8">
      <c r="A33" s="94"/>
      <c r="B33" s="558" t="s">
        <v>718</v>
      </c>
      <c r="C33" s="97"/>
      <c r="D33" s="97"/>
      <c r="E33" s="781"/>
      <c r="F33" s="781"/>
      <c r="G33" s="781"/>
      <c r="H33" s="781"/>
    </row>
    <row r="34" spans="1:8" ht="16.5" thickBot="1">
      <c r="A34" s="99"/>
      <c r="B34" s="425"/>
      <c r="C34" s="101"/>
      <c r="D34" s="101"/>
      <c r="E34" s="781"/>
      <c r="F34" s="781"/>
      <c r="G34" s="781"/>
      <c r="H34" s="781"/>
    </row>
    <row r="35" spans="1:8">
      <c r="C35" s="102"/>
      <c r="D35" s="102"/>
    </row>
    <row r="36" spans="1:8">
      <c r="C36" s="102"/>
      <c r="D36" s="102"/>
    </row>
    <row r="37" spans="1:8">
      <c r="C37" s="102"/>
      <c r="D37" s="102"/>
    </row>
    <row r="38" spans="1:8">
      <c r="C38" s="102"/>
      <c r="D38" s="102"/>
    </row>
    <row r="39" spans="1:8">
      <c r="C39" s="102"/>
      <c r="D39" s="102"/>
    </row>
    <row r="40" spans="1:8">
      <c r="C40" s="102"/>
      <c r="D40" s="102"/>
    </row>
    <row r="41" spans="1:8">
      <c r="C41" s="102"/>
      <c r="D41" s="102"/>
    </row>
    <row r="42" spans="1:8">
      <c r="C42" s="102"/>
      <c r="D42" s="102"/>
    </row>
    <row r="43" spans="1:8">
      <c r="C43" s="102"/>
      <c r="D43" s="102"/>
    </row>
    <row r="44" spans="1:8">
      <c r="C44" s="102"/>
      <c r="D44" s="102"/>
    </row>
    <row r="45" spans="1:8">
      <c r="C45" s="102"/>
      <c r="D45" s="102"/>
    </row>
    <row r="46" spans="1:8">
      <c r="C46" s="102"/>
      <c r="D46" s="102"/>
    </row>
    <row r="47" spans="1:8">
      <c r="C47" s="102"/>
      <c r="D47" s="102"/>
    </row>
    <row r="48" spans="1:8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442" spans="2:2">
      <c r="B442" s="90" t="s">
        <v>811</v>
      </c>
    </row>
    <row r="571" spans="13:13">
      <c r="M571" s="90" t="s">
        <v>804</v>
      </c>
    </row>
    <row r="589" spans="2:2">
      <c r="B589" s="90" t="s">
        <v>822</v>
      </c>
    </row>
    <row r="603" spans="2:2">
      <c r="B603" s="90" t="s">
        <v>821</v>
      </c>
    </row>
    <row r="680" spans="2:2">
      <c r="B680" s="90" t="s">
        <v>820</v>
      </c>
    </row>
  </sheetData>
  <mergeCells count="3">
    <mergeCell ref="A1:D1"/>
    <mergeCell ref="A3:D3"/>
    <mergeCell ref="E6:F11"/>
  </mergeCells>
  <pageMargins left="0.7" right="0.7" top="0.75" bottom="0.75" header="0.3" footer="0.3"/>
  <pageSetup paperSize="9" scale="68" fitToHeight="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1">
    <tabColor rgb="FF92D050"/>
    <pageSetUpPr fitToPage="1"/>
  </sheetPr>
  <dimension ref="A1:M666"/>
  <sheetViews>
    <sheetView view="pageBreakPreview" zoomScale="60" zoomScaleNormal="100" workbookViewId="0">
      <selection activeCell="M27" sqref="M27"/>
    </sheetView>
  </sheetViews>
  <sheetFormatPr defaultColWidth="9.140625" defaultRowHeight="15.75"/>
  <cols>
    <col min="1" max="1" width="11.5703125" style="90" bestFit="1" customWidth="1"/>
    <col min="2" max="2" width="76.85546875" style="90" customWidth="1"/>
    <col min="3" max="3" width="18.28515625" style="90" bestFit="1" customWidth="1"/>
    <col min="4" max="4" width="19.140625" style="90" bestFit="1" customWidth="1"/>
    <col min="5" max="5" width="9.140625" style="90"/>
    <col min="6" max="6" width="12.28515625" style="90" bestFit="1" customWidth="1"/>
    <col min="7" max="16384" width="9.140625" style="90"/>
  </cols>
  <sheetData>
    <row r="1" spans="1:9">
      <c r="A1" s="1463" t="s">
        <v>185</v>
      </c>
      <c r="B1" s="1463"/>
      <c r="C1" s="1463"/>
      <c r="D1" s="1463"/>
    </row>
    <row r="2" spans="1:9">
      <c r="A2" s="91"/>
      <c r="B2" s="91"/>
      <c r="C2" s="91"/>
      <c r="D2" s="91"/>
    </row>
    <row r="3" spans="1:9">
      <c r="A3" s="1463" t="str">
        <f>+ODHAV1!$A$3</f>
        <v>GST ENTRIES FOR THE MONTH OF SEP 2026</v>
      </c>
      <c r="B3" s="1463"/>
      <c r="C3" s="1463"/>
      <c r="D3" s="1463"/>
    </row>
    <row r="4" spans="1:9" ht="16.5" thickBot="1"/>
    <row r="5" spans="1:9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9">
      <c r="A6" s="94"/>
      <c r="B6" s="94"/>
      <c r="D6" s="94"/>
    </row>
    <row r="7" spans="1:9">
      <c r="A7" s="95">
        <v>1</v>
      </c>
      <c r="B7" s="94" t="s">
        <v>161</v>
      </c>
      <c r="C7" s="96">
        <f>'DRIVE IN'!D74</f>
        <v>30035.779999999799</v>
      </c>
      <c r="D7" s="97"/>
      <c r="E7" s="1464"/>
      <c r="F7" s="1466"/>
      <c r="G7" s="1466"/>
    </row>
    <row r="8" spans="1:9">
      <c r="A8" s="95"/>
      <c r="B8" s="94" t="s">
        <v>162</v>
      </c>
      <c r="C8" s="96">
        <f>'DRIVE IN'!E74</f>
        <v>30035.779999999799</v>
      </c>
      <c r="D8" s="97"/>
      <c r="E8" s="1464"/>
      <c r="F8" s="1466"/>
      <c r="G8" s="1466"/>
    </row>
    <row r="9" spans="1:9">
      <c r="A9" s="95"/>
      <c r="B9" s="94" t="s">
        <v>195</v>
      </c>
      <c r="C9" s="96">
        <f>+'DRIVE IN'!F74</f>
        <v>0</v>
      </c>
      <c r="D9" s="97"/>
      <c r="E9" s="1464"/>
      <c r="F9" s="1466"/>
      <c r="G9" s="1466"/>
    </row>
    <row r="10" spans="1:9">
      <c r="A10" s="95"/>
      <c r="B10" s="94" t="s">
        <v>163</v>
      </c>
      <c r="C10" s="96"/>
      <c r="D10" s="97">
        <f>+C7+C8+C9</f>
        <v>60071.559999999597</v>
      </c>
      <c r="E10" s="1464"/>
      <c r="F10" s="1466"/>
      <c r="G10" s="1466"/>
    </row>
    <row r="11" spans="1:9">
      <c r="A11" s="95"/>
      <c r="B11" s="94" t="str">
        <f>+ODHAV1!B11</f>
        <v>(BEING GST PAYABLE FOR THE MONTH OF</v>
      </c>
      <c r="C11" s="96"/>
      <c r="D11" s="97"/>
      <c r="E11" s="1464"/>
      <c r="F11" s="1466"/>
      <c r="G11" s="1466"/>
    </row>
    <row r="12" spans="1:9">
      <c r="A12" s="95"/>
      <c r="B12" s="94" t="str">
        <f>+ODHAV1!B12</f>
        <v>AUG 2026 TRANSFER TO HO)</v>
      </c>
      <c r="C12" s="96"/>
      <c r="D12" s="97"/>
    </row>
    <row r="13" spans="1:9" ht="16.5" thickBot="1">
      <c r="A13" s="98"/>
      <c r="B13" s="99"/>
      <c r="C13" s="100"/>
      <c r="D13" s="101"/>
    </row>
    <row r="14" spans="1:9" ht="15.75" customHeight="1">
      <c r="A14" s="95"/>
      <c r="B14" s="119"/>
      <c r="C14" s="96"/>
      <c r="D14" s="97"/>
      <c r="E14" s="779"/>
      <c r="F14" s="779"/>
      <c r="G14" s="779"/>
      <c r="H14" s="779"/>
      <c r="I14" s="779"/>
    </row>
    <row r="15" spans="1:9">
      <c r="A15" s="95">
        <v>2</v>
      </c>
      <c r="B15" s="94" t="s">
        <v>165</v>
      </c>
      <c r="C15" s="96">
        <f>+D17+D18+D19-C16</f>
        <v>15183.72</v>
      </c>
      <c r="D15" s="97"/>
      <c r="E15" s="1464"/>
      <c r="F15" s="1466"/>
      <c r="G15" s="1466"/>
      <c r="H15" s="779"/>
      <c r="I15" s="779"/>
    </row>
    <row r="16" spans="1:9">
      <c r="A16" s="95"/>
      <c r="B16" s="94" t="s">
        <v>166</v>
      </c>
      <c r="C16" s="96">
        <f>+SUM(D17:D19)/2</f>
        <v>15183.72</v>
      </c>
      <c r="D16" s="97"/>
      <c r="E16" s="1464"/>
      <c r="F16" s="1466"/>
      <c r="G16" s="1466"/>
      <c r="H16" s="779"/>
      <c r="I16" s="779"/>
    </row>
    <row r="17" spans="1:8">
      <c r="A17" s="94"/>
      <c r="B17" s="94" t="s">
        <v>167</v>
      </c>
      <c r="C17" s="96"/>
      <c r="D17" s="97">
        <f>+'DRIVE IN'!D81</f>
        <v>15183.72</v>
      </c>
      <c r="E17" s="1464"/>
      <c r="F17" s="1466"/>
      <c r="G17" s="1466"/>
      <c r="H17" s="779"/>
    </row>
    <row r="18" spans="1:8">
      <c r="A18" s="94"/>
      <c r="B18" s="94" t="s">
        <v>168</v>
      </c>
      <c r="C18" s="96"/>
      <c r="D18" s="97">
        <f>+'DRIVE IN'!E81</f>
        <v>15183.72</v>
      </c>
      <c r="E18" s="1464"/>
      <c r="F18" s="1466"/>
      <c r="G18" s="1466"/>
      <c r="H18" s="779"/>
    </row>
    <row r="19" spans="1:8">
      <c r="A19" s="94"/>
      <c r="B19" s="94" t="s">
        <v>178</v>
      </c>
      <c r="C19" s="96"/>
      <c r="D19" s="97">
        <f>+'DRIVE IN'!F81</f>
        <v>0</v>
      </c>
      <c r="E19" s="1464"/>
      <c r="F19" s="1466"/>
      <c r="G19" s="1466"/>
      <c r="H19" s="779"/>
    </row>
    <row r="20" spans="1:8">
      <c r="A20" s="94"/>
      <c r="B20" s="94" t="str">
        <f>+ODHAV1!B20</f>
        <v>(BEING 50% SET OFF TRF TO EXPS PL4197 AND</v>
      </c>
      <c r="C20" s="96"/>
      <c r="D20" s="97"/>
      <c r="E20" s="779"/>
      <c r="F20" s="779"/>
      <c r="G20" s="779"/>
      <c r="H20" s="779"/>
    </row>
    <row r="21" spans="1:8" ht="16.5" thickBot="1">
      <c r="A21" s="99"/>
      <c r="B21" s="99" t="str">
        <f>+ODHAV1!B21</f>
        <v>50% TRF TO HO)</v>
      </c>
      <c r="C21" s="100"/>
      <c r="D21" s="101"/>
      <c r="E21" s="779"/>
      <c r="F21" s="779"/>
      <c r="G21" s="779"/>
      <c r="H21" s="779"/>
    </row>
    <row r="22" spans="1:8">
      <c r="C22" s="102"/>
      <c r="D22" s="102"/>
      <c r="E22" s="779"/>
      <c r="F22" s="779"/>
      <c r="G22" s="779"/>
      <c r="H22" s="779"/>
    </row>
    <row r="23" spans="1:8">
      <c r="C23" s="102"/>
      <c r="D23" s="102"/>
      <c r="E23" s="779"/>
      <c r="F23" s="779"/>
      <c r="G23" s="779"/>
      <c r="H23" s="779"/>
    </row>
    <row r="24" spans="1:8">
      <c r="C24" s="102"/>
      <c r="D24" s="102"/>
    </row>
    <row r="25" spans="1:8">
      <c r="C25" s="102"/>
      <c r="D25" s="102"/>
    </row>
    <row r="26" spans="1:8">
      <c r="C26" s="102"/>
      <c r="D26" s="102"/>
    </row>
    <row r="27" spans="1:8">
      <c r="C27" s="102"/>
      <c r="D27" s="102"/>
    </row>
    <row r="28" spans="1:8">
      <c r="C28" s="102"/>
      <c r="D28" s="102"/>
    </row>
    <row r="29" spans="1:8">
      <c r="C29" s="102"/>
      <c r="D29" s="102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28" spans="2:2">
      <c r="B428" s="90" t="s">
        <v>811</v>
      </c>
    </row>
    <row r="557" spans="13:13">
      <c r="M557" s="90" t="s">
        <v>804</v>
      </c>
    </row>
    <row r="575" spans="2:2">
      <c r="B575" s="90" t="s">
        <v>822</v>
      </c>
    </row>
    <row r="589" spans="2:2">
      <c r="B589" s="90" t="s">
        <v>821</v>
      </c>
    </row>
    <row r="666" spans="2:2">
      <c r="B666" s="90" t="s">
        <v>820</v>
      </c>
    </row>
  </sheetData>
  <mergeCells count="4">
    <mergeCell ref="A1:D1"/>
    <mergeCell ref="A3:D3"/>
    <mergeCell ref="E7:G11"/>
    <mergeCell ref="E15:G19"/>
  </mergeCells>
  <pageMargins left="0.7" right="0.7" top="0.75" bottom="0.75" header="0.3" footer="0.3"/>
  <pageSetup paperSize="9" scale="69" fitToHeight="0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2">
    <tabColor rgb="FF92D050"/>
    <pageSetUpPr fitToPage="1"/>
  </sheetPr>
  <dimension ref="A1:J37"/>
  <sheetViews>
    <sheetView view="pageBreakPreview" zoomScale="60" zoomScaleNormal="100" workbookViewId="0">
      <selection activeCell="F31" sqref="F31:H32"/>
    </sheetView>
  </sheetViews>
  <sheetFormatPr defaultColWidth="9.140625" defaultRowHeight="15.75"/>
  <cols>
    <col min="1" max="1" width="11.5703125" style="90" bestFit="1" customWidth="1"/>
    <col min="2" max="2" width="72.5703125" style="90" customWidth="1"/>
    <col min="3" max="4" width="20.140625" style="90" bestFit="1" customWidth="1"/>
    <col min="5" max="6" width="9.140625" style="90"/>
    <col min="7" max="7" width="14.28515625" style="90" bestFit="1" customWidth="1"/>
    <col min="8" max="8" width="9.140625" style="90"/>
    <col min="9" max="9" width="15" style="90" customWidth="1"/>
    <col min="10" max="16384" width="9.140625" style="90"/>
  </cols>
  <sheetData>
    <row r="1" spans="1:8">
      <c r="A1" s="1463" t="s">
        <v>186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201"/>
      <c r="B6" s="201"/>
      <c r="C6" s="202"/>
      <c r="D6" s="201"/>
    </row>
    <row r="7" spans="1:8" ht="15.75" customHeight="1">
      <c r="A7" s="95">
        <v>1</v>
      </c>
      <c r="B7" s="94" t="s">
        <v>161</v>
      </c>
      <c r="C7" s="96">
        <f>+'VASANA '!D74</f>
        <v>35950.57</v>
      </c>
      <c r="D7" s="97"/>
      <c r="E7" s="1061"/>
      <c r="F7" s="1062"/>
      <c r="G7" s="1062"/>
      <c r="H7" s="1062"/>
    </row>
    <row r="8" spans="1:8">
      <c r="A8" s="95"/>
      <c r="B8" s="94" t="s">
        <v>162</v>
      </c>
      <c r="C8" s="96">
        <f>+'VASANA '!E74</f>
        <v>35950.57</v>
      </c>
      <c r="D8" s="97"/>
      <c r="E8" s="1061"/>
      <c r="F8" s="1062"/>
      <c r="G8" s="1062"/>
      <c r="H8" s="1062"/>
    </row>
    <row r="9" spans="1:8">
      <c r="A9" s="95"/>
      <c r="B9" s="94" t="s">
        <v>195</v>
      </c>
      <c r="C9" s="96">
        <f>+'VASANA '!F74</f>
        <v>0</v>
      </c>
      <c r="D9" s="97"/>
      <c r="E9" s="1061"/>
      <c r="F9" s="1062"/>
      <c r="G9" s="1062"/>
      <c r="H9" s="1062"/>
    </row>
    <row r="10" spans="1:8">
      <c r="A10" s="95"/>
      <c r="B10" s="94" t="s">
        <v>163</v>
      </c>
      <c r="C10" s="96"/>
      <c r="D10" s="97">
        <f>+C7+C8+C9</f>
        <v>71901.14</v>
      </c>
      <c r="E10" s="1061"/>
      <c r="F10" s="1062"/>
      <c r="G10" s="1062"/>
      <c r="H10" s="1062"/>
    </row>
    <row r="11" spans="1:8">
      <c r="A11" s="95"/>
      <c r="B11" s="94" t="str">
        <f>+ODHAV1!B11</f>
        <v>(BEING GST PAYABLE FOR THE MONTH OF</v>
      </c>
      <c r="C11" s="96"/>
      <c r="D11" s="97"/>
      <c r="E11" s="1061"/>
      <c r="F11" s="1062"/>
      <c r="G11" s="1062"/>
      <c r="H11" s="1062"/>
    </row>
    <row r="12" spans="1:8">
      <c r="A12" s="95"/>
      <c r="B12" s="94" t="str">
        <f>+ODHAV1!B12</f>
        <v>AUG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94"/>
      <c r="C14" s="96"/>
      <c r="D14" s="97"/>
    </row>
    <row r="15" spans="1:8">
      <c r="A15" s="95">
        <v>2</v>
      </c>
      <c r="B15" s="94" t="s">
        <v>559</v>
      </c>
      <c r="C15" s="96">
        <v>0</v>
      </c>
      <c r="D15" s="97"/>
    </row>
    <row r="16" spans="1:8">
      <c r="A16" s="95"/>
      <c r="B16" s="94" t="s">
        <v>167</v>
      </c>
      <c r="C16" s="96"/>
      <c r="D16" s="97">
        <f>+C15/2</f>
        <v>0</v>
      </c>
    </row>
    <row r="17" spans="1:10">
      <c r="A17" s="95"/>
      <c r="B17" s="94" t="s">
        <v>168</v>
      </c>
      <c r="C17" s="96"/>
      <c r="D17" s="97">
        <f>+D16</f>
        <v>0</v>
      </c>
    </row>
    <row r="18" spans="1:10">
      <c r="A18" s="95"/>
      <c r="B18" s="94" t="s">
        <v>556</v>
      </c>
      <c r="C18" s="96"/>
      <c r="D18" s="97"/>
    </row>
    <row r="19" spans="1:10">
      <c r="A19" s="95"/>
      <c r="B19" s="94" t="s">
        <v>562</v>
      </c>
      <c r="C19" s="96"/>
      <c r="D19" s="97"/>
    </row>
    <row r="20" spans="1:10" ht="16.5" thickBot="1">
      <c r="A20" s="98"/>
      <c r="B20" s="99"/>
      <c r="C20" s="100"/>
      <c r="D20" s="101"/>
      <c r="G20" s="338"/>
    </row>
    <row r="21" spans="1:10">
      <c r="A21" s="95"/>
      <c r="B21" s="94"/>
      <c r="C21" s="96"/>
      <c r="D21" s="97"/>
    </row>
    <row r="22" spans="1:10">
      <c r="A22" s="95">
        <v>3</v>
      </c>
      <c r="B22" s="94" t="s">
        <v>165</v>
      </c>
      <c r="C22" s="96">
        <f>+D24+D25+D26-C23</f>
        <v>2024.01</v>
      </c>
      <c r="D22" s="97"/>
      <c r="E22" s="1061"/>
      <c r="F22" s="1062"/>
      <c r="G22" s="1062"/>
      <c r="H22" s="1062"/>
      <c r="I22" s="558"/>
      <c r="J22" s="558"/>
    </row>
    <row r="23" spans="1:10">
      <c r="A23" s="95"/>
      <c r="B23" s="94" t="s">
        <v>166</v>
      </c>
      <c r="C23" s="96">
        <f>+SUM(D24:D26)/2</f>
        <v>2024.01</v>
      </c>
      <c r="D23" s="97"/>
      <c r="E23" s="1061"/>
      <c r="F23" s="1062"/>
      <c r="G23" s="1062"/>
      <c r="H23" s="1062"/>
      <c r="I23" s="558"/>
      <c r="J23" s="558"/>
    </row>
    <row r="24" spans="1:10">
      <c r="A24" s="94"/>
      <c r="B24" s="94" t="s">
        <v>167</v>
      </c>
      <c r="C24" s="96"/>
      <c r="D24" s="97">
        <f>+'VASANA '!D81</f>
        <v>2024.01</v>
      </c>
      <c r="E24" s="1061"/>
      <c r="F24" s="1062"/>
      <c r="G24" s="1062"/>
      <c r="H24" s="1062"/>
      <c r="I24" s="558"/>
      <c r="J24" s="558"/>
    </row>
    <row r="25" spans="1:10">
      <c r="A25" s="94"/>
      <c r="B25" s="94" t="s">
        <v>168</v>
      </c>
      <c r="C25" s="96"/>
      <c r="D25" s="97">
        <f>+'VASANA '!E81</f>
        <v>2024.01</v>
      </c>
      <c r="E25" s="1061"/>
      <c r="F25" s="1062"/>
      <c r="G25" s="1062"/>
      <c r="H25" s="1062"/>
      <c r="I25" s="558"/>
      <c r="J25" s="558"/>
    </row>
    <row r="26" spans="1:10">
      <c r="A26" s="94"/>
      <c r="B26" s="94" t="s">
        <v>178</v>
      </c>
      <c r="C26" s="96"/>
      <c r="D26" s="97">
        <f>+'VASANA '!F81</f>
        <v>0</v>
      </c>
      <c r="E26" s="1061"/>
      <c r="F26" s="1062"/>
      <c r="G26" s="1062"/>
      <c r="H26" s="1062"/>
      <c r="I26" s="558"/>
      <c r="J26" s="558"/>
    </row>
    <row r="27" spans="1:10">
      <c r="A27" s="94"/>
      <c r="B27" s="94" t="str">
        <f>+ODHAV1!B20</f>
        <v>(BEING 50% SET OFF TRF TO EXPS PL4197 AND</v>
      </c>
      <c r="C27" s="96"/>
      <c r="D27" s="97"/>
      <c r="F27" s="558"/>
      <c r="G27" s="558"/>
      <c r="H27" s="558"/>
      <c r="I27" s="558"/>
      <c r="J27" s="558"/>
    </row>
    <row r="28" spans="1:10" ht="16.5" thickBot="1">
      <c r="A28" s="99"/>
      <c r="B28" s="99" t="str">
        <f>+ODHAV1!B21</f>
        <v>50% TRF TO HO)</v>
      </c>
      <c r="C28" s="100"/>
      <c r="D28" s="101"/>
    </row>
    <row r="29" spans="1:10">
      <c r="C29" s="102"/>
      <c r="D29" s="102"/>
    </row>
    <row r="30" spans="1:10">
      <c r="C30" s="102"/>
      <c r="D30" s="102"/>
    </row>
    <row r="31" spans="1:10" ht="15.75" customHeight="1">
      <c r="A31" s="1467" t="s">
        <v>874</v>
      </c>
      <c r="B31" s="1467"/>
      <c r="C31" s="1467"/>
      <c r="D31" s="1467"/>
      <c r="F31" s="1468" t="s">
        <v>976</v>
      </c>
      <c r="G31" s="1468"/>
      <c r="H31" s="1468"/>
    </row>
    <row r="32" spans="1:10">
      <c r="A32" s="1467"/>
      <c r="B32" s="1467"/>
      <c r="C32" s="1467"/>
      <c r="D32" s="1467"/>
      <c r="F32" s="1468"/>
      <c r="G32" s="1468"/>
      <c r="H32" s="1468"/>
    </row>
    <row r="33" spans="3:8">
      <c r="C33" s="102"/>
      <c r="D33" s="102"/>
      <c r="F33" s="781"/>
      <c r="G33" s="781"/>
      <c r="H33" s="781"/>
    </row>
    <row r="34" spans="3:8">
      <c r="C34" s="102"/>
      <c r="D34" s="102"/>
      <c r="F34" s="781"/>
      <c r="G34" s="781"/>
      <c r="H34" s="781"/>
    </row>
    <row r="35" spans="3:8">
      <c r="C35" s="102"/>
      <c r="D35" s="102"/>
    </row>
    <row r="36" spans="3:8">
      <c r="C36" s="102"/>
      <c r="D36" s="102"/>
    </row>
    <row r="37" spans="3:8">
      <c r="C37" s="102"/>
      <c r="D37" s="102"/>
    </row>
  </sheetData>
  <mergeCells count="4">
    <mergeCell ref="A1:D1"/>
    <mergeCell ref="A3:D3"/>
    <mergeCell ref="A31:D32"/>
    <mergeCell ref="F31:H32"/>
  </mergeCells>
  <pageMargins left="0.7" right="0.7" top="0.75" bottom="0.75" header="0.3" footer="0.3"/>
  <pageSetup paperSize="9" scale="70" fitToHeight="0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3">
    <tabColor rgb="FF92D050"/>
    <pageSetUpPr fitToPage="1"/>
  </sheetPr>
  <dimension ref="A1:M675"/>
  <sheetViews>
    <sheetView view="pageBreakPreview" zoomScale="60" zoomScaleNormal="100" workbookViewId="0">
      <selection activeCell="C8" sqref="C8"/>
    </sheetView>
  </sheetViews>
  <sheetFormatPr defaultColWidth="9.140625" defaultRowHeight="15.75"/>
  <cols>
    <col min="1" max="1" width="11.5703125" style="90" bestFit="1" customWidth="1"/>
    <col min="2" max="2" width="61.42578125" style="90" bestFit="1" customWidth="1"/>
    <col min="3" max="4" width="17.42578125" style="90" bestFit="1" customWidth="1"/>
    <col min="5" max="5" width="9.140625" style="90"/>
    <col min="6" max="6" width="13.5703125" style="90" bestFit="1" customWidth="1"/>
    <col min="7" max="16384" width="9.140625" style="90"/>
  </cols>
  <sheetData>
    <row r="1" spans="1:7">
      <c r="A1" s="1463" t="s">
        <v>188</v>
      </c>
      <c r="B1" s="1463"/>
      <c r="C1" s="1463"/>
      <c r="D1" s="1463"/>
    </row>
    <row r="2" spans="1:7">
      <c r="A2" s="91"/>
      <c r="B2" s="91"/>
      <c r="C2" s="91"/>
      <c r="D2" s="91"/>
    </row>
    <row r="3" spans="1:7">
      <c r="A3" s="1463" t="str">
        <f>+ODHAV1!$A$3</f>
        <v>GST ENTRIES FOR THE MONTH OF SEP 2026</v>
      </c>
      <c r="B3" s="1463"/>
      <c r="C3" s="1463"/>
      <c r="D3" s="1463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>
      <c r="A6" s="94"/>
      <c r="B6" s="94"/>
      <c r="D6" s="94"/>
    </row>
    <row r="7" spans="1:7">
      <c r="A7" s="95">
        <v>1</v>
      </c>
      <c r="B7" s="94" t="s">
        <v>161</v>
      </c>
      <c r="C7" s="96">
        <f>+SURAT!D74</f>
        <v>43836.39</v>
      </c>
      <c r="D7" s="97"/>
    </row>
    <row r="8" spans="1:7">
      <c r="A8" s="95"/>
      <c r="B8" s="94" t="s">
        <v>162</v>
      </c>
      <c r="C8" s="96">
        <f>+SURAT!E74</f>
        <v>43836.39</v>
      </c>
      <c r="D8" s="97"/>
    </row>
    <row r="9" spans="1:7">
      <c r="A9" s="95"/>
      <c r="B9" s="94" t="s">
        <v>195</v>
      </c>
      <c r="C9" s="96">
        <f>+SURAT!F74</f>
        <v>0</v>
      </c>
      <c r="D9" s="97"/>
    </row>
    <row r="10" spans="1:7">
      <c r="A10" s="95"/>
      <c r="B10" s="94" t="s">
        <v>163</v>
      </c>
      <c r="C10" s="96"/>
      <c r="D10" s="97">
        <f>+C7+C8+C9</f>
        <v>87672.78</v>
      </c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AUG 2026 TRANSFER TO HO)</v>
      </c>
      <c r="C12" s="96"/>
      <c r="D12" s="97"/>
    </row>
    <row r="13" spans="1:7" ht="16.5" thickBot="1">
      <c r="A13" s="98"/>
      <c r="B13" s="99"/>
      <c r="C13" s="100"/>
      <c r="D13" s="101"/>
    </row>
    <row r="14" spans="1:7">
      <c r="A14" s="95"/>
      <c r="B14" s="119"/>
      <c r="C14" s="96"/>
      <c r="D14" s="97"/>
    </row>
    <row r="15" spans="1:7">
      <c r="A15" s="95">
        <v>2</v>
      </c>
      <c r="B15" s="94" t="s">
        <v>165</v>
      </c>
      <c r="C15" s="96">
        <f>+(D17+D18+D19)/2</f>
        <v>4964.1499999999996</v>
      </c>
      <c r="D15" s="97"/>
      <c r="E15" s="1061"/>
      <c r="F15" s="1056"/>
      <c r="G15" s="1056"/>
    </row>
    <row r="16" spans="1:7">
      <c r="A16" s="95"/>
      <c r="B16" s="94" t="s">
        <v>166</v>
      </c>
      <c r="C16" s="96">
        <f>+SUM(D17:D19)/2</f>
        <v>4964.1499999999996</v>
      </c>
      <c r="D16" s="97"/>
      <c r="E16" s="1061"/>
      <c r="F16" s="1056"/>
      <c r="G16" s="1056"/>
    </row>
    <row r="17" spans="1:7">
      <c r="A17" s="94"/>
      <c r="B17" s="94" t="s">
        <v>167</v>
      </c>
      <c r="C17" s="96"/>
      <c r="D17" s="97">
        <f>+SURAT!D81</f>
        <v>4964.1499999999996</v>
      </c>
      <c r="E17" s="1061"/>
      <c r="F17" s="1056"/>
      <c r="G17" s="1056"/>
    </row>
    <row r="18" spans="1:7">
      <c r="A18" s="94"/>
      <c r="B18" s="94" t="s">
        <v>168</v>
      </c>
      <c r="C18" s="96"/>
      <c r="D18" s="97">
        <f>+SURAT!E81</f>
        <v>4964.1499999999996</v>
      </c>
      <c r="E18" s="1061"/>
      <c r="F18" s="1056"/>
      <c r="G18" s="1056"/>
    </row>
    <row r="19" spans="1:7">
      <c r="A19" s="94"/>
      <c r="B19" s="94" t="s">
        <v>178</v>
      </c>
      <c r="C19" s="96"/>
      <c r="D19" s="97">
        <f>+SURAT!F81</f>
        <v>0</v>
      </c>
      <c r="E19" s="1061"/>
      <c r="F19" s="1056"/>
      <c r="G19" s="1056"/>
    </row>
    <row r="20" spans="1:7">
      <c r="A20" s="94"/>
      <c r="B20" s="94" t="str">
        <f>+ODHAV1!B20</f>
        <v>(BEING 50% SET OFF TRF TO EXPS PL4197 AND</v>
      </c>
      <c r="C20" s="96"/>
      <c r="D20" s="97"/>
      <c r="E20" s="1061"/>
      <c r="F20" s="1056"/>
      <c r="G20" s="1056"/>
    </row>
    <row r="21" spans="1:7" ht="16.5" thickBot="1">
      <c r="A21" s="99"/>
      <c r="B21" s="99" t="str">
        <f>+ODHAV1!B21</f>
        <v>50% TRF TO HO)</v>
      </c>
      <c r="C21" s="100"/>
      <c r="D21" s="101"/>
    </row>
    <row r="22" spans="1:7" ht="15.75" customHeight="1">
      <c r="A22" s="119"/>
      <c r="B22" s="465"/>
      <c r="C22" s="689"/>
      <c r="D22" s="686"/>
      <c r="E22" s="1061"/>
      <c r="F22" s="1056"/>
      <c r="G22" s="1056"/>
    </row>
    <row r="23" spans="1:7">
      <c r="A23" s="95">
        <f>+A15+1</f>
        <v>3</v>
      </c>
      <c r="B23" s="90" t="s">
        <v>854</v>
      </c>
      <c r="C23" s="210"/>
      <c r="D23" s="687"/>
      <c r="E23" s="1061"/>
      <c r="F23" s="1056"/>
      <c r="G23" s="1056"/>
    </row>
    <row r="24" spans="1:7">
      <c r="A24" s="94"/>
      <c r="B24" s="90" t="s">
        <v>855</v>
      </c>
      <c r="C24" s="210"/>
      <c r="D24" s="687"/>
      <c r="E24" s="1061"/>
      <c r="F24" s="1056"/>
      <c r="G24" s="1056"/>
    </row>
    <row r="25" spans="1:7">
      <c r="A25" s="94"/>
      <c r="B25" s="90" t="s">
        <v>853</v>
      </c>
      <c r="C25" s="210"/>
      <c r="D25" s="687">
        <f>+C24</f>
        <v>0</v>
      </c>
      <c r="E25" s="1061"/>
      <c r="F25" s="1056"/>
      <c r="G25" s="1056"/>
    </row>
    <row r="26" spans="1:7">
      <c r="A26" s="94"/>
      <c r="B26" s="90" t="s">
        <v>856</v>
      </c>
      <c r="C26" s="210"/>
      <c r="D26" s="687">
        <f>+C24</f>
        <v>0</v>
      </c>
      <c r="E26" s="1061"/>
      <c r="F26" s="1056"/>
      <c r="G26" s="1056"/>
    </row>
    <row r="27" spans="1:7">
      <c r="A27" s="94"/>
      <c r="C27" s="210"/>
      <c r="D27" s="687"/>
      <c r="E27" s="1061"/>
      <c r="F27" s="1056"/>
      <c r="G27" s="1056"/>
    </row>
    <row r="28" spans="1:7" ht="16.5" thickBot="1">
      <c r="A28" s="99"/>
      <c r="B28" s="425"/>
      <c r="C28" s="450"/>
      <c r="D28" s="688"/>
    </row>
    <row r="29" spans="1:7">
      <c r="C29" s="102"/>
      <c r="D29" s="102"/>
    </row>
    <row r="30" spans="1:7">
      <c r="C30" s="102"/>
      <c r="D30" s="102"/>
    </row>
    <row r="31" spans="1:7">
      <c r="C31" s="102"/>
      <c r="D31" s="102"/>
    </row>
    <row r="32" spans="1:7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4">
    <tabColor rgb="FF92D050"/>
    <pageSetUpPr fitToPage="1"/>
  </sheetPr>
  <dimension ref="A1:M675"/>
  <sheetViews>
    <sheetView view="pageBreakPreview" zoomScale="60" zoomScaleNormal="100" workbookViewId="0">
      <selection activeCell="C9" sqref="C9"/>
    </sheetView>
  </sheetViews>
  <sheetFormatPr defaultColWidth="9.140625" defaultRowHeight="15.75"/>
  <cols>
    <col min="1" max="1" width="11.5703125" style="90" bestFit="1" customWidth="1"/>
    <col min="2" max="2" width="74.85546875" style="90" customWidth="1"/>
    <col min="3" max="4" width="20.140625" style="90" bestFit="1" customWidth="1"/>
    <col min="5" max="5" width="16.7109375" style="90" bestFit="1" customWidth="1"/>
    <col min="6" max="16384" width="9.140625" style="90"/>
  </cols>
  <sheetData>
    <row r="1" spans="1:12">
      <c r="A1" s="1463" t="s">
        <v>189</v>
      </c>
      <c r="B1" s="1463"/>
      <c r="C1" s="1463"/>
      <c r="D1" s="1463"/>
    </row>
    <row r="2" spans="1:12">
      <c r="A2" s="91"/>
      <c r="B2" s="91"/>
      <c r="C2" s="91"/>
      <c r="D2" s="91"/>
    </row>
    <row r="3" spans="1:12">
      <c r="A3" s="1463" t="str">
        <f>+ODHAV1!$A$3</f>
        <v>GST ENTRIES FOR THE MONTH OF SEP 2026</v>
      </c>
      <c r="B3" s="1463"/>
      <c r="C3" s="1463"/>
      <c r="D3" s="1463"/>
    </row>
    <row r="4" spans="1:12" ht="16.5" thickBot="1"/>
    <row r="5" spans="1:12" ht="16.5" thickBot="1">
      <c r="A5" s="92" t="s">
        <v>158</v>
      </c>
      <c r="B5" s="92" t="s">
        <v>139</v>
      </c>
      <c r="C5" s="92" t="s">
        <v>159</v>
      </c>
      <c r="D5" s="92" t="s">
        <v>160</v>
      </c>
    </row>
    <row r="6" spans="1:12">
      <c r="A6" s="94"/>
      <c r="B6" s="94"/>
      <c r="C6" s="94"/>
      <c r="D6" s="94"/>
    </row>
    <row r="7" spans="1:12">
      <c r="A7" s="95">
        <v>1</v>
      </c>
      <c r="B7" s="94" t="s">
        <v>161</v>
      </c>
      <c r="C7" s="97">
        <f>+'LAW GARDEN'!D74</f>
        <v>82565.320000000007</v>
      </c>
      <c r="D7" s="97"/>
    </row>
    <row r="8" spans="1:12">
      <c r="A8" s="95"/>
      <c r="B8" s="94" t="s">
        <v>162</v>
      </c>
      <c r="C8" s="97">
        <f>+'LAW GARDEN'!E74</f>
        <v>82565.320000000007</v>
      </c>
      <c r="D8" s="97"/>
    </row>
    <row r="9" spans="1:12">
      <c r="A9" s="95"/>
      <c r="B9" s="94" t="s">
        <v>195</v>
      </c>
      <c r="C9" s="97">
        <f>+'LAW GARDEN'!F74</f>
        <v>0</v>
      </c>
      <c r="D9" s="97"/>
    </row>
    <row r="10" spans="1:12">
      <c r="A10" s="95"/>
      <c r="B10" s="94" t="s">
        <v>163</v>
      </c>
      <c r="C10" s="97"/>
      <c r="D10" s="97">
        <f>+C7+C8+C9</f>
        <v>165130.64000000001</v>
      </c>
    </row>
    <row r="11" spans="1:12">
      <c r="A11" s="95"/>
      <c r="B11" s="94" t="str">
        <f>+ODHAV1!B11</f>
        <v>(BEING GST PAYABLE FOR THE MONTH OF</v>
      </c>
      <c r="C11" s="97"/>
      <c r="D11" s="97"/>
    </row>
    <row r="12" spans="1:12">
      <c r="A12" s="95"/>
      <c r="B12" s="94" t="str">
        <f>+ODHAV1!B12</f>
        <v>AUG 2026 TRANSFER TO HO)</v>
      </c>
      <c r="C12" s="97"/>
      <c r="D12" s="97"/>
    </row>
    <row r="13" spans="1:12" ht="16.5" thickBot="1">
      <c r="A13" s="98"/>
      <c r="B13" s="99"/>
      <c r="C13" s="101"/>
      <c r="D13" s="101"/>
    </row>
    <row r="14" spans="1:12">
      <c r="A14" s="95"/>
      <c r="B14" s="94"/>
      <c r="C14" s="97"/>
      <c r="D14" s="97"/>
      <c r="E14" s="1057"/>
      <c r="F14" s="1057"/>
      <c r="G14" s="1057"/>
    </row>
    <row r="15" spans="1:12">
      <c r="A15" s="95">
        <v>2</v>
      </c>
      <c r="B15" s="94" t="s">
        <v>161</v>
      </c>
      <c r="C15" s="97">
        <v>0</v>
      </c>
      <c r="D15" s="97"/>
      <c r="E15" s="1057"/>
      <c r="F15" s="1057"/>
      <c r="G15" s="1057"/>
      <c r="L15" s="90">
        <f>2362/2</f>
        <v>1181</v>
      </c>
    </row>
    <row r="16" spans="1:12">
      <c r="A16" s="95"/>
      <c r="B16" s="94" t="s">
        <v>162</v>
      </c>
      <c r="C16" s="97">
        <v>0</v>
      </c>
      <c r="D16" s="97"/>
      <c r="E16" s="1057"/>
      <c r="F16" s="1057"/>
      <c r="G16" s="1057"/>
    </row>
    <row r="17" spans="1:8">
      <c r="A17" s="95"/>
      <c r="B17" s="94" t="s">
        <v>729</v>
      </c>
      <c r="C17" s="97"/>
      <c r="D17" s="97">
        <f>+C15+C16</f>
        <v>0</v>
      </c>
      <c r="E17" s="1057"/>
      <c r="F17" s="1057"/>
      <c r="G17" s="1057"/>
    </row>
    <row r="18" spans="1:8">
      <c r="A18" s="95"/>
      <c r="B18" s="90" t="s">
        <v>730</v>
      </c>
      <c r="C18" s="97"/>
      <c r="D18" s="97"/>
      <c r="E18" s="1057"/>
      <c r="F18" s="1057"/>
      <c r="G18" s="1057"/>
    </row>
    <row r="19" spans="1:8" ht="16.5" thickBot="1">
      <c r="A19" s="98"/>
      <c r="B19" s="99"/>
      <c r="C19" s="101"/>
      <c r="D19" s="101"/>
      <c r="E19" s="1057"/>
      <c r="F19" s="1057"/>
      <c r="G19" s="1057"/>
    </row>
    <row r="20" spans="1:8">
      <c r="A20" s="95"/>
      <c r="B20" s="94"/>
      <c r="C20" s="97"/>
      <c r="D20" s="97"/>
      <c r="E20" s="779"/>
      <c r="F20" s="779"/>
      <c r="G20" s="779"/>
      <c r="H20" s="779"/>
    </row>
    <row r="21" spans="1:8">
      <c r="A21" s="95">
        <v>3</v>
      </c>
      <c r="B21" s="94" t="s">
        <v>165</v>
      </c>
      <c r="C21" s="97">
        <f>+D23+D24+D25-C22</f>
        <v>2935.71</v>
      </c>
      <c r="D21" s="97"/>
      <c r="E21" s="779"/>
      <c r="F21" s="779"/>
      <c r="G21" s="779"/>
      <c r="H21" s="779"/>
    </row>
    <row r="22" spans="1:8">
      <c r="A22" s="95"/>
      <c r="B22" s="94" t="s">
        <v>166</v>
      </c>
      <c r="C22" s="97">
        <f>+SUM(D23:D25)/2</f>
        <v>2935.71</v>
      </c>
      <c r="D22" s="97"/>
      <c r="E22" s="779"/>
      <c r="F22" s="779"/>
      <c r="G22" s="779"/>
      <c r="H22" s="779"/>
    </row>
    <row r="23" spans="1:8">
      <c r="A23" s="94"/>
      <c r="B23" s="94" t="s">
        <v>167</v>
      </c>
      <c r="C23" s="97"/>
      <c r="D23" s="97">
        <f>+'LAW GARDEN'!D81</f>
        <v>2935.71</v>
      </c>
      <c r="E23" s="779"/>
      <c r="F23" s="779"/>
      <c r="G23" s="779"/>
      <c r="H23" s="779"/>
    </row>
    <row r="24" spans="1:8">
      <c r="A24" s="94"/>
      <c r="B24" s="94" t="s">
        <v>168</v>
      </c>
      <c r="C24" s="97"/>
      <c r="D24" s="97">
        <f>+'LAW GARDEN'!E81</f>
        <v>2935.71</v>
      </c>
      <c r="E24" s="779"/>
      <c r="F24" s="779"/>
      <c r="G24" s="779"/>
      <c r="H24" s="779"/>
    </row>
    <row r="25" spans="1:8">
      <c r="A25" s="94"/>
      <c r="B25" s="94" t="s">
        <v>178</v>
      </c>
      <c r="C25" s="97"/>
      <c r="D25" s="97">
        <f>+'LAW GARDEN'!F81</f>
        <v>0</v>
      </c>
      <c r="E25" s="779"/>
      <c r="F25" s="779"/>
      <c r="G25" s="779"/>
      <c r="H25" s="779"/>
    </row>
    <row r="26" spans="1:8" ht="17.25" customHeight="1">
      <c r="A26" s="94"/>
      <c r="B26" s="94" t="str">
        <f>+ODHAV1!B20</f>
        <v>(BEING 50% SET OFF TRF TO EXPS PL4197 AND</v>
      </c>
      <c r="C26" s="97"/>
      <c r="D26" s="97"/>
      <c r="E26" s="779"/>
      <c r="F26" s="779"/>
      <c r="G26" s="779"/>
      <c r="H26" s="779"/>
    </row>
    <row r="27" spans="1:8" ht="16.5" thickBot="1">
      <c r="A27" s="99"/>
      <c r="B27" s="99" t="str">
        <f>+ODHAV1!B21</f>
        <v>50% TRF TO HO)</v>
      </c>
      <c r="C27" s="101"/>
      <c r="D27" s="101"/>
      <c r="E27" s="779"/>
      <c r="F27" s="779"/>
      <c r="G27" s="779"/>
      <c r="H27" s="779"/>
    </row>
    <row r="28" spans="1:8" ht="15.75" customHeight="1">
      <c r="A28" s="150"/>
      <c r="B28" s="119"/>
      <c r="C28" s="689"/>
      <c r="D28" s="686"/>
      <c r="E28" s="1061"/>
      <c r="F28" s="1056"/>
      <c r="G28" s="1056"/>
    </row>
    <row r="29" spans="1:8">
      <c r="A29" s="151">
        <v>4</v>
      </c>
      <c r="B29" s="610" t="s">
        <v>655</v>
      </c>
      <c r="C29" s="210">
        <v>0</v>
      </c>
      <c r="D29" s="687"/>
      <c r="E29" s="1061"/>
      <c r="F29" s="1056"/>
      <c r="G29" s="1056"/>
    </row>
    <row r="30" spans="1:8">
      <c r="A30" s="151"/>
      <c r="B30" s="94" t="s">
        <v>656</v>
      </c>
      <c r="C30" s="210">
        <v>0</v>
      </c>
      <c r="D30" s="687"/>
      <c r="E30" s="1061"/>
      <c r="F30" s="1056"/>
      <c r="G30" s="1056"/>
    </row>
    <row r="31" spans="1:8">
      <c r="A31" s="151"/>
      <c r="B31" s="691" t="s">
        <v>654</v>
      </c>
      <c r="C31" s="210"/>
      <c r="D31" s="687">
        <f>+C29+C30</f>
        <v>0</v>
      </c>
      <c r="E31" s="1061"/>
      <c r="F31" s="1056"/>
      <c r="G31" s="1056"/>
    </row>
    <row r="32" spans="1:8">
      <c r="A32" s="151"/>
      <c r="B32" s="94" t="s">
        <v>652</v>
      </c>
      <c r="C32" s="210"/>
      <c r="D32" s="687"/>
      <c r="E32" s="1061"/>
      <c r="F32" s="1056"/>
      <c r="G32" s="1056"/>
    </row>
    <row r="33" spans="1:7">
      <c r="A33" s="151"/>
      <c r="B33" s="94" t="s">
        <v>661</v>
      </c>
      <c r="C33" s="210"/>
      <c r="D33" s="687"/>
      <c r="E33" s="1061"/>
      <c r="F33" s="1056"/>
      <c r="G33" s="1056"/>
    </row>
    <row r="34" spans="1:7" ht="16.5" thickBot="1">
      <c r="A34" s="520"/>
      <c r="B34" s="655"/>
      <c r="C34" s="450"/>
      <c r="D34" s="688"/>
      <c r="E34" s="1061"/>
      <c r="F34" s="1056"/>
      <c r="G34" s="1056"/>
    </row>
    <row r="35" spans="1:7">
      <c r="A35" s="119"/>
      <c r="B35" s="465"/>
      <c r="C35" s="689"/>
      <c r="D35" s="689"/>
    </row>
    <row r="36" spans="1:7">
      <c r="A36" s="94">
        <v>5</v>
      </c>
      <c r="B36" s="94" t="s">
        <v>166</v>
      </c>
      <c r="C36" s="210">
        <f>+D37+D38</f>
        <v>0</v>
      </c>
      <c r="D36" s="210"/>
    </row>
    <row r="37" spans="1:7">
      <c r="A37" s="94"/>
      <c r="B37" s="90" t="s">
        <v>666</v>
      </c>
      <c r="C37" s="210"/>
      <c r="D37" s="210">
        <v>0</v>
      </c>
    </row>
    <row r="38" spans="1:7">
      <c r="A38" s="94"/>
      <c r="B38" s="90" t="s">
        <v>665</v>
      </c>
      <c r="C38" s="210"/>
      <c r="D38" s="210">
        <v>0</v>
      </c>
    </row>
    <row r="39" spans="1:7">
      <c r="A39" s="94"/>
      <c r="B39" s="90" t="s">
        <v>667</v>
      </c>
      <c r="C39" s="210"/>
      <c r="D39" s="210"/>
    </row>
    <row r="40" spans="1:7">
      <c r="A40" s="94"/>
      <c r="B40" s="90" t="s">
        <v>668</v>
      </c>
      <c r="C40" s="210"/>
      <c r="D40" s="210"/>
    </row>
    <row r="41" spans="1:7" ht="16.5" thickBot="1">
      <c r="A41" s="99"/>
      <c r="B41" s="425"/>
      <c r="C41" s="450"/>
      <c r="D41" s="450"/>
    </row>
    <row r="42" spans="1:7">
      <c r="A42" s="150"/>
      <c r="B42" s="119"/>
      <c r="C42" s="689"/>
      <c r="D42" s="686"/>
    </row>
    <row r="43" spans="1:7">
      <c r="A43" s="151">
        <v>6</v>
      </c>
      <c r="B43" s="94" t="s">
        <v>161</v>
      </c>
      <c r="C43" s="210">
        <v>0</v>
      </c>
      <c r="D43" s="687"/>
    </row>
    <row r="44" spans="1:7">
      <c r="A44" s="151"/>
      <c r="B44" s="94" t="s">
        <v>162</v>
      </c>
      <c r="C44" s="210">
        <v>0</v>
      </c>
      <c r="D44" s="687"/>
    </row>
    <row r="45" spans="1:7">
      <c r="A45" s="151"/>
      <c r="B45" s="94" t="s">
        <v>195</v>
      </c>
      <c r="C45" s="210"/>
      <c r="D45" s="687"/>
    </row>
    <row r="46" spans="1:7">
      <c r="A46" s="151"/>
      <c r="B46" s="94" t="s">
        <v>163</v>
      </c>
      <c r="C46" s="210"/>
      <c r="D46" s="687">
        <f>+C43+C44</f>
        <v>0</v>
      </c>
    </row>
    <row r="47" spans="1:7">
      <c r="A47" s="151"/>
      <c r="B47" s="94" t="s">
        <v>164</v>
      </c>
      <c r="C47" s="210"/>
      <c r="D47" s="687"/>
    </row>
    <row r="48" spans="1:7">
      <c r="A48" s="151"/>
      <c r="B48" s="94" t="s">
        <v>669</v>
      </c>
      <c r="C48" s="210"/>
      <c r="D48" s="687"/>
    </row>
    <row r="49" spans="1:4" ht="16.5" thickBot="1">
      <c r="A49" s="520"/>
      <c r="B49" s="99"/>
      <c r="C49" s="450"/>
      <c r="D49" s="688"/>
    </row>
    <row r="50" spans="1:4">
      <c r="C50" s="102"/>
      <c r="D50" s="102"/>
    </row>
    <row r="51" spans="1:4">
      <c r="C51" s="102"/>
      <c r="D51" s="102"/>
    </row>
    <row r="52" spans="1:4">
      <c r="C52" s="102"/>
      <c r="D52" s="102"/>
    </row>
    <row r="53" spans="1:4">
      <c r="C53" s="102"/>
      <c r="D53" s="102"/>
    </row>
    <row r="54" spans="1:4">
      <c r="C54" s="102"/>
      <c r="D54" s="102"/>
    </row>
    <row r="55" spans="1:4">
      <c r="C55" s="102"/>
      <c r="D55" s="102"/>
    </row>
    <row r="56" spans="1:4">
      <c r="C56" s="102"/>
      <c r="D56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69" fitToHeight="0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5">
    <tabColor rgb="FF92D050"/>
    <pageSetUpPr fitToPage="1"/>
  </sheetPr>
  <dimension ref="A1:M675"/>
  <sheetViews>
    <sheetView view="pageBreakPreview" zoomScale="60" zoomScaleNormal="100" workbookViewId="0">
      <selection activeCell="M21" sqref="M21"/>
    </sheetView>
  </sheetViews>
  <sheetFormatPr defaultColWidth="9.140625" defaultRowHeight="15.75"/>
  <cols>
    <col min="1" max="1" width="11.5703125" style="90" bestFit="1" customWidth="1"/>
    <col min="2" max="2" width="64.85546875" style="90" bestFit="1" customWidth="1"/>
    <col min="3" max="3" width="19.28515625" style="90" bestFit="1" customWidth="1"/>
    <col min="4" max="4" width="20.140625" style="90" bestFit="1" customWidth="1"/>
    <col min="5" max="16384" width="9.140625" style="90"/>
  </cols>
  <sheetData>
    <row r="1" spans="1:4">
      <c r="A1" s="1463" t="s">
        <v>190</v>
      </c>
      <c r="B1" s="1463"/>
      <c r="C1" s="1463"/>
      <c r="D1" s="1463"/>
    </row>
    <row r="2" spans="1:4">
      <c r="A2" s="91"/>
      <c r="B2" s="91"/>
      <c r="C2" s="91"/>
      <c r="D2" s="91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201"/>
      <c r="B6" s="201"/>
      <c r="C6" s="202"/>
      <c r="D6" s="201"/>
    </row>
    <row r="7" spans="1:4">
      <c r="A7" s="95">
        <v>1</v>
      </c>
      <c r="B7" s="94" t="s">
        <v>161</v>
      </c>
      <c r="C7" s="96">
        <f>+'NEW CLOTH'!D74</f>
        <v>36726.43</v>
      </c>
      <c r="D7" s="97"/>
    </row>
    <row r="8" spans="1:4">
      <c r="A8" s="95"/>
      <c r="B8" s="94" t="s">
        <v>162</v>
      </c>
      <c r="C8" s="96">
        <f>+'NEW CLOTH'!E74</f>
        <v>36726.43</v>
      </c>
      <c r="D8" s="97"/>
    </row>
    <row r="9" spans="1:4">
      <c r="A9" s="95"/>
      <c r="B9" s="94" t="s">
        <v>195</v>
      </c>
      <c r="C9" s="96">
        <f>+'NEW CLOTH'!F74</f>
        <v>0</v>
      </c>
      <c r="D9" s="97"/>
    </row>
    <row r="10" spans="1:4">
      <c r="A10" s="95"/>
      <c r="B10" s="94" t="s">
        <v>163</v>
      </c>
      <c r="C10" s="96"/>
      <c r="D10" s="97">
        <f>+C7+C8+C9</f>
        <v>73452.86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549</v>
      </c>
      <c r="C15" s="96">
        <v>0</v>
      </c>
      <c r="D15" s="97"/>
    </row>
    <row r="16" spans="1:4">
      <c r="A16" s="94"/>
      <c r="B16" s="94" t="s">
        <v>550</v>
      </c>
      <c r="C16" s="96"/>
      <c r="D16" s="97">
        <v>0</v>
      </c>
    </row>
    <row r="17" spans="1:4">
      <c r="A17" s="94"/>
      <c r="B17" s="94" t="s">
        <v>551</v>
      </c>
      <c r="C17" s="96"/>
      <c r="D17" s="97">
        <v>0</v>
      </c>
    </row>
    <row r="18" spans="1:4">
      <c r="A18" s="94"/>
      <c r="B18" s="94" t="s">
        <v>546</v>
      </c>
      <c r="C18" s="96"/>
      <c r="D18" s="97">
        <f>+NARAYANNAGAR!F82</f>
        <v>0</v>
      </c>
    </row>
    <row r="19" spans="1:4">
      <c r="A19" s="94"/>
      <c r="B19" s="211" t="s">
        <v>548</v>
      </c>
      <c r="C19" s="96"/>
      <c r="D19" s="97"/>
    </row>
    <row r="20" spans="1:4" ht="16.5" thickBot="1">
      <c r="A20" s="99"/>
      <c r="B20" s="99"/>
      <c r="C20" s="100"/>
      <c r="D20" s="101"/>
    </row>
    <row r="21" spans="1:4">
      <c r="A21" s="95"/>
      <c r="B21" s="119"/>
      <c r="C21" s="96"/>
      <c r="D21" s="97"/>
    </row>
    <row r="22" spans="1:4">
      <c r="A22" s="95">
        <v>3</v>
      </c>
      <c r="B22" s="94" t="s">
        <v>165</v>
      </c>
      <c r="C22" s="96">
        <f>+(D24+D25+D26)/2</f>
        <v>4654.5</v>
      </c>
      <c r="D22" s="97"/>
    </row>
    <row r="23" spans="1:4">
      <c r="A23" s="95"/>
      <c r="B23" s="94" t="s">
        <v>166</v>
      </c>
      <c r="C23" s="96">
        <f>+SUM(D24:D26)/2</f>
        <v>4654.5</v>
      </c>
      <c r="D23" s="97"/>
    </row>
    <row r="24" spans="1:4">
      <c r="A24" s="94"/>
      <c r="B24" s="94" t="s">
        <v>167</v>
      </c>
      <c r="C24" s="96"/>
      <c r="D24" s="97">
        <f>+'NEW CLOTH'!D81</f>
        <v>4654.5</v>
      </c>
    </row>
    <row r="25" spans="1:4">
      <c r="A25" s="94"/>
      <c r="B25" s="94" t="s">
        <v>168</v>
      </c>
      <c r="C25" s="96"/>
      <c r="D25" s="97">
        <f>+'NEW CLOTH'!E81</f>
        <v>4654.5</v>
      </c>
    </row>
    <row r="26" spans="1:4">
      <c r="A26" s="94"/>
      <c r="B26" s="94" t="s">
        <v>178</v>
      </c>
      <c r="C26" s="96"/>
      <c r="D26" s="97">
        <f>+'NEW CLOTH'!F81</f>
        <v>0</v>
      </c>
    </row>
    <row r="27" spans="1:4">
      <c r="A27" s="94"/>
      <c r="B27" s="94" t="str">
        <f>+ODHAV1!B20</f>
        <v>(BEING 50% SET OFF TRF TO EXPS PL4197 AND</v>
      </c>
      <c r="C27" s="96"/>
      <c r="D27" s="97"/>
    </row>
    <row r="28" spans="1:4" ht="16.5" thickBot="1">
      <c r="A28" s="99"/>
      <c r="B28" s="99" t="str">
        <f>+ODHAV1!B21</f>
        <v>50% TRF TO HO)</v>
      </c>
      <c r="C28" s="100"/>
      <c r="D28" s="101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5" fitToHeight="0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6">
    <tabColor rgb="FF92D050"/>
    <pageSetUpPr fitToPage="1"/>
  </sheetPr>
  <dimension ref="A1:M691"/>
  <sheetViews>
    <sheetView view="pageBreakPreview" zoomScale="60" zoomScaleNormal="100" workbookViewId="0">
      <selection activeCell="L28" sqref="L28"/>
    </sheetView>
  </sheetViews>
  <sheetFormatPr defaultColWidth="9.140625" defaultRowHeight="15.75"/>
  <cols>
    <col min="1" max="1" width="12.42578125" style="91" customWidth="1"/>
    <col min="2" max="2" width="69.5703125" style="91" bestFit="1" customWidth="1"/>
    <col min="3" max="3" width="18" style="91" customWidth="1"/>
    <col min="4" max="4" width="17.42578125" style="91" bestFit="1" customWidth="1"/>
    <col min="5" max="5" width="13.42578125" style="91" bestFit="1" customWidth="1"/>
    <col min="6" max="6" width="12.5703125" style="91" bestFit="1" customWidth="1"/>
    <col min="7" max="16384" width="9.140625" style="91"/>
  </cols>
  <sheetData>
    <row r="1" spans="1:7">
      <c r="A1" s="1463" t="s">
        <v>191</v>
      </c>
      <c r="B1" s="1463"/>
      <c r="C1" s="1463"/>
      <c r="D1" s="1463"/>
    </row>
    <row r="3" spans="1:7">
      <c r="A3" s="1463" t="str">
        <f>+ODHAV1!$A$3</f>
        <v>GST ENTRIES FOR THE MONTH OF SEP 2026</v>
      </c>
      <c r="B3" s="1463"/>
      <c r="C3" s="1463"/>
      <c r="D3" s="1463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6.5">
      <c r="A6" s="124"/>
      <c r="B6" s="119"/>
      <c r="C6" s="205"/>
      <c r="D6" s="206"/>
      <c r="E6"/>
      <c r="F6"/>
      <c r="G6"/>
    </row>
    <row r="7" spans="1:7">
      <c r="A7" s="95">
        <v>1</v>
      </c>
      <c r="B7" s="94" t="s">
        <v>161</v>
      </c>
      <c r="C7" s="96">
        <f>+BAPUNAGAR!D74</f>
        <v>20507.68</v>
      </c>
      <c r="D7" s="97"/>
      <c r="E7" s="1464"/>
      <c r="F7" s="1465"/>
      <c r="G7" s="1465"/>
    </row>
    <row r="8" spans="1:7">
      <c r="A8" s="95"/>
      <c r="B8" s="94" t="s">
        <v>162</v>
      </c>
      <c r="C8" s="96">
        <f>+BAPUNAGAR!E74</f>
        <v>20507.68</v>
      </c>
      <c r="D8" s="97"/>
      <c r="E8" s="1464"/>
      <c r="F8" s="1465"/>
      <c r="G8" s="1465"/>
    </row>
    <row r="9" spans="1:7">
      <c r="A9" s="95"/>
      <c r="B9" s="94" t="s">
        <v>195</v>
      </c>
      <c r="C9" s="96">
        <f>+BAPUNAGAR!F74</f>
        <v>0</v>
      </c>
      <c r="D9" s="97"/>
      <c r="E9" s="1464"/>
      <c r="F9" s="1465"/>
      <c r="G9" s="1465"/>
    </row>
    <row r="10" spans="1:7">
      <c r="A10" s="95"/>
      <c r="B10" s="94" t="s">
        <v>163</v>
      </c>
      <c r="C10" s="96"/>
      <c r="D10" s="97">
        <f>+C7+C8+C9</f>
        <v>41015.360000000001</v>
      </c>
      <c r="E10" s="1464"/>
      <c r="F10" s="1465"/>
      <c r="G10" s="1465"/>
    </row>
    <row r="11" spans="1:7" ht="16.5">
      <c r="A11" s="95"/>
      <c r="B11" s="94" t="str">
        <f>+ODHAV1!B11</f>
        <v>(BEING GST PAYABLE FOR THE MONTH OF</v>
      </c>
      <c r="C11" s="96"/>
      <c r="D11" s="97"/>
      <c r="E11"/>
      <c r="F11"/>
      <c r="G11"/>
    </row>
    <row r="12" spans="1:7" ht="16.5">
      <c r="A12" s="95"/>
      <c r="B12" s="94" t="str">
        <f>+ODHAV1!B12</f>
        <v>AUG 2026 TRANSFER TO HO)</v>
      </c>
      <c r="C12" s="96"/>
      <c r="D12" s="97"/>
      <c r="E12"/>
      <c r="F12"/>
      <c r="G12"/>
    </row>
    <row r="13" spans="1:7" ht="17.25" thickBot="1">
      <c r="A13" s="98"/>
      <c r="B13" s="99"/>
      <c r="C13" s="100"/>
      <c r="D13" s="101"/>
      <c r="E13"/>
      <c r="F13"/>
      <c r="G13"/>
    </row>
    <row r="14" spans="1:7" ht="16.5">
      <c r="A14" s="95"/>
      <c r="B14" s="119"/>
      <c r="C14" s="96"/>
      <c r="D14" s="97"/>
      <c r="E14"/>
      <c r="F14"/>
      <c r="G14"/>
    </row>
    <row r="15" spans="1:7" ht="16.5">
      <c r="A15" s="95">
        <v>2</v>
      </c>
      <c r="B15" s="94" t="s">
        <v>165</v>
      </c>
      <c r="C15" s="96">
        <f>+(D17+D18+D19)/2</f>
        <v>8043.75</v>
      </c>
      <c r="D15" s="97"/>
      <c r="E15"/>
      <c r="F15"/>
      <c r="G15"/>
    </row>
    <row r="16" spans="1:7" ht="16.5">
      <c r="A16" s="95"/>
      <c r="B16" s="94" t="s">
        <v>166</v>
      </c>
      <c r="C16" s="96">
        <f>+SUM(D17:D19)/2</f>
        <v>8043.75</v>
      </c>
      <c r="D16" s="97"/>
      <c r="E16"/>
      <c r="F16"/>
      <c r="G16"/>
    </row>
    <row r="17" spans="1:7" ht="16.5">
      <c r="A17" s="94"/>
      <c r="B17" s="94" t="s">
        <v>167</v>
      </c>
      <c r="C17" s="96"/>
      <c r="D17" s="97">
        <f>+BAPUNAGAR!D81</f>
        <v>8043.75</v>
      </c>
      <c r="E17"/>
      <c r="F17"/>
      <c r="G17"/>
    </row>
    <row r="18" spans="1:7" ht="16.5">
      <c r="A18" s="94"/>
      <c r="B18" s="94" t="s">
        <v>168</v>
      </c>
      <c r="C18" s="96"/>
      <c r="D18" s="97">
        <f>+BAPUNAGAR!E81</f>
        <v>8043.75</v>
      </c>
      <c r="E18"/>
      <c r="F18"/>
      <c r="G18"/>
    </row>
    <row r="19" spans="1:7" ht="16.5">
      <c r="A19" s="94"/>
      <c r="B19" s="94" t="s">
        <v>178</v>
      </c>
      <c r="C19" s="96"/>
      <c r="D19" s="97">
        <f>+BAPUNAGAR!F81</f>
        <v>0</v>
      </c>
      <c r="E19"/>
      <c r="F19"/>
      <c r="G19"/>
    </row>
    <row r="20" spans="1:7" ht="16.5">
      <c r="A20" s="94"/>
      <c r="B20" s="94" t="str">
        <f>+ODHAV1!B20</f>
        <v>(BEING 50% SET OFF TRF TO EXPS PL4197 AND</v>
      </c>
      <c r="C20" s="96"/>
      <c r="D20" s="97"/>
      <c r="E20"/>
      <c r="F20"/>
      <c r="G20"/>
    </row>
    <row r="21" spans="1:7" ht="17.25" thickBot="1">
      <c r="A21" s="99"/>
      <c r="B21" s="99" t="str">
        <f>+ODHAV1!B21</f>
        <v>50% TRF TO HO)</v>
      </c>
      <c r="C21" s="100"/>
      <c r="D21" s="101"/>
      <c r="E21"/>
      <c r="F21"/>
      <c r="G21"/>
    </row>
    <row r="22" spans="1:7" ht="16.5">
      <c r="A22" s="119"/>
      <c r="B22" s="119"/>
      <c r="C22" s="205"/>
      <c r="D22" s="206"/>
      <c r="E22"/>
      <c r="F22"/>
      <c r="G22"/>
    </row>
    <row r="23" spans="1:7">
      <c r="A23" s="94"/>
      <c r="B23" s="94" t="s">
        <v>166</v>
      </c>
      <c r="C23" s="96">
        <f>+D24+D25</f>
        <v>0</v>
      </c>
      <c r="D23" s="97"/>
      <c r="E23" s="1464"/>
      <c r="F23" s="1465"/>
      <c r="G23" s="1465"/>
    </row>
    <row r="24" spans="1:7">
      <c r="A24" s="94"/>
      <c r="B24" s="94" t="s">
        <v>849</v>
      </c>
      <c r="C24" s="96"/>
      <c r="D24" s="97">
        <v>0</v>
      </c>
      <c r="E24" s="1464"/>
      <c r="F24" s="1465"/>
      <c r="G24" s="1465"/>
    </row>
    <row r="25" spans="1:7">
      <c r="A25" s="94"/>
      <c r="B25" s="94" t="s">
        <v>850</v>
      </c>
      <c r="C25" s="96"/>
      <c r="D25" s="97">
        <v>0</v>
      </c>
      <c r="E25" s="1464"/>
      <c r="F25" s="1465"/>
      <c r="G25" s="1465"/>
    </row>
    <row r="26" spans="1:7">
      <c r="A26" s="94"/>
      <c r="B26" s="94"/>
      <c r="C26" s="96"/>
      <c r="D26" s="97"/>
      <c r="E26" s="1464"/>
      <c r="F26" s="1465"/>
      <c r="G26" s="1465"/>
    </row>
    <row r="27" spans="1:7" ht="16.5">
      <c r="A27" s="94"/>
      <c r="B27" s="94"/>
      <c r="C27" s="96"/>
      <c r="D27" s="97"/>
      <c r="E27"/>
      <c r="F27"/>
      <c r="G27"/>
    </row>
    <row r="28" spans="1:7" ht="17.25" thickBot="1">
      <c r="A28" s="99"/>
      <c r="B28" s="99"/>
      <c r="C28" s="100"/>
      <c r="D28" s="101"/>
      <c r="E28"/>
      <c r="F28"/>
      <c r="G28"/>
    </row>
    <row r="29" spans="1:7" ht="16.5">
      <c r="A29" s="94"/>
      <c r="B29" s="90"/>
      <c r="C29" s="96"/>
      <c r="D29" s="334"/>
      <c r="E29"/>
      <c r="F29"/>
      <c r="G29"/>
    </row>
    <row r="30" spans="1:7" ht="16.5">
      <c r="A30" s="94"/>
      <c r="B30" s="90"/>
      <c r="C30" s="96"/>
      <c r="D30" s="334"/>
      <c r="E30"/>
      <c r="F30"/>
      <c r="G30"/>
    </row>
    <row r="31" spans="1:7" ht="16.5">
      <c r="A31" s="94"/>
      <c r="B31" s="90"/>
      <c r="C31" s="96"/>
      <c r="D31" s="334"/>
      <c r="E31"/>
      <c r="F31"/>
      <c r="G31"/>
    </row>
    <row r="32" spans="1:7" ht="17.25" thickBot="1">
      <c r="A32" s="94"/>
      <c r="B32" s="90"/>
      <c r="C32" s="96"/>
      <c r="D32" s="334"/>
      <c r="E32"/>
      <c r="F32"/>
      <c r="G32"/>
    </row>
    <row r="33" spans="1:8" ht="16.5" customHeight="1">
      <c r="A33" s="201"/>
      <c r="B33" s="202"/>
      <c r="C33" s="206"/>
      <c r="D33" s="206"/>
      <c r="E33" s="957"/>
      <c r="F33" s="896"/>
      <c r="G33" s="896"/>
      <c r="H33" s="896"/>
    </row>
    <row r="34" spans="1:8" ht="16.5" customHeight="1">
      <c r="A34" s="95">
        <v>3</v>
      </c>
      <c r="B34" s="94" t="s">
        <v>166</v>
      </c>
      <c r="C34" s="97">
        <f>+D35+D36</f>
        <v>0</v>
      </c>
      <c r="D34" s="97"/>
      <c r="E34" s="957"/>
      <c r="F34" s="896"/>
      <c r="G34" s="896"/>
      <c r="H34" s="896"/>
    </row>
    <row r="35" spans="1:8" ht="16.5" customHeight="1">
      <c r="A35" s="115"/>
      <c r="B35" s="94" t="s">
        <v>663</v>
      </c>
      <c r="C35" s="97"/>
      <c r="D35" s="97">
        <v>0</v>
      </c>
      <c r="E35" s="957"/>
      <c r="F35" s="1019"/>
      <c r="G35" s="1019"/>
      <c r="H35" s="1019"/>
    </row>
    <row r="36" spans="1:8" ht="16.5" customHeight="1">
      <c r="A36" s="115"/>
      <c r="B36" s="94" t="s">
        <v>664</v>
      </c>
      <c r="C36" s="97"/>
      <c r="D36" s="97">
        <f>+D35</f>
        <v>0</v>
      </c>
      <c r="E36" s="957"/>
      <c r="F36" s="1019"/>
      <c r="G36" s="1019"/>
      <c r="H36" s="1019"/>
    </row>
    <row r="37" spans="1:8" ht="16.5" customHeight="1">
      <c r="A37" s="115"/>
      <c r="B37" s="94" t="s">
        <v>782</v>
      </c>
      <c r="C37" s="712"/>
      <c r="D37" s="712"/>
      <c r="E37" s="957"/>
      <c r="F37" s="1019"/>
      <c r="G37" s="1019"/>
      <c r="H37" s="1019"/>
    </row>
    <row r="38" spans="1:8" ht="17.25" customHeight="1" thickBot="1">
      <c r="A38" s="423"/>
      <c r="B38" s="711"/>
      <c r="C38" s="713"/>
      <c r="D38" s="713"/>
      <c r="E38" s="896"/>
      <c r="F38" s="896"/>
      <c r="G38" s="896"/>
    </row>
    <row r="39" spans="1:8" ht="17.25" customHeight="1">
      <c r="A39" s="201"/>
      <c r="B39" s="202"/>
      <c r="C39" s="958"/>
      <c r="D39" s="958"/>
      <c r="E39" s="896"/>
      <c r="F39" s="896"/>
      <c r="G39" s="896"/>
    </row>
    <row r="40" spans="1:8" ht="17.25" customHeight="1">
      <c r="A40" s="132">
        <f>+A34+1</f>
        <v>4</v>
      </c>
      <c r="B40" s="90" t="s">
        <v>655</v>
      </c>
      <c r="C40" s="210">
        <f>+D42</f>
        <v>0</v>
      </c>
      <c r="D40" s="210"/>
      <c r="E40" s="896"/>
      <c r="F40" s="896"/>
      <c r="G40" s="896"/>
    </row>
    <row r="41" spans="1:8" ht="17.25" customHeight="1">
      <c r="A41" s="94"/>
      <c r="B41" s="90" t="s">
        <v>656</v>
      </c>
      <c r="C41" s="210">
        <f>+D43</f>
        <v>0</v>
      </c>
      <c r="D41" s="210"/>
      <c r="E41" s="896"/>
      <c r="F41" s="1019"/>
      <c r="G41" s="1019"/>
      <c r="H41" s="1019"/>
    </row>
    <row r="42" spans="1:8" ht="17.25" customHeight="1">
      <c r="A42" s="94"/>
      <c r="B42" s="90" t="s">
        <v>550</v>
      </c>
      <c r="C42" s="210"/>
      <c r="D42" s="210">
        <v>0</v>
      </c>
      <c r="E42" s="896"/>
      <c r="F42" s="1019"/>
      <c r="G42" s="1019"/>
      <c r="H42" s="1019"/>
    </row>
    <row r="43" spans="1:8" ht="17.25" customHeight="1">
      <c r="A43" s="94"/>
      <c r="B43" s="90" t="s">
        <v>551</v>
      </c>
      <c r="C43" s="210"/>
      <c r="D43" s="210">
        <v>0</v>
      </c>
      <c r="E43" s="896"/>
      <c r="F43" s="1019"/>
      <c r="G43" s="1019"/>
      <c r="H43" s="1019"/>
    </row>
    <row r="44" spans="1:8" ht="17.25" customHeight="1">
      <c r="A44" s="115"/>
      <c r="B44" s="90" t="s">
        <v>833</v>
      </c>
      <c r="C44" s="712"/>
      <c r="D44" s="712"/>
      <c r="E44" s="896"/>
      <c r="F44" s="896"/>
      <c r="G44" s="896"/>
    </row>
    <row r="45" spans="1:8" ht="16.5" thickBot="1">
      <c r="A45" s="423"/>
      <c r="B45" s="425" t="s">
        <v>834</v>
      </c>
      <c r="C45" s="713"/>
      <c r="D45" s="713"/>
    </row>
    <row r="46" spans="1:8">
      <c r="C46" s="178"/>
      <c r="D46" s="178"/>
    </row>
    <row r="47" spans="1:8">
      <c r="C47" s="178"/>
      <c r="D47" s="178"/>
    </row>
    <row r="48" spans="1:8">
      <c r="C48" s="178"/>
      <c r="D48" s="178"/>
    </row>
    <row r="49" spans="3:4">
      <c r="C49" s="178"/>
      <c r="D49" s="178"/>
    </row>
    <row r="50" spans="3:4">
      <c r="C50" s="178"/>
      <c r="D50" s="178"/>
    </row>
    <row r="51" spans="3:4">
      <c r="C51" s="178"/>
      <c r="D51" s="178"/>
    </row>
    <row r="52" spans="3:4">
      <c r="C52" s="178"/>
      <c r="D52" s="178"/>
    </row>
    <row r="53" spans="3:4">
      <c r="C53" s="178"/>
      <c r="D53" s="178"/>
    </row>
    <row r="54" spans="3:4">
      <c r="C54" s="178"/>
      <c r="D54" s="178"/>
    </row>
    <row r="55" spans="3:4">
      <c r="C55" s="178"/>
      <c r="D55" s="178"/>
    </row>
    <row r="56" spans="3:4">
      <c r="C56" s="178"/>
      <c r="D56" s="178"/>
    </row>
    <row r="57" spans="3:4">
      <c r="C57" s="178"/>
      <c r="D57" s="178"/>
    </row>
    <row r="58" spans="3:4">
      <c r="C58" s="178"/>
      <c r="D58" s="178"/>
    </row>
    <row r="59" spans="3:4">
      <c r="C59" s="178"/>
      <c r="D59" s="178"/>
    </row>
    <row r="60" spans="3:4">
      <c r="C60" s="178"/>
      <c r="D60" s="178"/>
    </row>
    <row r="61" spans="3:4">
      <c r="C61" s="178"/>
      <c r="D61" s="178"/>
    </row>
    <row r="62" spans="3:4">
      <c r="C62" s="178"/>
      <c r="D62" s="178"/>
    </row>
    <row r="63" spans="3:4">
      <c r="C63" s="178"/>
      <c r="D63" s="178"/>
    </row>
    <row r="64" spans="3:4">
      <c r="C64" s="178"/>
      <c r="D64" s="178"/>
    </row>
    <row r="65" spans="3:4">
      <c r="C65" s="178"/>
      <c r="D65" s="178"/>
    </row>
    <row r="66" spans="3:4">
      <c r="C66" s="178"/>
      <c r="D66" s="178"/>
    </row>
    <row r="453" spans="2:2">
      <c r="B453" s="91" t="s">
        <v>811</v>
      </c>
    </row>
    <row r="582" spans="13:13">
      <c r="M582" s="91" t="s">
        <v>804</v>
      </c>
    </row>
    <row r="600" spans="2:2">
      <c r="B600" s="91" t="s">
        <v>822</v>
      </c>
    </row>
    <row r="614" spans="2:2">
      <c r="B614" s="91" t="s">
        <v>821</v>
      </c>
    </row>
    <row r="691" spans="2:2">
      <c r="B691" s="91" t="s">
        <v>820</v>
      </c>
    </row>
  </sheetData>
  <mergeCells count="4">
    <mergeCell ref="A1:D1"/>
    <mergeCell ref="A3:D3"/>
    <mergeCell ref="E7:G10"/>
    <mergeCell ref="E23:G26"/>
  </mergeCells>
  <pageMargins left="0.7" right="0.7" top="0.75" bottom="0.75" header="0.3" footer="0.3"/>
  <pageSetup paperSize="9" scale="74" fitToHeight="0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7">
    <tabColor rgb="FF92D050"/>
    <pageSetUpPr fitToPage="1"/>
  </sheetPr>
  <dimension ref="A1:M675"/>
  <sheetViews>
    <sheetView view="pageBreakPreview" zoomScale="60" zoomScaleNormal="100" workbookViewId="0">
      <selection activeCell="L26" sqref="L26"/>
    </sheetView>
  </sheetViews>
  <sheetFormatPr defaultColWidth="9.140625" defaultRowHeight="15.75"/>
  <cols>
    <col min="1" max="1" width="11.5703125" style="90" bestFit="1" customWidth="1"/>
    <col min="2" max="2" width="66.140625" style="90" customWidth="1"/>
    <col min="3" max="3" width="19.140625" style="90" bestFit="1" customWidth="1"/>
    <col min="4" max="4" width="20.140625" style="90" bestFit="1" customWidth="1"/>
    <col min="5" max="5" width="13.28515625" style="90" bestFit="1" customWidth="1"/>
    <col min="6" max="16384" width="9.140625" style="90"/>
  </cols>
  <sheetData>
    <row r="1" spans="1:8">
      <c r="A1" s="1463" t="s">
        <v>192</v>
      </c>
      <c r="B1" s="1463"/>
      <c r="C1" s="1463"/>
      <c r="D1" s="1463"/>
    </row>
    <row r="2" spans="1:8">
      <c r="A2" s="91"/>
      <c r="B2" s="91"/>
      <c r="C2" s="91"/>
      <c r="D2" s="91"/>
    </row>
    <row r="3" spans="1:8">
      <c r="A3" s="1463" t="str">
        <f>+ODHAV1!$A$3</f>
        <v>GST ENTRIES FOR THE MONTH OF SEP 2026</v>
      </c>
      <c r="B3" s="1463"/>
      <c r="C3" s="1463"/>
      <c r="D3" s="1463"/>
    </row>
    <row r="4" spans="1:8" ht="16.5" thickBot="1"/>
    <row r="5" spans="1:8" ht="16.5" thickBot="1">
      <c r="A5" s="92" t="s">
        <v>158</v>
      </c>
      <c r="B5" s="92" t="s">
        <v>139</v>
      </c>
      <c r="C5" s="92" t="s">
        <v>159</v>
      </c>
      <c r="D5" s="333" t="s">
        <v>160</v>
      </c>
    </row>
    <row r="6" spans="1:8">
      <c r="A6" s="94"/>
      <c r="B6" s="94"/>
      <c r="C6" s="94"/>
      <c r="D6" s="361"/>
    </row>
    <row r="7" spans="1:8">
      <c r="A7" s="95">
        <v>1</v>
      </c>
      <c r="B7" s="94" t="s">
        <v>161</v>
      </c>
      <c r="C7" s="97">
        <f>+BOPAL!D75</f>
        <v>19379.03</v>
      </c>
      <c r="D7" s="334"/>
      <c r="E7" s="1464"/>
      <c r="F7" s="1465"/>
      <c r="G7" s="1465"/>
    </row>
    <row r="8" spans="1:8">
      <c r="A8" s="95"/>
      <c r="B8" s="94" t="s">
        <v>162</v>
      </c>
      <c r="C8" s="97">
        <f>+BOPAL!E75</f>
        <v>19379.03</v>
      </c>
      <c r="D8" s="334"/>
      <c r="E8" s="1464"/>
      <c r="F8" s="1465"/>
      <c r="G8" s="1465"/>
    </row>
    <row r="9" spans="1:8">
      <c r="A9" s="95"/>
      <c r="B9" s="94" t="s">
        <v>195</v>
      </c>
      <c r="C9" s="97">
        <f>+BOPAL!F75</f>
        <v>0</v>
      </c>
      <c r="D9" s="334"/>
      <c r="E9" s="1464"/>
      <c r="F9" s="1465"/>
      <c r="G9" s="1465"/>
    </row>
    <row r="10" spans="1:8">
      <c r="A10" s="95"/>
      <c r="B10" s="94" t="s">
        <v>163</v>
      </c>
      <c r="C10" s="97"/>
      <c r="D10" s="334">
        <f>+C7+C8+C9</f>
        <v>38758.06</v>
      </c>
      <c r="E10" s="1464"/>
      <c r="F10" s="1465"/>
      <c r="G10" s="1465"/>
    </row>
    <row r="11" spans="1:8">
      <c r="A11" s="95"/>
      <c r="B11" s="94" t="str">
        <f>+ODHAV1!B11</f>
        <v>(BEING GST PAYABLE FOR THE MONTH OF</v>
      </c>
      <c r="C11" s="97"/>
      <c r="D11" s="334"/>
    </row>
    <row r="12" spans="1:8">
      <c r="A12" s="95"/>
      <c r="B12" s="94" t="str">
        <f>+ODHAV1!B12</f>
        <v>AUG 2026 TRANSFER TO HO)</v>
      </c>
      <c r="C12" s="97"/>
      <c r="D12" s="334"/>
    </row>
    <row r="13" spans="1:8" ht="16.5" thickBot="1">
      <c r="A13" s="98"/>
      <c r="B13" s="99"/>
      <c r="C13" s="101"/>
      <c r="D13" s="335"/>
    </row>
    <row r="14" spans="1:8">
      <c r="A14" s="95"/>
      <c r="B14" s="119"/>
      <c r="C14" s="97"/>
      <c r="D14" s="334"/>
      <c r="E14" s="779"/>
      <c r="F14" s="779"/>
      <c r="G14" s="779"/>
      <c r="H14" s="779"/>
    </row>
    <row r="15" spans="1:8">
      <c r="A15" s="95">
        <v>2</v>
      </c>
      <c r="B15" s="94" t="s">
        <v>165</v>
      </c>
      <c r="C15" s="97">
        <f>+(D17+D18+D19-C16)</f>
        <v>9260.5</v>
      </c>
      <c r="D15" s="334"/>
      <c r="E15" s="779"/>
      <c r="F15" s="779"/>
      <c r="G15" s="779"/>
      <c r="H15" s="779"/>
    </row>
    <row r="16" spans="1:8">
      <c r="A16" s="95"/>
      <c r="B16" s="94" t="s">
        <v>166</v>
      </c>
      <c r="C16" s="97">
        <f>+SUM(D17:D19)/2</f>
        <v>9260.5</v>
      </c>
      <c r="D16" s="334"/>
      <c r="E16" s="779"/>
      <c r="F16" s="779"/>
      <c r="G16" s="779"/>
      <c r="H16" s="779"/>
    </row>
    <row r="17" spans="1:8">
      <c r="A17" s="94"/>
      <c r="B17" s="94" t="s">
        <v>167</v>
      </c>
      <c r="C17" s="97"/>
      <c r="D17" s="334">
        <f>+BOPAL!D82</f>
        <v>9260.5</v>
      </c>
      <c r="E17" s="779"/>
      <c r="F17" s="779"/>
      <c r="G17" s="779"/>
      <c r="H17" s="779"/>
    </row>
    <row r="18" spans="1:8">
      <c r="A18" s="94"/>
      <c r="B18" s="94" t="s">
        <v>168</v>
      </c>
      <c r="C18" s="97"/>
      <c r="D18" s="334">
        <f>+BOPAL!E82</f>
        <v>9260.5</v>
      </c>
      <c r="E18" s="779"/>
      <c r="F18" s="779"/>
      <c r="G18" s="779"/>
      <c r="H18" s="779"/>
    </row>
    <row r="19" spans="1:8">
      <c r="A19" s="94"/>
      <c r="B19" s="94" t="s">
        <v>178</v>
      </c>
      <c r="C19" s="97"/>
      <c r="D19" s="334">
        <f>+BOPAL!F82</f>
        <v>0</v>
      </c>
      <c r="E19" s="779"/>
      <c r="F19" s="779"/>
      <c r="G19" s="779"/>
      <c r="H19" s="779"/>
    </row>
    <row r="20" spans="1:8">
      <c r="A20" s="94"/>
      <c r="B20" s="94" t="str">
        <f>+ODHAV1!B20</f>
        <v>(BEING 50% SET OFF TRF TO EXPS PL4197 AND</v>
      </c>
      <c r="C20" s="97"/>
      <c r="D20" s="334"/>
      <c r="E20" s="779"/>
      <c r="F20" s="779"/>
      <c r="G20" s="779"/>
      <c r="H20" s="779"/>
    </row>
    <row r="21" spans="1:8" ht="16.5" thickBot="1">
      <c r="A21" s="99"/>
      <c r="B21" s="99" t="str">
        <f>+ODHAV1!B21</f>
        <v>50% TRF TO HO)</v>
      </c>
      <c r="C21" s="101"/>
      <c r="D21" s="335"/>
      <c r="E21" s="779"/>
      <c r="F21" s="779"/>
      <c r="G21" s="779"/>
      <c r="H21" s="779"/>
    </row>
    <row r="22" spans="1:8">
      <c r="A22" s="119"/>
      <c r="B22" s="465"/>
      <c r="C22" s="689"/>
      <c r="D22" s="689"/>
    </row>
    <row r="23" spans="1:8">
      <c r="A23" s="94">
        <v>3</v>
      </c>
      <c r="B23" s="94" t="s">
        <v>166</v>
      </c>
      <c r="C23" s="210">
        <f>+D24+D25</f>
        <v>0</v>
      </c>
      <c r="D23" s="210"/>
    </row>
    <row r="24" spans="1:8">
      <c r="A24" s="94"/>
      <c r="B24" s="90" t="s">
        <v>666</v>
      </c>
      <c r="C24" s="210"/>
      <c r="D24" s="210">
        <v>0</v>
      </c>
    </row>
    <row r="25" spans="1:8">
      <c r="A25" s="94"/>
      <c r="B25" s="90" t="s">
        <v>665</v>
      </c>
      <c r="C25" s="210"/>
      <c r="D25" s="210">
        <v>0</v>
      </c>
    </row>
    <row r="26" spans="1:8">
      <c r="A26" s="94"/>
      <c r="B26" s="90" t="s">
        <v>667</v>
      </c>
      <c r="C26" s="210"/>
      <c r="D26" s="210"/>
    </row>
    <row r="27" spans="1:8">
      <c r="A27" s="94"/>
      <c r="B27" s="90" t="s">
        <v>668</v>
      </c>
      <c r="C27" s="210"/>
      <c r="D27" s="210"/>
    </row>
    <row r="28" spans="1:8" ht="16.5" thickBot="1">
      <c r="A28" s="99"/>
      <c r="B28" s="425"/>
      <c r="C28" s="450"/>
      <c r="D28" s="450"/>
    </row>
    <row r="29" spans="1:8">
      <c r="A29" s="150"/>
      <c r="B29" s="119"/>
      <c r="C29" s="715"/>
      <c r="D29" s="689"/>
    </row>
    <row r="30" spans="1:8">
      <c r="A30" s="151">
        <v>4</v>
      </c>
      <c r="B30" s="94" t="s">
        <v>161</v>
      </c>
      <c r="C30" s="102">
        <v>0</v>
      </c>
      <c r="D30" s="210"/>
    </row>
    <row r="31" spans="1:8">
      <c r="A31" s="151"/>
      <c r="B31" s="94" t="s">
        <v>162</v>
      </c>
      <c r="C31" s="102">
        <v>0</v>
      </c>
      <c r="D31" s="210"/>
    </row>
    <row r="32" spans="1:8">
      <c r="A32" s="151"/>
      <c r="B32" s="94" t="s">
        <v>163</v>
      </c>
      <c r="C32" s="102"/>
      <c r="D32" s="210">
        <f>+C30+C31</f>
        <v>0</v>
      </c>
    </row>
    <row r="33" spans="1:4">
      <c r="A33" s="151"/>
      <c r="B33" s="94" t="s">
        <v>164</v>
      </c>
      <c r="C33" s="102"/>
      <c r="D33" s="210"/>
    </row>
    <row r="34" spans="1:4">
      <c r="A34" s="151"/>
      <c r="B34" s="94" t="s">
        <v>669</v>
      </c>
      <c r="C34" s="102"/>
      <c r="D34" s="210"/>
    </row>
    <row r="35" spans="1:4" ht="16.5" thickBot="1">
      <c r="A35" s="520"/>
      <c r="B35" s="99"/>
      <c r="C35" s="716"/>
      <c r="D35" s="450"/>
    </row>
    <row r="36" spans="1:4">
      <c r="C36" s="102"/>
      <c r="D36" s="102"/>
    </row>
    <row r="37" spans="1:4">
      <c r="C37" s="102"/>
      <c r="D37" s="102"/>
    </row>
    <row r="38" spans="1:4">
      <c r="C38" s="102"/>
      <c r="D38" s="102"/>
    </row>
    <row r="39" spans="1:4">
      <c r="C39" s="102"/>
      <c r="D39" s="102"/>
    </row>
    <row r="40" spans="1:4">
      <c r="C40" s="102"/>
      <c r="D40" s="102"/>
    </row>
    <row r="41" spans="1:4">
      <c r="C41" s="102"/>
      <c r="D41" s="102"/>
    </row>
    <row r="42" spans="1:4">
      <c r="C42" s="102"/>
      <c r="D42" s="102"/>
    </row>
    <row r="43" spans="1:4">
      <c r="C43" s="102"/>
      <c r="D43" s="102"/>
    </row>
    <row r="44" spans="1:4">
      <c r="C44" s="102"/>
      <c r="D44" s="102"/>
    </row>
    <row r="45" spans="1:4">
      <c r="C45" s="102"/>
      <c r="D45" s="102"/>
    </row>
    <row r="46" spans="1:4">
      <c r="C46" s="102"/>
      <c r="D46" s="102"/>
    </row>
    <row r="47" spans="1:4">
      <c r="C47" s="102"/>
      <c r="D47" s="102"/>
    </row>
    <row r="48" spans="1:4">
      <c r="C48" s="102"/>
      <c r="D48" s="102"/>
    </row>
    <row r="49" spans="3:4">
      <c r="C49" s="102"/>
      <c r="D49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3">
    <mergeCell ref="A1:D1"/>
    <mergeCell ref="A3:D3"/>
    <mergeCell ref="E7:G10"/>
  </mergeCells>
  <pageMargins left="0.7" right="0.7" top="0.75" bottom="0.75" header="0.3" footer="0.3"/>
  <pageSetup paperSize="9" scale="74" fitToHeight="0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8">
    <tabColor rgb="FF92D050"/>
    <pageSetUpPr fitToPage="1"/>
  </sheetPr>
  <dimension ref="A1:M675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16384" width="9.140625" style="91"/>
  </cols>
  <sheetData>
    <row r="1" spans="1:4">
      <c r="A1" s="1463" t="s">
        <v>193</v>
      </c>
      <c r="B1" s="1463"/>
      <c r="C1" s="1463"/>
      <c r="D1" s="1463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+THALTEJ!D75</f>
        <v>35156.68</v>
      </c>
      <c r="D7" s="97"/>
    </row>
    <row r="8" spans="1:4">
      <c r="A8" s="95"/>
      <c r="B8" s="94" t="s">
        <v>162</v>
      </c>
      <c r="C8" s="96">
        <f>+THALTEJ!E75</f>
        <v>35156.68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70313.36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3340.51</v>
      </c>
      <c r="D15" s="97"/>
    </row>
    <row r="16" spans="1:4">
      <c r="A16" s="95"/>
      <c r="B16" s="94" t="s">
        <v>166</v>
      </c>
      <c r="C16" s="96">
        <f>+SUM(D17:D19)/2</f>
        <v>3340.51</v>
      </c>
      <c r="D16" s="97"/>
    </row>
    <row r="17" spans="1:4">
      <c r="A17" s="94"/>
      <c r="B17" s="94" t="s">
        <v>167</v>
      </c>
      <c r="C17" s="96"/>
      <c r="D17" s="97">
        <f>+THALTEJ!D82</f>
        <v>3340.51</v>
      </c>
    </row>
    <row r="18" spans="1:4">
      <c r="A18" s="94"/>
      <c r="B18" s="94" t="s">
        <v>168</v>
      </c>
      <c r="C18" s="96"/>
      <c r="D18" s="97">
        <f>+THALTEJ!E82</f>
        <v>3340.51</v>
      </c>
    </row>
    <row r="19" spans="1:4">
      <c r="A19" s="94"/>
      <c r="B19" s="94" t="s">
        <v>293</v>
      </c>
      <c r="C19" s="96"/>
      <c r="D19" s="97">
        <f>+THALTEJ!F82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8"/>
      <c r="D22" s="178"/>
    </row>
    <row r="23" spans="1:4">
      <c r="C23" s="178"/>
      <c r="D23" s="178"/>
    </row>
    <row r="24" spans="1:4">
      <c r="C24" s="178"/>
      <c r="D24" s="178"/>
    </row>
    <row r="25" spans="1:4">
      <c r="C25" s="178"/>
      <c r="D25" s="178"/>
    </row>
    <row r="26" spans="1:4">
      <c r="C26" s="178"/>
      <c r="D26" s="178"/>
    </row>
    <row r="27" spans="1:4">
      <c r="C27" s="178"/>
      <c r="D27" s="178"/>
    </row>
    <row r="28" spans="1:4">
      <c r="C28" s="178"/>
      <c r="D28" s="178"/>
    </row>
    <row r="29" spans="1:4">
      <c r="C29" s="178"/>
      <c r="D29" s="178"/>
    </row>
    <row r="30" spans="1:4">
      <c r="C30" s="178"/>
      <c r="D30" s="178"/>
    </row>
    <row r="31" spans="1:4">
      <c r="C31" s="178"/>
      <c r="D31" s="178"/>
    </row>
    <row r="32" spans="1:4">
      <c r="C32" s="178"/>
      <c r="D32" s="178"/>
    </row>
    <row r="33" spans="3:4">
      <c r="C33" s="178"/>
      <c r="D33" s="178"/>
    </row>
    <row r="34" spans="3:4">
      <c r="C34" s="178"/>
      <c r="D34" s="178"/>
    </row>
    <row r="35" spans="3:4">
      <c r="C35" s="178"/>
      <c r="D35" s="178"/>
    </row>
    <row r="36" spans="3:4">
      <c r="C36" s="178"/>
      <c r="D36" s="178"/>
    </row>
    <row r="37" spans="3:4">
      <c r="C37" s="178"/>
      <c r="D37" s="178"/>
    </row>
    <row r="38" spans="3:4">
      <c r="C38" s="178"/>
      <c r="D38" s="178"/>
    </row>
    <row r="39" spans="3:4">
      <c r="C39" s="178"/>
      <c r="D39" s="178"/>
    </row>
    <row r="40" spans="3:4">
      <c r="C40" s="178"/>
      <c r="D40" s="178"/>
    </row>
    <row r="41" spans="3:4">
      <c r="C41" s="178"/>
      <c r="D41" s="178"/>
    </row>
    <row r="42" spans="3:4">
      <c r="C42" s="178"/>
      <c r="D42" s="178"/>
    </row>
    <row r="43" spans="3:4">
      <c r="C43" s="178"/>
      <c r="D43" s="178"/>
    </row>
    <row r="44" spans="3:4">
      <c r="C44" s="178"/>
      <c r="D44" s="178"/>
    </row>
    <row r="45" spans="3:4">
      <c r="C45" s="178"/>
      <c r="D45" s="178"/>
    </row>
    <row r="46" spans="3:4">
      <c r="C46" s="178"/>
      <c r="D46" s="178"/>
    </row>
    <row r="47" spans="3:4">
      <c r="C47" s="178"/>
      <c r="D47" s="178"/>
    </row>
    <row r="48" spans="3:4">
      <c r="C48" s="178"/>
      <c r="D48" s="178"/>
    </row>
    <row r="49" spans="3:4">
      <c r="C49" s="178"/>
      <c r="D49" s="178"/>
    </row>
    <row r="437" spans="2:2">
      <c r="B437" s="91" t="s">
        <v>811</v>
      </c>
    </row>
    <row r="566" spans="13:13">
      <c r="M566" s="91" t="s">
        <v>804</v>
      </c>
    </row>
    <row r="584" spans="2:2">
      <c r="B584" s="91" t="s">
        <v>822</v>
      </c>
    </row>
    <row r="598" spans="2:2">
      <c r="B598" s="91" t="s">
        <v>821</v>
      </c>
    </row>
    <row r="675" spans="2:2">
      <c r="B675" s="91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6">
    <tabColor rgb="FF92D050"/>
    <pageSetUpPr fitToPage="1"/>
  </sheetPr>
  <dimension ref="A1:M675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5" width="13.42578125" style="91" bestFit="1" customWidth="1"/>
    <col min="6" max="16384" width="9.140625" style="91"/>
  </cols>
  <sheetData>
    <row r="1" spans="1:4">
      <c r="A1" s="1463" t="s">
        <v>813</v>
      </c>
      <c r="B1" s="1463"/>
      <c r="C1" s="1463"/>
      <c r="D1" s="1463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+CHANDKHEDA!D74</f>
        <v>5832.3</v>
      </c>
      <c r="D7" s="97"/>
    </row>
    <row r="8" spans="1:4">
      <c r="A8" s="95"/>
      <c r="B8" s="94" t="s">
        <v>162</v>
      </c>
      <c r="C8" s="96">
        <f>+CHANDKHEDA!E74</f>
        <v>5832.3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11664.6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89446.5</v>
      </c>
      <c r="D15" s="97"/>
    </row>
    <row r="16" spans="1:4">
      <c r="A16" s="95"/>
      <c r="B16" s="94" t="s">
        <v>166</v>
      </c>
      <c r="C16" s="96">
        <f>+SUM(D17:D19)/2</f>
        <v>89446.5</v>
      </c>
      <c r="D16" s="97"/>
    </row>
    <row r="17" spans="1:4">
      <c r="A17" s="94"/>
      <c r="B17" s="94" t="s">
        <v>167</v>
      </c>
      <c r="C17" s="96"/>
      <c r="D17" s="97">
        <f>+CHANDKHEDA!D81</f>
        <v>89446.5</v>
      </c>
    </row>
    <row r="18" spans="1:4">
      <c r="A18" s="94"/>
      <c r="B18" s="94" t="s">
        <v>168</v>
      </c>
      <c r="C18" s="96"/>
      <c r="D18" s="97">
        <f>+CHANDKHEDA!E81</f>
        <v>89446.5</v>
      </c>
    </row>
    <row r="19" spans="1:4">
      <c r="A19" s="94"/>
      <c r="B19" s="94" t="s">
        <v>293</v>
      </c>
      <c r="C19" s="96"/>
      <c r="D19" s="97">
        <f>+CHANDKHEDA!F81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8"/>
      <c r="D22" s="178"/>
    </row>
    <row r="23" spans="1:4">
      <c r="C23" s="178"/>
      <c r="D23" s="178"/>
    </row>
    <row r="24" spans="1:4">
      <c r="C24" s="178"/>
      <c r="D24" s="178"/>
    </row>
    <row r="25" spans="1:4">
      <c r="C25" s="178"/>
      <c r="D25" s="178"/>
    </row>
    <row r="26" spans="1:4">
      <c r="C26" s="178"/>
      <c r="D26" s="178"/>
    </row>
    <row r="27" spans="1:4">
      <c r="C27" s="178"/>
      <c r="D27" s="178"/>
    </row>
    <row r="28" spans="1:4">
      <c r="C28" s="178"/>
      <c r="D28" s="178"/>
    </row>
    <row r="29" spans="1:4">
      <c r="C29" s="178"/>
      <c r="D29" s="178"/>
    </row>
    <row r="30" spans="1:4">
      <c r="C30" s="178"/>
      <c r="D30" s="178"/>
    </row>
    <row r="31" spans="1:4">
      <c r="C31" s="178"/>
      <c r="D31" s="178"/>
    </row>
    <row r="32" spans="1:4">
      <c r="C32" s="178"/>
      <c r="D32" s="178"/>
    </row>
    <row r="33" spans="3:4">
      <c r="C33" s="178"/>
      <c r="D33" s="178"/>
    </row>
    <row r="34" spans="3:4">
      <c r="C34" s="178"/>
      <c r="D34" s="178"/>
    </row>
    <row r="35" spans="3:4">
      <c r="C35" s="178"/>
      <c r="D35" s="178"/>
    </row>
    <row r="36" spans="3:4">
      <c r="C36" s="178"/>
      <c r="D36" s="178"/>
    </row>
    <row r="37" spans="3:4">
      <c r="C37" s="178"/>
      <c r="D37" s="178"/>
    </row>
    <row r="38" spans="3:4">
      <c r="C38" s="178"/>
      <c r="D38" s="178"/>
    </row>
    <row r="39" spans="3:4">
      <c r="C39" s="178"/>
      <c r="D39" s="178"/>
    </row>
    <row r="40" spans="3:4">
      <c r="C40" s="178"/>
      <c r="D40" s="178"/>
    </row>
    <row r="41" spans="3:4">
      <c r="C41" s="178"/>
      <c r="D41" s="178"/>
    </row>
    <row r="42" spans="3:4">
      <c r="C42" s="178"/>
      <c r="D42" s="178"/>
    </row>
    <row r="43" spans="3:4">
      <c r="C43" s="178"/>
      <c r="D43" s="178"/>
    </row>
    <row r="44" spans="3:4">
      <c r="C44" s="178"/>
      <c r="D44" s="178"/>
    </row>
    <row r="45" spans="3:4">
      <c r="C45" s="178"/>
      <c r="D45" s="178"/>
    </row>
    <row r="46" spans="3:4">
      <c r="C46" s="178"/>
      <c r="D46" s="178"/>
    </row>
    <row r="47" spans="3:4">
      <c r="C47" s="178"/>
      <c r="D47" s="178"/>
    </row>
    <row r="48" spans="3:4">
      <c r="C48" s="178"/>
      <c r="D48" s="178"/>
    </row>
    <row r="49" spans="3:4">
      <c r="C49" s="178"/>
      <c r="D49" s="178"/>
    </row>
    <row r="437" spans="2:2">
      <c r="B437" s="91" t="s">
        <v>811</v>
      </c>
    </row>
    <row r="566" spans="13:13">
      <c r="M566" s="91" t="s">
        <v>804</v>
      </c>
    </row>
    <row r="584" spans="2:2">
      <c r="B584" s="91" t="s">
        <v>822</v>
      </c>
    </row>
    <row r="598" spans="2:2">
      <c r="B598" s="91" t="s">
        <v>821</v>
      </c>
    </row>
    <row r="675" spans="2:2">
      <c r="B675" s="91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7">
    <tabColor rgb="FF92D050"/>
    <pageSetUpPr fitToPage="1"/>
  </sheetPr>
  <dimension ref="A1:M675"/>
  <sheetViews>
    <sheetView view="pageBreakPreview" zoomScale="60" zoomScaleNormal="100" workbookViewId="0">
      <selection activeCell="C7" sqref="C7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5" width="9.140625" style="91"/>
    <col min="6" max="6" width="11.5703125" style="91" bestFit="1" customWidth="1"/>
    <col min="7" max="16384" width="9.140625" style="91"/>
  </cols>
  <sheetData>
    <row r="1" spans="1:4">
      <c r="A1" s="1463" t="s">
        <v>812</v>
      </c>
      <c r="B1" s="1463"/>
      <c r="C1" s="1463"/>
      <c r="D1" s="1463"/>
    </row>
    <row r="3" spans="1:4">
      <c r="A3" s="1463" t="str">
        <f>+ODHAV1!$A$3</f>
        <v>GST ENTRIES FOR THE MONTH OF SEP 2026</v>
      </c>
      <c r="B3" s="1463"/>
      <c r="C3" s="1463"/>
      <c r="D3" s="1463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+VASTRAL!D74</f>
        <v>2809.56</v>
      </c>
      <c r="D7" s="97"/>
    </row>
    <row r="8" spans="1:4">
      <c r="A8" s="95"/>
      <c r="B8" s="94" t="s">
        <v>162</v>
      </c>
      <c r="C8" s="96">
        <f>+VASTRAL!E74</f>
        <v>2809.56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5619.12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AUG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5764</v>
      </c>
      <c r="D15" s="97"/>
    </row>
    <row r="16" spans="1:4">
      <c r="A16" s="95"/>
      <c r="B16" s="94" t="s">
        <v>166</v>
      </c>
      <c r="C16" s="96">
        <f>+SUM(D17:D19)/2</f>
        <v>5764</v>
      </c>
      <c r="D16" s="97"/>
    </row>
    <row r="17" spans="1:4">
      <c r="A17" s="94"/>
      <c r="B17" s="94" t="s">
        <v>167</v>
      </c>
      <c r="C17" s="96"/>
      <c r="D17" s="97">
        <f>+VASTRAL!D81</f>
        <v>5764</v>
      </c>
    </row>
    <row r="18" spans="1:4">
      <c r="A18" s="94"/>
      <c r="B18" s="94" t="s">
        <v>168</v>
      </c>
      <c r="C18" s="96"/>
      <c r="D18" s="97">
        <f>+VASTRAL!E81</f>
        <v>5764</v>
      </c>
    </row>
    <row r="19" spans="1:4">
      <c r="A19" s="94"/>
      <c r="B19" s="94" t="s">
        <v>178</v>
      </c>
      <c r="C19" s="96"/>
      <c r="D19" s="97">
        <f>+VASTRAL!F81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8"/>
      <c r="D22" s="178"/>
    </row>
    <row r="23" spans="1:4">
      <c r="C23" s="178"/>
      <c r="D23" s="178"/>
    </row>
    <row r="24" spans="1:4">
      <c r="C24" s="178"/>
      <c r="D24" s="178"/>
    </row>
    <row r="25" spans="1:4">
      <c r="C25" s="178"/>
      <c r="D25" s="178"/>
    </row>
    <row r="26" spans="1:4">
      <c r="C26" s="178"/>
      <c r="D26" s="178"/>
    </row>
    <row r="27" spans="1:4">
      <c r="C27" s="178"/>
      <c r="D27" s="178"/>
    </row>
    <row r="28" spans="1:4">
      <c r="C28" s="178"/>
      <c r="D28" s="178"/>
    </row>
    <row r="29" spans="1:4">
      <c r="C29" s="178"/>
      <c r="D29" s="178"/>
    </row>
    <row r="30" spans="1:4">
      <c r="C30" s="178"/>
      <c r="D30" s="178"/>
    </row>
    <row r="31" spans="1:4">
      <c r="C31" s="178"/>
      <c r="D31" s="178"/>
    </row>
    <row r="32" spans="1:4">
      <c r="C32" s="178"/>
      <c r="D32" s="178"/>
    </row>
    <row r="33" spans="3:4">
      <c r="C33" s="178"/>
      <c r="D33" s="178"/>
    </row>
    <row r="34" spans="3:4">
      <c r="C34" s="178"/>
      <c r="D34" s="178"/>
    </row>
    <row r="35" spans="3:4">
      <c r="C35" s="178"/>
      <c r="D35" s="178"/>
    </row>
    <row r="36" spans="3:4">
      <c r="C36" s="178"/>
      <c r="D36" s="178"/>
    </row>
    <row r="37" spans="3:4">
      <c r="C37" s="178"/>
      <c r="D37" s="178"/>
    </row>
    <row r="38" spans="3:4">
      <c r="C38" s="178"/>
      <c r="D38" s="178"/>
    </row>
    <row r="39" spans="3:4">
      <c r="C39" s="178"/>
      <c r="D39" s="178"/>
    </row>
    <row r="40" spans="3:4">
      <c r="C40" s="178"/>
      <c r="D40" s="178"/>
    </row>
    <row r="41" spans="3:4">
      <c r="C41" s="178"/>
      <c r="D41" s="178"/>
    </row>
    <row r="42" spans="3:4">
      <c r="C42" s="178"/>
      <c r="D42" s="178"/>
    </row>
    <row r="43" spans="3:4">
      <c r="C43" s="178"/>
      <c r="D43" s="178"/>
    </row>
    <row r="44" spans="3:4">
      <c r="C44" s="178"/>
      <c r="D44" s="178"/>
    </row>
    <row r="45" spans="3:4">
      <c r="C45" s="178"/>
      <c r="D45" s="178"/>
    </row>
    <row r="46" spans="3:4">
      <c r="C46" s="178"/>
      <c r="D46" s="178"/>
    </row>
    <row r="47" spans="3:4">
      <c r="C47" s="178"/>
      <c r="D47" s="178"/>
    </row>
    <row r="48" spans="3:4">
      <c r="C48" s="178"/>
      <c r="D48" s="178"/>
    </row>
    <row r="49" spans="3:4">
      <c r="C49" s="178"/>
      <c r="D49" s="178"/>
    </row>
    <row r="437" spans="2:2">
      <c r="B437" s="91" t="s">
        <v>811</v>
      </c>
    </row>
    <row r="566" spans="13:13">
      <c r="M566" s="91" t="s">
        <v>804</v>
      </c>
    </row>
    <row r="584" spans="2:2">
      <c r="B584" s="91" t="s">
        <v>822</v>
      </c>
    </row>
    <row r="598" spans="2:2">
      <c r="B598" s="91" t="s">
        <v>821</v>
      </c>
    </row>
    <row r="675" spans="2:2">
      <c r="B675" s="91" t="s">
        <v>820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9">
    <tabColor rgb="FF92D050"/>
    <pageSetUpPr fitToPage="1"/>
  </sheetPr>
  <dimension ref="A1:M675"/>
  <sheetViews>
    <sheetView view="pageBreakPreview" zoomScale="60" zoomScaleNormal="100" workbookViewId="0">
      <selection activeCell="O35" sqref="O35"/>
    </sheetView>
  </sheetViews>
  <sheetFormatPr defaultColWidth="9.140625" defaultRowHeight="15.75"/>
  <cols>
    <col min="1" max="1" width="11.5703125" style="90" bestFit="1" customWidth="1"/>
    <col min="2" max="2" width="70" style="90" customWidth="1"/>
    <col min="3" max="4" width="20.140625" style="90" bestFit="1" customWidth="1"/>
    <col min="5" max="5" width="15.7109375" style="90" bestFit="1" customWidth="1"/>
    <col min="6" max="6" width="14.85546875" style="90" bestFit="1" customWidth="1"/>
    <col min="7" max="8" width="9.140625" style="90"/>
    <col min="9" max="9" width="9.85546875" style="90" bestFit="1" customWidth="1"/>
    <col min="10" max="16384" width="9.140625" style="90"/>
  </cols>
  <sheetData>
    <row r="1" spans="1:7">
      <c r="A1" s="1463" t="s">
        <v>194</v>
      </c>
      <c r="B1" s="1463"/>
      <c r="C1" s="1463"/>
      <c r="D1" s="1463"/>
    </row>
    <row r="2" spans="1:7">
      <c r="A2" s="91"/>
      <c r="B2" s="91"/>
      <c r="C2" s="91"/>
      <c r="D2" s="91"/>
    </row>
    <row r="3" spans="1:7">
      <c r="A3" s="1463" t="str">
        <f>+ODHAV1!$A$3</f>
        <v>GST ENTRIES FOR THE MONTH OF SEP 2026</v>
      </c>
      <c r="B3" s="1463"/>
      <c r="C3" s="1463"/>
      <c r="D3" s="1463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5.75" customHeight="1">
      <c r="A6" s="201"/>
      <c r="B6" s="201"/>
      <c r="C6" s="202"/>
      <c r="D6" s="201"/>
    </row>
    <row r="7" spans="1:7">
      <c r="A7" s="95">
        <v>1</v>
      </c>
      <c r="B7" s="94" t="s">
        <v>161</v>
      </c>
      <c r="C7" s="96">
        <f>+DEMAT!D44</f>
        <v>12781.02</v>
      </c>
      <c r="D7" s="97"/>
    </row>
    <row r="8" spans="1:7">
      <c r="A8" s="95"/>
      <c r="B8" s="94" t="s">
        <v>162</v>
      </c>
      <c r="C8" s="120">
        <f>+DEMAT!E44</f>
        <v>12781.02</v>
      </c>
      <c r="D8" s="97"/>
    </row>
    <row r="9" spans="1:7">
      <c r="A9" s="95"/>
      <c r="B9" s="94" t="s">
        <v>195</v>
      </c>
      <c r="C9" s="96">
        <f>+DEMAT!F44</f>
        <v>2942.13</v>
      </c>
      <c r="D9" s="97"/>
    </row>
    <row r="10" spans="1:7">
      <c r="A10" s="95"/>
      <c r="B10" s="94" t="s">
        <v>163</v>
      </c>
      <c r="C10" s="96"/>
      <c r="D10" s="97">
        <f>SUM(C7:C9)</f>
        <v>28504.170000000002</v>
      </c>
      <c r="E10" s="104"/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AUG 2026 TRANSFER TO HO)</v>
      </c>
      <c r="C12" s="96"/>
      <c r="D12" s="97"/>
    </row>
    <row r="13" spans="1:7" ht="16.5" thickBot="1">
      <c r="A13" s="98"/>
      <c r="B13" s="99"/>
      <c r="C13" s="100"/>
      <c r="D13" s="101"/>
      <c r="E13" s="645"/>
      <c r="F13" s="645"/>
      <c r="G13" s="645"/>
    </row>
    <row r="14" spans="1:7" ht="15.75" hidden="1" customHeight="1">
      <c r="A14" s="95"/>
      <c r="B14" s="94"/>
      <c r="C14" s="120"/>
      <c r="D14" s="121"/>
      <c r="E14" s="1469" t="s">
        <v>630</v>
      </c>
      <c r="F14" s="1470"/>
      <c r="G14" s="1470"/>
    </row>
    <row r="15" spans="1:7" hidden="1">
      <c r="A15" s="95">
        <v>1</v>
      </c>
      <c r="B15" s="649" t="s">
        <v>626</v>
      </c>
      <c r="C15" s="120">
        <v>0</v>
      </c>
      <c r="D15" s="121"/>
      <c r="E15" s="1469"/>
      <c r="F15" s="1470"/>
      <c r="G15" s="1470"/>
    </row>
    <row r="16" spans="1:7" hidden="1">
      <c r="A16" s="95"/>
      <c r="B16" s="649" t="s">
        <v>627</v>
      </c>
      <c r="C16" s="120"/>
      <c r="D16" s="121">
        <v>0</v>
      </c>
      <c r="E16" s="1469"/>
      <c r="F16" s="1470"/>
      <c r="G16" s="1470"/>
    </row>
    <row r="17" spans="1:9" hidden="1">
      <c r="A17" s="95"/>
      <c r="B17" s="649" t="s">
        <v>628</v>
      </c>
      <c r="C17" s="120"/>
      <c r="D17" s="121">
        <f>+D16</f>
        <v>0</v>
      </c>
      <c r="E17" s="1469"/>
      <c r="F17" s="1470"/>
      <c r="G17" s="1470"/>
      <c r="I17" s="90">
        <f>31998/2</f>
        <v>15999</v>
      </c>
    </row>
    <row r="18" spans="1:9" hidden="1">
      <c r="A18" s="95"/>
      <c r="B18" s="94" t="s">
        <v>588</v>
      </c>
      <c r="C18" s="120"/>
      <c r="D18" s="121"/>
      <c r="E18" s="1469"/>
      <c r="F18" s="1470"/>
      <c r="G18" s="1470"/>
    </row>
    <row r="19" spans="1:9" hidden="1">
      <c r="A19" s="95"/>
      <c r="B19" s="94" t="s">
        <v>589</v>
      </c>
      <c r="C19" s="120"/>
      <c r="D19" s="121"/>
      <c r="E19" s="1469"/>
      <c r="F19" s="1470"/>
      <c r="G19" s="1470"/>
    </row>
    <row r="20" spans="1:9" ht="16.5" hidden="1" thickBot="1">
      <c r="A20" s="95"/>
      <c r="B20" s="94"/>
      <c r="C20" s="120"/>
      <c r="D20" s="121"/>
      <c r="E20" s="1469"/>
      <c r="F20" s="1470"/>
      <c r="G20" s="1470"/>
    </row>
    <row r="21" spans="1:9" ht="15" hidden="1" customHeight="1">
      <c r="A21" s="124"/>
      <c r="B21" s="119"/>
      <c r="C21" s="125"/>
      <c r="D21" s="123"/>
    </row>
    <row r="22" spans="1:9">
      <c r="A22" s="95"/>
      <c r="B22" s="94"/>
      <c r="C22" s="120"/>
      <c r="D22" s="121"/>
    </row>
    <row r="23" spans="1:9">
      <c r="A23" s="95">
        <v>2</v>
      </c>
      <c r="B23" s="94" t="s">
        <v>161</v>
      </c>
      <c r="C23" s="120">
        <v>0</v>
      </c>
      <c r="D23" s="121"/>
    </row>
    <row r="24" spans="1:9">
      <c r="A24" s="95"/>
      <c r="B24" s="94" t="s">
        <v>162</v>
      </c>
      <c r="C24" s="120">
        <f>+C23</f>
        <v>0</v>
      </c>
      <c r="D24" s="121"/>
    </row>
    <row r="25" spans="1:9">
      <c r="A25" s="95"/>
      <c r="B25" s="650" t="s">
        <v>629</v>
      </c>
      <c r="C25" s="120">
        <v>0</v>
      </c>
      <c r="D25" s="121"/>
    </row>
    <row r="26" spans="1:9">
      <c r="A26" s="95"/>
      <c r="B26" s="132" t="s">
        <v>618</v>
      </c>
      <c r="C26" s="120"/>
      <c r="D26" s="121">
        <v>0</v>
      </c>
    </row>
    <row r="27" spans="1:9">
      <c r="A27" s="95"/>
      <c r="B27" s="94" t="s">
        <v>164</v>
      </c>
      <c r="C27" s="120"/>
      <c r="D27" s="121"/>
    </row>
    <row r="28" spans="1:9">
      <c r="A28" s="95"/>
      <c r="B28" s="94" t="s">
        <v>644</v>
      </c>
      <c r="C28" s="120"/>
      <c r="D28" s="121"/>
    </row>
    <row r="29" spans="1:9" ht="16.5" thickBot="1">
      <c r="A29" s="95"/>
      <c r="B29" s="94"/>
      <c r="C29" s="120"/>
      <c r="D29" s="121"/>
    </row>
    <row r="30" spans="1:9">
      <c r="A30" s="124"/>
      <c r="B30" s="119"/>
      <c r="C30" s="205"/>
      <c r="D30" s="206"/>
    </row>
    <row r="31" spans="1:9">
      <c r="A31" s="95">
        <v>2</v>
      </c>
      <c r="B31" s="94" t="s">
        <v>165</v>
      </c>
      <c r="C31" s="96">
        <f>+C32</f>
        <v>1126.825</v>
      </c>
      <c r="D31" s="97"/>
    </row>
    <row r="32" spans="1:9">
      <c r="A32" s="95"/>
      <c r="B32" s="94" t="s">
        <v>166</v>
      </c>
      <c r="C32" s="96">
        <f>+SUM(D33:D35)/2</f>
        <v>1126.825</v>
      </c>
      <c r="D32" s="97"/>
    </row>
    <row r="33" spans="1:8">
      <c r="A33" s="94"/>
      <c r="B33" s="94" t="s">
        <v>167</v>
      </c>
      <c r="C33" s="96"/>
      <c r="D33" s="97">
        <f>+DEMAT!D52</f>
        <v>36.9</v>
      </c>
    </row>
    <row r="34" spans="1:8">
      <c r="A34" s="94"/>
      <c r="B34" s="94" t="s">
        <v>168</v>
      </c>
      <c r="C34" s="96"/>
      <c r="D34" s="97">
        <f>+DEMAT!E52</f>
        <v>36.9</v>
      </c>
    </row>
    <row r="35" spans="1:8">
      <c r="A35" s="94"/>
      <c r="B35" s="94" t="s">
        <v>178</v>
      </c>
      <c r="C35" s="96"/>
      <c r="D35" s="97">
        <f>+DEMAT!F52</f>
        <v>2179.85</v>
      </c>
    </row>
    <row r="36" spans="1:8">
      <c r="A36" s="94"/>
      <c r="B36" s="94" t="str">
        <f>+ODHAV1!B20</f>
        <v>(BEING 50% SET OFF TRF TO EXPS PL4197 AND</v>
      </c>
      <c r="C36" s="96"/>
      <c r="D36" s="97"/>
    </row>
    <row r="37" spans="1:8" ht="16.5" thickBot="1">
      <c r="A37" s="99"/>
      <c r="B37" s="99" t="str">
        <f>+ODHAV1!B21</f>
        <v>50% TRF TO HO)</v>
      </c>
      <c r="C37" s="100"/>
      <c r="D37" s="101"/>
    </row>
    <row r="38" spans="1:8">
      <c r="A38" s="119"/>
      <c r="B38" s="465"/>
      <c r="C38" s="689"/>
      <c r="D38" s="686"/>
    </row>
    <row r="39" spans="1:8">
      <c r="A39" s="95">
        <f>+A31+1</f>
        <v>3</v>
      </c>
      <c r="B39" s="94" t="s">
        <v>166</v>
      </c>
      <c r="C39" s="897">
        <f>+D40+D41</f>
        <v>0</v>
      </c>
      <c r="D39" s="898"/>
      <c r="F39" s="1019"/>
      <c r="G39" s="1019"/>
      <c r="H39" s="1019"/>
    </row>
    <row r="40" spans="1:8">
      <c r="A40" s="94"/>
      <c r="B40" s="90" t="s">
        <v>790</v>
      </c>
      <c r="C40" s="897"/>
      <c r="D40" s="898">
        <v>0</v>
      </c>
      <c r="F40" s="1019"/>
      <c r="G40" s="1019"/>
      <c r="H40" s="1019"/>
    </row>
    <row r="41" spans="1:8">
      <c r="A41" s="94"/>
      <c r="B41" s="90" t="s">
        <v>783</v>
      </c>
      <c r="C41" s="897"/>
      <c r="D41" s="898">
        <v>0</v>
      </c>
      <c r="F41" s="1019"/>
      <c r="G41" s="1019"/>
      <c r="H41" s="1019"/>
    </row>
    <row r="42" spans="1:8">
      <c r="A42" s="94"/>
      <c r="B42" s="90" t="s">
        <v>832</v>
      </c>
      <c r="C42" s="210"/>
      <c r="D42" s="687"/>
    </row>
    <row r="43" spans="1:8" ht="16.5" thickBot="1">
      <c r="A43" s="99"/>
      <c r="B43" s="425"/>
      <c r="C43" s="450"/>
      <c r="D43" s="688"/>
    </row>
    <row r="44" spans="1:8">
      <c r="A44" s="119"/>
      <c r="B44" s="465"/>
      <c r="C44" s="689"/>
      <c r="D44" s="686"/>
    </row>
    <row r="45" spans="1:8">
      <c r="A45" s="95">
        <f>+A39+1</f>
        <v>4</v>
      </c>
      <c r="B45" s="90" t="s">
        <v>161</v>
      </c>
      <c r="C45" s="897">
        <v>0</v>
      </c>
      <c r="D45" s="898"/>
    </row>
    <row r="46" spans="1:8">
      <c r="A46" s="94"/>
      <c r="B46" s="90" t="s">
        <v>783</v>
      </c>
      <c r="C46" s="897"/>
      <c r="D46" s="898">
        <f>+C45</f>
        <v>0</v>
      </c>
    </row>
    <row r="47" spans="1:8">
      <c r="A47" s="94"/>
      <c r="B47" s="90" t="s">
        <v>784</v>
      </c>
      <c r="C47" s="210"/>
      <c r="D47" s="687"/>
    </row>
    <row r="48" spans="1:8">
      <c r="A48" s="94"/>
      <c r="B48" s="90" t="s">
        <v>875</v>
      </c>
      <c r="C48" s="210"/>
      <c r="D48" s="687"/>
    </row>
    <row r="49" spans="1:4" ht="16.5" thickBot="1">
      <c r="A49" s="99"/>
      <c r="B49" s="425" t="s">
        <v>876</v>
      </c>
      <c r="C49" s="450"/>
      <c r="D49" s="688"/>
    </row>
    <row r="50" spans="1:4">
      <c r="C50" s="102"/>
      <c r="D50" s="102"/>
    </row>
    <row r="51" spans="1:4">
      <c r="C51" s="102"/>
      <c r="D51" s="102"/>
    </row>
    <row r="52" spans="1:4">
      <c r="C52" s="102"/>
      <c r="D52" s="102"/>
    </row>
    <row r="437" spans="2:2">
      <c r="B437" s="90" t="s">
        <v>811</v>
      </c>
    </row>
    <row r="566" spans="13:13">
      <c r="M566" s="90" t="s">
        <v>804</v>
      </c>
    </row>
    <row r="584" spans="2:2">
      <c r="B584" s="90" t="s">
        <v>822</v>
      </c>
    </row>
    <row r="598" spans="2:2">
      <c r="B598" s="90" t="s">
        <v>821</v>
      </c>
    </row>
    <row r="675" spans="2:2">
      <c r="B675" s="90" t="s">
        <v>820</v>
      </c>
    </row>
  </sheetData>
  <mergeCells count="3">
    <mergeCell ref="A1:D1"/>
    <mergeCell ref="A3:D3"/>
    <mergeCell ref="E14:G20"/>
  </mergeCells>
  <pageMargins left="0.7" right="0.7" top="0.75" bottom="0.75" header="0.3" footer="0.3"/>
  <pageSetup paperSize="9" scale="71" fitToHeight="0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0">
    <tabColor rgb="FF92D050"/>
    <pageSetUpPr fitToPage="1"/>
  </sheetPr>
  <dimension ref="A1:R687"/>
  <sheetViews>
    <sheetView view="pageBreakPreview" topLeftCell="A282" zoomScale="70" zoomScaleNormal="76" zoomScaleSheetLayoutView="70" workbookViewId="0">
      <selection activeCell="J607" sqref="J607"/>
    </sheetView>
  </sheetViews>
  <sheetFormatPr defaultColWidth="9.140625" defaultRowHeight="15.75"/>
  <cols>
    <col min="1" max="1" width="12.5703125" style="90" bestFit="1" customWidth="1"/>
    <col min="2" max="2" width="98.28515625" style="90" customWidth="1"/>
    <col min="3" max="3" width="21.5703125" style="90" customWidth="1"/>
    <col min="4" max="4" width="21.5703125" style="1122" customWidth="1"/>
    <col min="5" max="5" width="25.42578125" style="90" customWidth="1"/>
    <col min="6" max="6" width="23.140625" style="90" bestFit="1" customWidth="1"/>
    <col min="7" max="7" width="24.5703125" style="90" bestFit="1" customWidth="1"/>
    <col min="8" max="8" width="29.140625" style="90" bestFit="1" customWidth="1"/>
    <col min="9" max="9" width="50.28515625" style="90" bestFit="1" customWidth="1"/>
    <col min="10" max="10" width="36.42578125" style="90" bestFit="1" customWidth="1"/>
    <col min="11" max="11" width="20.7109375" style="90" bestFit="1" customWidth="1"/>
    <col min="12" max="12" width="22.140625" style="90" bestFit="1" customWidth="1"/>
    <col min="13" max="13" width="24" style="90" bestFit="1" customWidth="1"/>
    <col min="14" max="14" width="22" style="90" bestFit="1" customWidth="1"/>
    <col min="15" max="15" width="24.7109375" style="90" bestFit="1" customWidth="1"/>
    <col min="16" max="18" width="20.5703125" style="90" customWidth="1"/>
    <col min="19" max="16384" width="9.140625" style="90"/>
  </cols>
  <sheetData>
    <row r="1" spans="1:5">
      <c r="A1" s="1463" t="s">
        <v>196</v>
      </c>
      <c r="B1" s="1463"/>
      <c r="C1" s="1463"/>
      <c r="D1" s="1463"/>
      <c r="E1" s="222"/>
    </row>
    <row r="2" spans="1:5">
      <c r="A2" s="91"/>
      <c r="B2" s="91"/>
      <c r="C2" s="91"/>
      <c r="D2" s="1132"/>
      <c r="E2" s="91"/>
    </row>
    <row r="3" spans="1:5">
      <c r="A3" s="1463" t="str">
        <f>+ODHAV1!$A$3</f>
        <v>GST ENTRIES FOR THE MONTH OF SEP 2026</v>
      </c>
      <c r="B3" s="1463"/>
      <c r="C3" s="1463"/>
      <c r="D3" s="1463"/>
      <c r="E3" s="222"/>
    </row>
    <row r="4" spans="1:5" ht="16.5" thickBot="1"/>
    <row r="5" spans="1:5" ht="16.5" thickBot="1">
      <c r="A5" s="92" t="s">
        <v>158</v>
      </c>
      <c r="B5" s="92" t="s">
        <v>139</v>
      </c>
      <c r="C5" s="93" t="s">
        <v>159</v>
      </c>
      <c r="D5" s="1130" t="s">
        <v>333</v>
      </c>
      <c r="E5" s="91"/>
    </row>
    <row r="6" spans="1:5">
      <c r="A6" s="94"/>
      <c r="B6" s="94"/>
      <c r="D6" s="1153"/>
    </row>
    <row r="7" spans="1:5">
      <c r="A7" s="959">
        <v>1</v>
      </c>
      <c r="B7" s="103" t="s">
        <v>197</v>
      </c>
      <c r="D7" s="1153"/>
    </row>
    <row r="8" spans="1:5">
      <c r="A8" s="95">
        <v>1</v>
      </c>
      <c r="B8" s="94" t="s">
        <v>939</v>
      </c>
      <c r="C8" s="120">
        <f>SUM(D9:D11)</f>
        <v>71901.14</v>
      </c>
      <c r="D8" s="121"/>
      <c r="E8" s="120"/>
    </row>
    <row r="9" spans="1:5">
      <c r="A9" s="132"/>
      <c r="B9" s="94" t="s">
        <v>198</v>
      </c>
      <c r="C9" s="120"/>
      <c r="D9" s="121">
        <f>+VASNA1!C7</f>
        <v>35950.57</v>
      </c>
      <c r="E9" s="120"/>
    </row>
    <row r="10" spans="1:5">
      <c r="A10" s="132"/>
      <c r="B10" s="94" t="s">
        <v>199</v>
      </c>
      <c r="C10" s="120"/>
      <c r="D10" s="121">
        <f>+VASNA1!C8</f>
        <v>35950.57</v>
      </c>
      <c r="E10" s="120"/>
    </row>
    <row r="11" spans="1:5">
      <c r="A11" s="132"/>
      <c r="B11" s="94" t="s">
        <v>269</v>
      </c>
      <c r="C11" s="120"/>
      <c r="D11" s="121">
        <f>+VASNA1!C9</f>
        <v>0</v>
      </c>
      <c r="E11" s="120"/>
    </row>
    <row r="12" spans="1:5">
      <c r="A12" s="132"/>
      <c r="B12" s="94" t="s">
        <v>164</v>
      </c>
      <c r="C12" s="120"/>
      <c r="D12" s="121"/>
      <c r="E12" s="120"/>
    </row>
    <row r="13" spans="1:5" ht="16.5" thickBot="1">
      <c r="A13" s="865"/>
      <c r="B13" s="99" t="s">
        <v>935</v>
      </c>
      <c r="C13" s="122"/>
      <c r="D13" s="116"/>
      <c r="E13" s="120"/>
    </row>
    <row r="14" spans="1:5">
      <c r="A14" s="132"/>
      <c r="B14" s="94"/>
      <c r="C14" s="120"/>
      <c r="D14" s="121"/>
      <c r="E14" s="120"/>
    </row>
    <row r="15" spans="1:5">
      <c r="A15" s="95">
        <v>2</v>
      </c>
      <c r="B15" s="94" t="s">
        <v>200</v>
      </c>
      <c r="C15" s="120">
        <f>+(D18-C17)/2</f>
        <v>1012.005</v>
      </c>
      <c r="D15" s="121"/>
      <c r="E15" s="120"/>
    </row>
    <row r="16" spans="1:5">
      <c r="A16" s="95"/>
      <c r="B16" s="94" t="s">
        <v>201</v>
      </c>
      <c r="C16" s="120">
        <f>+C15</f>
        <v>1012.005</v>
      </c>
      <c r="D16" s="121"/>
      <c r="E16" s="120"/>
    </row>
    <row r="17" spans="1:5">
      <c r="A17" s="95"/>
      <c r="B17" s="94" t="s">
        <v>230</v>
      </c>
      <c r="C17" s="120">
        <f>+VASNA1!D26/2</f>
        <v>0</v>
      </c>
      <c r="D17" s="121"/>
      <c r="E17" s="120"/>
    </row>
    <row r="18" spans="1:5">
      <c r="A18" s="95"/>
      <c r="B18" s="94" t="s">
        <v>202</v>
      </c>
      <c r="C18" s="120"/>
      <c r="D18" s="121">
        <f>+VASNA1!C22</f>
        <v>2024.01</v>
      </c>
      <c r="E18" s="120"/>
    </row>
    <row r="19" spans="1:5">
      <c r="A19" s="95"/>
      <c r="B19" s="94" t="s">
        <v>203</v>
      </c>
      <c r="C19" s="120"/>
      <c r="D19" s="121"/>
      <c r="E19" s="120"/>
    </row>
    <row r="20" spans="1:5">
      <c r="A20" s="95"/>
      <c r="B20" s="94" t="s">
        <v>935</v>
      </c>
      <c r="C20" s="120"/>
      <c r="D20" s="121"/>
      <c r="E20" s="120"/>
    </row>
    <row r="21" spans="1:5" ht="16.5" thickBot="1">
      <c r="A21" s="98"/>
      <c r="B21" s="99"/>
      <c r="C21" s="122"/>
      <c r="D21" s="116"/>
      <c r="E21" s="120"/>
    </row>
    <row r="22" spans="1:5">
      <c r="A22" s="95"/>
      <c r="B22" s="94"/>
      <c r="C22" s="120"/>
      <c r="D22" s="121"/>
      <c r="E22" s="120"/>
    </row>
    <row r="23" spans="1:5">
      <c r="A23" s="959">
        <v>2</v>
      </c>
      <c r="B23" s="103" t="s">
        <v>204</v>
      </c>
      <c r="D23" s="1153"/>
    </row>
    <row r="24" spans="1:5">
      <c r="A24" s="95">
        <v>1</v>
      </c>
      <c r="B24" s="94" t="s">
        <v>205</v>
      </c>
      <c r="C24" s="120">
        <f>SUM(D25:D27)</f>
        <v>73452.86</v>
      </c>
      <c r="D24" s="121"/>
      <c r="E24" s="120"/>
    </row>
    <row r="25" spans="1:5">
      <c r="A25" s="132"/>
      <c r="B25" s="94" t="s">
        <v>198</v>
      </c>
      <c r="C25" s="120"/>
      <c r="D25" s="121">
        <f>+'NEW CLOTH MARKET 1'!C7</f>
        <v>36726.43</v>
      </c>
      <c r="E25" s="120"/>
    </row>
    <row r="26" spans="1:5">
      <c r="A26" s="132"/>
      <c r="B26" s="94" t="s">
        <v>199</v>
      </c>
      <c r="C26" s="120"/>
      <c r="D26" s="121">
        <f>+'NEW CLOTH MARKET 1'!C8</f>
        <v>36726.43</v>
      </c>
      <c r="E26" s="120"/>
    </row>
    <row r="27" spans="1:5">
      <c r="A27" s="132"/>
      <c r="B27" s="94" t="s">
        <v>269</v>
      </c>
      <c r="C27" s="120"/>
      <c r="D27" s="121">
        <f>+'NEW CLOTH MARKET 1'!C9</f>
        <v>0</v>
      </c>
      <c r="E27" s="120"/>
    </row>
    <row r="28" spans="1:5">
      <c r="A28" s="132"/>
      <c r="B28" s="94" t="s">
        <v>164</v>
      </c>
      <c r="C28" s="120"/>
      <c r="D28" s="121"/>
      <c r="E28" s="120"/>
    </row>
    <row r="29" spans="1:5" ht="16.5" thickBot="1">
      <c r="A29" s="865"/>
      <c r="B29" s="99" t="s">
        <v>936</v>
      </c>
      <c r="C29" s="122"/>
      <c r="D29" s="116"/>
      <c r="E29" s="120"/>
    </row>
    <row r="30" spans="1:5">
      <c r="A30" s="132"/>
      <c r="B30" s="94"/>
      <c r="C30" s="120"/>
      <c r="D30" s="121"/>
      <c r="E30" s="120"/>
    </row>
    <row r="31" spans="1:5">
      <c r="A31" s="95">
        <v>2</v>
      </c>
      <c r="B31" s="94" t="s">
        <v>200</v>
      </c>
      <c r="C31" s="120">
        <f>+'NEW CLOTH MARKET 1'!D24/2</f>
        <v>2327.25</v>
      </c>
      <c r="D31" s="121"/>
      <c r="E31" s="120"/>
    </row>
    <row r="32" spans="1:5">
      <c r="A32" s="95"/>
      <c r="B32" s="94" t="s">
        <v>201</v>
      </c>
      <c r="C32" s="120">
        <f>+C31</f>
        <v>2327.25</v>
      </c>
      <c r="D32" s="121"/>
      <c r="E32" s="120"/>
    </row>
    <row r="33" spans="1:5">
      <c r="A33" s="95"/>
      <c r="B33" s="94" t="s">
        <v>230</v>
      </c>
      <c r="C33" s="120">
        <f>+'NEW CLOTH MARKET 1'!D26/2</f>
        <v>0</v>
      </c>
      <c r="D33" s="121"/>
      <c r="E33" s="120"/>
    </row>
    <row r="34" spans="1:5">
      <c r="A34" s="95"/>
      <c r="B34" s="94" t="s">
        <v>206</v>
      </c>
      <c r="C34" s="120"/>
      <c r="D34" s="121">
        <f>+'NEW CLOTH MARKET 1'!C22</f>
        <v>4654.5</v>
      </c>
      <c r="E34" s="120"/>
    </row>
    <row r="35" spans="1:5">
      <c r="A35" s="95"/>
      <c r="B35" s="94" t="s">
        <v>203</v>
      </c>
      <c r="C35" s="120"/>
      <c r="D35" s="121"/>
      <c r="E35" s="120"/>
    </row>
    <row r="36" spans="1:5">
      <c r="A36" s="95"/>
      <c r="B36" s="94" t="s">
        <v>936</v>
      </c>
      <c r="C36" s="120"/>
      <c r="D36" s="121"/>
      <c r="E36" s="120"/>
    </row>
    <row r="37" spans="1:5" ht="16.5" thickBot="1">
      <c r="A37" s="98"/>
      <c r="B37" s="99"/>
      <c r="C37" s="122"/>
      <c r="D37" s="116"/>
      <c r="E37" s="120"/>
    </row>
    <row r="38" spans="1:5">
      <c r="A38" s="95"/>
      <c r="B38" s="94"/>
      <c r="C38" s="120"/>
      <c r="D38" s="121"/>
      <c r="E38" s="120"/>
    </row>
    <row r="39" spans="1:5">
      <c r="A39" s="959">
        <v>3</v>
      </c>
      <c r="B39" s="103" t="s">
        <v>207</v>
      </c>
      <c r="C39" s="120"/>
      <c r="D39" s="121"/>
      <c r="E39" s="120"/>
    </row>
    <row r="40" spans="1:5">
      <c r="A40" s="95">
        <v>1</v>
      </c>
      <c r="B40" s="94" t="s">
        <v>208</v>
      </c>
      <c r="C40" s="120">
        <f>SUM(D41:D43)</f>
        <v>45001.3</v>
      </c>
      <c r="D40" s="121"/>
      <c r="E40" s="120"/>
    </row>
    <row r="41" spans="1:5">
      <c r="A41" s="132"/>
      <c r="B41" s="94" t="s">
        <v>198</v>
      </c>
      <c r="C41" s="120"/>
      <c r="D41" s="121">
        <f>+'ASHRAM ROAD 1'!C7</f>
        <v>22500.65</v>
      </c>
      <c r="E41" s="120"/>
    </row>
    <row r="42" spans="1:5">
      <c r="A42" s="132"/>
      <c r="B42" s="94" t="s">
        <v>199</v>
      </c>
      <c r="C42" s="120"/>
      <c r="D42" s="121">
        <f>+'ASHRAM ROAD 1'!C8</f>
        <v>22500.65</v>
      </c>
      <c r="E42" s="120"/>
    </row>
    <row r="43" spans="1:5">
      <c r="A43" s="132"/>
      <c r="B43" s="94" t="s">
        <v>269</v>
      </c>
      <c r="C43" s="120"/>
      <c r="D43" s="121">
        <f>+'ASHRAM ROAD 1'!C9</f>
        <v>0</v>
      </c>
      <c r="E43" s="120"/>
    </row>
    <row r="44" spans="1:5">
      <c r="A44" s="132"/>
      <c r="B44" s="94" t="s">
        <v>164</v>
      </c>
      <c r="C44" s="120"/>
      <c r="D44" s="121"/>
      <c r="E44" s="120"/>
    </row>
    <row r="45" spans="1:5" ht="16.5" thickBot="1">
      <c r="A45" s="865"/>
      <c r="B45" s="99" t="s">
        <v>936</v>
      </c>
      <c r="C45" s="122"/>
      <c r="D45" s="116"/>
      <c r="E45" s="120"/>
    </row>
    <row r="46" spans="1:5">
      <c r="A46" s="132"/>
      <c r="B46" s="94"/>
      <c r="C46" s="120"/>
      <c r="D46" s="121"/>
      <c r="E46" s="120"/>
    </row>
    <row r="47" spans="1:5">
      <c r="A47" s="95">
        <v>2</v>
      </c>
      <c r="B47" s="94" t="s">
        <v>200</v>
      </c>
      <c r="C47" s="120">
        <f>+'ASHRAM ROAD 1'!D17/2</f>
        <v>1267.1099999999999</v>
      </c>
      <c r="D47" s="121"/>
      <c r="E47" s="120"/>
    </row>
    <row r="48" spans="1:5">
      <c r="A48" s="95"/>
      <c r="B48" s="94" t="s">
        <v>201</v>
      </c>
      <c r="C48" s="120">
        <f>+C47</f>
        <v>1267.1099999999999</v>
      </c>
      <c r="D48" s="121"/>
      <c r="E48" s="120"/>
    </row>
    <row r="49" spans="1:5">
      <c r="A49" s="95"/>
      <c r="B49" s="94" t="s">
        <v>230</v>
      </c>
      <c r="C49" s="120">
        <f>+'ASHRAM ROAD 1'!D19/2</f>
        <v>0</v>
      </c>
      <c r="D49" s="121"/>
      <c r="E49" s="120"/>
    </row>
    <row r="50" spans="1:5">
      <c r="A50" s="95"/>
      <c r="B50" s="94" t="s">
        <v>209</v>
      </c>
      <c r="C50" s="120"/>
      <c r="D50" s="121">
        <f>+'ASHRAM ROAD 1'!C15</f>
        <v>2534.2199999999998</v>
      </c>
      <c r="E50" s="120"/>
    </row>
    <row r="51" spans="1:5">
      <c r="A51" s="95"/>
      <c r="B51" s="94" t="s">
        <v>203</v>
      </c>
      <c r="C51" s="120"/>
      <c r="D51" s="121"/>
      <c r="E51" s="120"/>
    </row>
    <row r="52" spans="1:5">
      <c r="A52" s="95"/>
      <c r="B52" s="94" t="s">
        <v>936</v>
      </c>
      <c r="C52" s="120"/>
      <c r="D52" s="121"/>
      <c r="E52" s="120"/>
    </row>
    <row r="53" spans="1:5" ht="16.5" thickBot="1">
      <c r="A53" s="98"/>
      <c r="B53" s="99"/>
      <c r="C53" s="122"/>
      <c r="D53" s="116"/>
      <c r="E53" s="120"/>
    </row>
    <row r="54" spans="1:5">
      <c r="A54" s="95"/>
      <c r="B54" s="94"/>
      <c r="C54" s="120"/>
      <c r="D54" s="121"/>
      <c r="E54" s="120"/>
    </row>
    <row r="55" spans="1:5">
      <c r="A55" s="959">
        <v>4</v>
      </c>
      <c r="B55" s="103" t="s">
        <v>210</v>
      </c>
      <c r="C55" s="120"/>
      <c r="D55" s="121"/>
      <c r="E55" s="120"/>
    </row>
    <row r="56" spans="1:5">
      <c r="A56" s="95">
        <v>1</v>
      </c>
      <c r="B56" s="94" t="s">
        <v>211</v>
      </c>
      <c r="C56" s="120">
        <f>SUM(D57:D59)</f>
        <v>70313.36</v>
      </c>
      <c r="D56" s="121"/>
      <c r="E56" s="120"/>
    </row>
    <row r="57" spans="1:5">
      <c r="A57" s="132"/>
      <c r="B57" s="94" t="s">
        <v>198</v>
      </c>
      <c r="C57" s="120"/>
      <c r="D57" s="121">
        <f>+THALTEJ1!C7</f>
        <v>35156.68</v>
      </c>
      <c r="E57" s="120"/>
    </row>
    <row r="58" spans="1:5">
      <c r="A58" s="132"/>
      <c r="B58" s="94" t="s">
        <v>199</v>
      </c>
      <c r="C58" s="120"/>
      <c r="D58" s="121">
        <f>+THALTEJ1!C8</f>
        <v>35156.68</v>
      </c>
      <c r="E58" s="120"/>
    </row>
    <row r="59" spans="1:5">
      <c r="A59" s="132"/>
      <c r="B59" s="94" t="s">
        <v>269</v>
      </c>
      <c r="C59" s="120"/>
      <c r="D59" s="121">
        <f>+THALTEJ1!C9</f>
        <v>0</v>
      </c>
      <c r="E59" s="120"/>
    </row>
    <row r="60" spans="1:5">
      <c r="A60" s="132"/>
      <c r="B60" s="94" t="s">
        <v>164</v>
      </c>
      <c r="C60" s="120"/>
      <c r="D60" s="121"/>
      <c r="E60" s="120"/>
    </row>
    <row r="61" spans="1:5" ht="16.5" thickBot="1">
      <c r="A61" s="865"/>
      <c r="B61" s="99" t="s">
        <v>936</v>
      </c>
      <c r="C61" s="122"/>
      <c r="D61" s="116"/>
      <c r="E61" s="120"/>
    </row>
    <row r="62" spans="1:5">
      <c r="A62" s="132"/>
      <c r="B62" s="94"/>
      <c r="C62" s="120"/>
      <c r="D62" s="121"/>
      <c r="E62" s="120"/>
    </row>
    <row r="63" spans="1:5">
      <c r="A63" s="95">
        <v>2</v>
      </c>
      <c r="B63" s="94" t="s">
        <v>200</v>
      </c>
      <c r="C63" s="120">
        <f>+THALTEJ1!D17/2</f>
        <v>1670.2550000000001</v>
      </c>
      <c r="D63" s="121"/>
      <c r="E63" s="120"/>
    </row>
    <row r="64" spans="1:5">
      <c r="A64" s="95"/>
      <c r="B64" s="94" t="s">
        <v>201</v>
      </c>
      <c r="C64" s="120">
        <f>+C63</f>
        <v>1670.2550000000001</v>
      </c>
      <c r="D64" s="121"/>
      <c r="E64" s="120"/>
    </row>
    <row r="65" spans="1:6">
      <c r="A65" s="95"/>
      <c r="B65" s="94" t="s">
        <v>230</v>
      </c>
      <c r="C65" s="120">
        <f>+THALTEJ1!D19/2</f>
        <v>0</v>
      </c>
      <c r="D65" s="121"/>
      <c r="E65" s="120"/>
    </row>
    <row r="66" spans="1:6">
      <c r="A66" s="95"/>
      <c r="B66" s="94" t="s">
        <v>212</v>
      </c>
      <c r="C66" s="120"/>
      <c r="D66" s="121">
        <f>+THALTEJ1!C15</f>
        <v>3340.51</v>
      </c>
      <c r="E66" s="120"/>
    </row>
    <row r="67" spans="1:6">
      <c r="A67" s="95"/>
      <c r="B67" s="94" t="s">
        <v>203</v>
      </c>
      <c r="C67" s="120"/>
      <c r="D67" s="121"/>
      <c r="E67" s="120"/>
    </row>
    <row r="68" spans="1:6">
      <c r="A68" s="95"/>
      <c r="B68" s="94" t="s">
        <v>936</v>
      </c>
      <c r="C68" s="120"/>
      <c r="D68" s="121"/>
      <c r="E68" s="120"/>
    </row>
    <row r="69" spans="1:6" ht="16.5" thickBot="1">
      <c r="A69" s="98"/>
      <c r="B69" s="99"/>
      <c r="C69" s="122"/>
      <c r="D69" s="116"/>
      <c r="E69" s="120"/>
    </row>
    <row r="70" spans="1:6">
      <c r="A70" s="124"/>
      <c r="B70" s="119"/>
      <c r="C70" s="125"/>
      <c r="D70" s="123"/>
      <c r="E70" s="120"/>
    </row>
    <row r="71" spans="1:6">
      <c r="A71" s="959">
        <v>5</v>
      </c>
      <c r="B71" s="103" t="s">
        <v>213</v>
      </c>
      <c r="C71" s="120"/>
      <c r="D71" s="121"/>
      <c r="E71" s="120"/>
    </row>
    <row r="72" spans="1:6">
      <c r="A72" s="95">
        <v>1</v>
      </c>
      <c r="B72" s="94" t="s">
        <v>214</v>
      </c>
      <c r="C72" s="120">
        <f>SUM(D73:D74)</f>
        <v>60071.559999999597</v>
      </c>
      <c r="D72" s="121"/>
      <c r="E72" s="120"/>
    </row>
    <row r="73" spans="1:6">
      <c r="A73" s="132"/>
      <c r="B73" s="94" t="s">
        <v>198</v>
      </c>
      <c r="C73" s="120"/>
      <c r="D73" s="121">
        <f>+'DRIVE IN1'!C7</f>
        <v>30035.779999999799</v>
      </c>
      <c r="E73" s="120"/>
    </row>
    <row r="74" spans="1:6">
      <c r="A74" s="132"/>
      <c r="B74" s="94" t="s">
        <v>199</v>
      </c>
      <c r="C74" s="120"/>
      <c r="D74" s="121">
        <f>+'DRIVE IN1'!C8</f>
        <v>30035.779999999799</v>
      </c>
      <c r="E74" s="120"/>
    </row>
    <row r="75" spans="1:6">
      <c r="A75" s="132"/>
      <c r="B75" s="94" t="s">
        <v>269</v>
      </c>
      <c r="C75" s="120"/>
      <c r="D75" s="121">
        <f>+'DRIVE IN1'!C9</f>
        <v>0</v>
      </c>
      <c r="E75" s="120"/>
    </row>
    <row r="76" spans="1:6">
      <c r="A76" s="132"/>
      <c r="B76" s="94" t="s">
        <v>164</v>
      </c>
      <c r="C76" s="120"/>
      <c r="D76" s="121"/>
      <c r="E76" s="120"/>
    </row>
    <row r="77" spans="1:6" ht="16.5" thickBot="1">
      <c r="A77" s="865"/>
      <c r="B77" s="99" t="s">
        <v>936</v>
      </c>
      <c r="C77" s="122"/>
      <c r="D77" s="116"/>
      <c r="E77" s="120"/>
    </row>
    <row r="78" spans="1:6" ht="15.75" customHeight="1">
      <c r="A78" s="864"/>
      <c r="B78" s="119"/>
      <c r="C78" s="125"/>
      <c r="D78" s="123"/>
      <c r="E78" s="784"/>
      <c r="F78" s="784"/>
    </row>
    <row r="79" spans="1:6" ht="15.75" customHeight="1">
      <c r="A79" s="95">
        <v>2</v>
      </c>
      <c r="B79" s="94" t="s">
        <v>200</v>
      </c>
      <c r="C79" s="120">
        <f>+'DRIVE IN1'!D17/2</f>
        <v>7591.86</v>
      </c>
      <c r="D79" s="121"/>
      <c r="E79" s="784"/>
      <c r="F79" s="784"/>
    </row>
    <row r="80" spans="1:6" ht="15.75" customHeight="1">
      <c r="A80" s="95"/>
      <c r="B80" s="94" t="s">
        <v>201</v>
      </c>
      <c r="C80" s="120">
        <f>'DRIVE IN1'!D18/2</f>
        <v>7591.86</v>
      </c>
      <c r="D80" s="121"/>
      <c r="E80" s="784"/>
      <c r="F80" s="784"/>
    </row>
    <row r="81" spans="1:6" ht="15.75" customHeight="1">
      <c r="A81" s="95"/>
      <c r="B81" s="94" t="s">
        <v>230</v>
      </c>
      <c r="C81" s="120">
        <f>+'DRIVE IN1'!D19/2</f>
        <v>0</v>
      </c>
      <c r="D81" s="121"/>
      <c r="E81" s="784"/>
      <c r="F81" s="784"/>
    </row>
    <row r="82" spans="1:6" ht="15.75" customHeight="1">
      <c r="A82" s="95"/>
      <c r="B82" s="94" t="s">
        <v>215</v>
      </c>
      <c r="C82" s="120"/>
      <c r="D82" s="121">
        <f>+'DRIVE IN1'!C15</f>
        <v>15183.72</v>
      </c>
      <c r="E82" s="784"/>
      <c r="F82" s="784"/>
    </row>
    <row r="83" spans="1:6" ht="15.75" customHeight="1">
      <c r="A83" s="95"/>
      <c r="B83" s="94" t="s">
        <v>203</v>
      </c>
      <c r="C83" s="120"/>
      <c r="D83" s="121"/>
      <c r="E83" s="784"/>
      <c r="F83" s="784"/>
    </row>
    <row r="84" spans="1:6" ht="15.75" customHeight="1">
      <c r="A84" s="95"/>
      <c r="B84" s="94" t="s">
        <v>936</v>
      </c>
      <c r="C84" s="120"/>
      <c r="D84" s="121"/>
      <c r="E84" s="784"/>
      <c r="F84" s="784"/>
    </row>
    <row r="85" spans="1:6" ht="16.5" customHeight="1" thickBot="1">
      <c r="A85" s="98"/>
      <c r="B85" s="99"/>
      <c r="C85" s="122"/>
      <c r="D85" s="116"/>
      <c r="E85" s="784"/>
      <c r="F85" s="784"/>
    </row>
    <row r="86" spans="1:6">
      <c r="A86" s="124"/>
      <c r="B86" s="119"/>
      <c r="C86" s="125"/>
      <c r="D86" s="123"/>
      <c r="E86" s="120"/>
    </row>
    <row r="87" spans="1:6">
      <c r="A87" s="959">
        <v>6</v>
      </c>
      <c r="B87" s="103" t="s">
        <v>216</v>
      </c>
      <c r="C87" s="120"/>
      <c r="D87" s="121"/>
      <c r="E87" s="120"/>
    </row>
    <row r="88" spans="1:6">
      <c r="A88" s="95">
        <v>1</v>
      </c>
      <c r="B88" s="94" t="s">
        <v>217</v>
      </c>
      <c r="C88" s="120">
        <f>SUM(D89:D91)</f>
        <v>28775.599999999824</v>
      </c>
      <c r="D88" s="121"/>
      <c r="E88" s="120"/>
    </row>
    <row r="89" spans="1:6">
      <c r="A89" s="132"/>
      <c r="B89" s="94" t="s">
        <v>198</v>
      </c>
      <c r="C89" s="120"/>
      <c r="D89" s="121">
        <f>+ODHAV1!C7</f>
        <v>14387.799999999912</v>
      </c>
      <c r="E89" s="120"/>
    </row>
    <row r="90" spans="1:6">
      <c r="A90" s="132"/>
      <c r="B90" s="94" t="s">
        <v>199</v>
      </c>
      <c r="C90" s="120"/>
      <c r="D90" s="121">
        <f>+ODHAV1!C8</f>
        <v>14387.799999999912</v>
      </c>
      <c r="E90" s="120"/>
    </row>
    <row r="91" spans="1:6">
      <c r="A91" s="132"/>
      <c r="B91" s="94" t="s">
        <v>269</v>
      </c>
      <c r="C91" s="120"/>
      <c r="D91" s="121">
        <f>+ODHAV1!C9</f>
        <v>0</v>
      </c>
      <c r="E91" s="120"/>
    </row>
    <row r="92" spans="1:6">
      <c r="A92" s="132"/>
      <c r="B92" s="94" t="s">
        <v>164</v>
      </c>
      <c r="C92" s="120"/>
      <c r="D92" s="121"/>
      <c r="E92" s="120"/>
    </row>
    <row r="93" spans="1:6" ht="16.5" thickBot="1">
      <c r="A93" s="865"/>
      <c r="B93" s="99" t="s">
        <v>936</v>
      </c>
      <c r="C93" s="122"/>
      <c r="D93" s="116"/>
      <c r="E93" s="120"/>
    </row>
    <row r="94" spans="1:6">
      <c r="A94" s="132"/>
      <c r="B94" s="94"/>
      <c r="C94" s="120"/>
      <c r="D94" s="121"/>
      <c r="E94" s="120"/>
    </row>
    <row r="95" spans="1:6">
      <c r="A95" s="95">
        <v>2</v>
      </c>
      <c r="B95" s="94" t="s">
        <v>200</v>
      </c>
      <c r="C95" s="120">
        <f>+ODHAV1!D17/2</f>
        <v>1336.2750000000001</v>
      </c>
      <c r="D95" s="121"/>
      <c r="E95" s="120"/>
    </row>
    <row r="96" spans="1:6">
      <c r="A96" s="95"/>
      <c r="B96" s="94" t="s">
        <v>201</v>
      </c>
      <c r="C96" s="120">
        <f>+C95</f>
        <v>1336.2750000000001</v>
      </c>
      <c r="D96" s="121"/>
      <c r="E96" s="120"/>
    </row>
    <row r="97" spans="1:5">
      <c r="A97" s="95"/>
      <c r="B97" s="94" t="s">
        <v>230</v>
      </c>
      <c r="C97" s="120">
        <f>(ODHAV1!D19)/2</f>
        <v>0</v>
      </c>
      <c r="D97" s="121"/>
      <c r="E97" s="120"/>
    </row>
    <row r="98" spans="1:5">
      <c r="A98" s="95"/>
      <c r="B98" s="94" t="s">
        <v>218</v>
      </c>
      <c r="C98" s="120"/>
      <c r="D98" s="121">
        <f>+ODHAV1!C15</f>
        <v>2672.55</v>
      </c>
      <c r="E98" s="120"/>
    </row>
    <row r="99" spans="1:5">
      <c r="A99" s="95"/>
      <c r="B99" s="94" t="s">
        <v>203</v>
      </c>
      <c r="C99" s="120"/>
      <c r="D99" s="121"/>
      <c r="E99" s="120"/>
    </row>
    <row r="100" spans="1:5">
      <c r="A100" s="95"/>
      <c r="B100" s="94" t="s">
        <v>936</v>
      </c>
      <c r="C100" s="120"/>
      <c r="D100" s="121"/>
      <c r="E100" s="120"/>
    </row>
    <row r="101" spans="1:5" ht="16.5" thickBot="1">
      <c r="A101" s="98"/>
      <c r="B101" s="99"/>
      <c r="C101" s="122"/>
      <c r="D101" s="116"/>
      <c r="E101" s="120"/>
    </row>
    <row r="102" spans="1:5">
      <c r="A102" s="95"/>
      <c r="B102" s="94"/>
      <c r="C102" s="120"/>
      <c r="D102" s="121"/>
      <c r="E102" s="120"/>
    </row>
    <row r="103" spans="1:5">
      <c r="A103" s="959">
        <v>7</v>
      </c>
      <c r="B103" s="103" t="s">
        <v>219</v>
      </c>
      <c r="C103" s="120"/>
      <c r="D103" s="121"/>
      <c r="E103" s="120"/>
    </row>
    <row r="104" spans="1:5">
      <c r="A104" s="95">
        <v>1</v>
      </c>
      <c r="B104" s="94" t="s">
        <v>220</v>
      </c>
      <c r="C104" s="120">
        <f>SUM(D105:D107)</f>
        <v>84358.94</v>
      </c>
      <c r="D104" s="121"/>
      <c r="E104" s="120"/>
    </row>
    <row r="105" spans="1:5">
      <c r="A105" s="132"/>
      <c r="B105" s="94" t="s">
        <v>198</v>
      </c>
      <c r="C105" s="120"/>
      <c r="D105" s="121">
        <f>+'SHARDA MANDIR 1'!C7</f>
        <v>42179.47</v>
      </c>
      <c r="E105" s="120"/>
    </row>
    <row r="106" spans="1:5">
      <c r="A106" s="132"/>
      <c r="B106" s="94" t="s">
        <v>199</v>
      </c>
      <c r="C106" s="120"/>
      <c r="D106" s="121">
        <f>+'SHARDA MANDIR 1'!C7</f>
        <v>42179.47</v>
      </c>
      <c r="E106" s="120"/>
    </row>
    <row r="107" spans="1:5">
      <c r="A107" s="132"/>
      <c r="B107" s="94" t="s">
        <v>269</v>
      </c>
      <c r="C107" s="120"/>
      <c r="D107" s="121">
        <f>+'SHARDA MANDIR 1'!C9</f>
        <v>0</v>
      </c>
      <c r="E107" s="120"/>
    </row>
    <row r="108" spans="1:5">
      <c r="A108" s="132"/>
      <c r="B108" s="94" t="s">
        <v>164</v>
      </c>
      <c r="C108" s="120"/>
      <c r="D108" s="121"/>
      <c r="E108" s="120"/>
    </row>
    <row r="109" spans="1:5" ht="16.5" thickBot="1">
      <c r="A109" s="865"/>
      <c r="B109" s="99" t="s">
        <v>936</v>
      </c>
      <c r="C109" s="122"/>
      <c r="D109" s="116"/>
      <c r="E109" s="120"/>
    </row>
    <row r="110" spans="1:5">
      <c r="A110" s="132"/>
      <c r="B110" s="94"/>
      <c r="C110" s="120"/>
      <c r="D110" s="121"/>
      <c r="E110" s="120"/>
    </row>
    <row r="111" spans="1:5">
      <c r="A111" s="95">
        <v>2</v>
      </c>
      <c r="B111" s="94" t="s">
        <v>200</v>
      </c>
      <c r="C111" s="120">
        <f>(D114-C113)/2</f>
        <v>1488.5</v>
      </c>
      <c r="D111" s="121"/>
      <c r="E111" s="120"/>
    </row>
    <row r="112" spans="1:5">
      <c r="A112" s="95"/>
      <c r="B112" s="94" t="s">
        <v>201</v>
      </c>
      <c r="C112" s="120">
        <f>+C111</f>
        <v>1488.5</v>
      </c>
      <c r="D112" s="121"/>
      <c r="E112" s="120"/>
    </row>
    <row r="113" spans="1:6">
      <c r="A113" s="95"/>
      <c r="B113" s="94" t="s">
        <v>230</v>
      </c>
      <c r="C113" s="120">
        <f>+'SHARDA MANDIR 1'!D26/2</f>
        <v>0</v>
      </c>
      <c r="D113" s="121"/>
      <c r="E113" s="120"/>
    </row>
    <row r="114" spans="1:6">
      <c r="A114" s="95"/>
      <c r="B114" s="94" t="s">
        <v>221</v>
      </c>
      <c r="C114" s="120"/>
      <c r="D114" s="121">
        <f>+'SHARDA MANDIR 1'!C22</f>
        <v>2977</v>
      </c>
      <c r="E114" s="120"/>
    </row>
    <row r="115" spans="1:6">
      <c r="A115" s="95"/>
      <c r="B115" s="94" t="s">
        <v>203</v>
      </c>
      <c r="C115" s="120"/>
      <c r="D115" s="121"/>
      <c r="E115" s="120"/>
    </row>
    <row r="116" spans="1:6">
      <c r="A116" s="95"/>
      <c r="B116" s="94" t="s">
        <v>936</v>
      </c>
      <c r="C116" s="120"/>
      <c r="D116" s="121"/>
      <c r="E116" s="120"/>
    </row>
    <row r="117" spans="1:6" ht="16.5" thickBot="1">
      <c r="A117" s="98"/>
      <c r="B117" s="99"/>
      <c r="C117" s="122"/>
      <c r="D117" s="116"/>
      <c r="E117" s="120"/>
    </row>
    <row r="118" spans="1:6">
      <c r="A118" s="95"/>
      <c r="B118" s="94"/>
      <c r="C118" s="120"/>
      <c r="D118" s="121"/>
      <c r="E118" s="120"/>
    </row>
    <row r="119" spans="1:6">
      <c r="A119" s="959">
        <v>8</v>
      </c>
      <c r="B119" s="103" t="s">
        <v>222</v>
      </c>
      <c r="C119" s="120"/>
      <c r="D119" s="121"/>
      <c r="E119" s="120"/>
    </row>
    <row r="120" spans="1:6">
      <c r="A120" s="95">
        <v>1</v>
      </c>
      <c r="B120" s="94" t="s">
        <v>223</v>
      </c>
      <c r="C120" s="120">
        <f>SUM(D121:D122)</f>
        <v>70768.639999999999</v>
      </c>
      <c r="D120" s="121"/>
      <c r="E120" s="120"/>
    </row>
    <row r="121" spans="1:6">
      <c r="A121" s="132"/>
      <c r="B121" s="94" t="s">
        <v>198</v>
      </c>
      <c r="C121" s="120"/>
      <c r="D121" s="121">
        <f>+'SHANTI COMMERCIAL'!C7</f>
        <v>35384.32</v>
      </c>
      <c r="E121" s="120"/>
    </row>
    <row r="122" spans="1:6">
      <c r="A122" s="132"/>
      <c r="B122" s="94" t="s">
        <v>199</v>
      </c>
      <c r="C122" s="120"/>
      <c r="D122" s="121">
        <f>+'SHANTI COMMERCIAL'!C8</f>
        <v>35384.32</v>
      </c>
      <c r="E122" s="120"/>
    </row>
    <row r="123" spans="1:6">
      <c r="A123" s="132"/>
      <c r="B123" s="94" t="s">
        <v>269</v>
      </c>
      <c r="C123" s="120"/>
      <c r="D123" s="121">
        <f>+'SHANTI COMMERCIAL'!C9</f>
        <v>0</v>
      </c>
      <c r="E123" s="120"/>
    </row>
    <row r="124" spans="1:6">
      <c r="A124" s="132"/>
      <c r="B124" s="94" t="s">
        <v>164</v>
      </c>
      <c r="C124" s="120"/>
      <c r="D124" s="121"/>
      <c r="E124" s="120"/>
    </row>
    <row r="125" spans="1:6" ht="16.5" thickBot="1">
      <c r="A125" s="865"/>
      <c r="B125" s="99" t="s">
        <v>936</v>
      </c>
      <c r="C125" s="122"/>
      <c r="D125" s="116"/>
      <c r="E125" s="120"/>
    </row>
    <row r="126" spans="1:6" ht="15.75" customHeight="1">
      <c r="A126" s="864"/>
      <c r="B126" s="119"/>
      <c r="C126" s="125"/>
      <c r="D126" s="123"/>
      <c r="E126" s="784"/>
      <c r="F126" s="784"/>
    </row>
    <row r="127" spans="1:6" ht="15.75" customHeight="1">
      <c r="A127" s="95">
        <v>2</v>
      </c>
      <c r="B127" s="94" t="s">
        <v>200</v>
      </c>
      <c r="C127" s="120">
        <f>+'SHANTI COMMERCIAL'!D17/2</f>
        <v>1829.61</v>
      </c>
      <c r="D127" s="121"/>
      <c r="E127" s="784"/>
      <c r="F127" s="784"/>
    </row>
    <row r="128" spans="1:6" ht="15.75" customHeight="1">
      <c r="A128" s="95"/>
      <c r="B128" s="94" t="s">
        <v>201</v>
      </c>
      <c r="C128" s="120">
        <f>+C127</f>
        <v>1829.61</v>
      </c>
      <c r="D128" s="121"/>
      <c r="E128" s="784"/>
      <c r="F128" s="784"/>
    </row>
    <row r="129" spans="1:6" ht="15.75" customHeight="1">
      <c r="A129" s="95"/>
      <c r="B129" s="94" t="s">
        <v>230</v>
      </c>
      <c r="C129" s="120">
        <f>+'SHANTI COMMERCIAL'!D19/2</f>
        <v>0</v>
      </c>
      <c r="D129" s="121"/>
      <c r="E129" s="784"/>
      <c r="F129" s="784"/>
    </row>
    <row r="130" spans="1:6" ht="15.75" customHeight="1">
      <c r="A130" s="95"/>
      <c r="B130" s="94" t="s">
        <v>224</v>
      </c>
      <c r="C130" s="120"/>
      <c r="D130" s="121">
        <f>+'SHANTI COMMERCIAL'!C15</f>
        <v>3659.22</v>
      </c>
      <c r="E130" s="784"/>
      <c r="F130" s="784"/>
    </row>
    <row r="131" spans="1:6" ht="15.75" customHeight="1">
      <c r="A131" s="95"/>
      <c r="B131" s="94" t="s">
        <v>203</v>
      </c>
      <c r="C131" s="120"/>
      <c r="D131" s="121"/>
      <c r="E131" s="784"/>
      <c r="F131" s="784"/>
    </row>
    <row r="132" spans="1:6" ht="15.75" customHeight="1">
      <c r="A132" s="95"/>
      <c r="B132" s="94" t="s">
        <v>936</v>
      </c>
      <c r="C132" s="120"/>
      <c r="D132" s="121"/>
      <c r="E132" s="784"/>
      <c r="F132" s="784"/>
    </row>
    <row r="133" spans="1:6" ht="16.5" customHeight="1" thickBot="1">
      <c r="A133" s="98"/>
      <c r="B133" s="99"/>
      <c r="C133" s="122"/>
      <c r="D133" s="116"/>
      <c r="E133" s="784"/>
      <c r="F133" s="784"/>
    </row>
    <row r="134" spans="1:6">
      <c r="A134" s="95"/>
      <c r="B134" s="94"/>
      <c r="C134" s="120"/>
      <c r="D134" s="121"/>
      <c r="E134" s="120"/>
    </row>
    <row r="135" spans="1:6">
      <c r="A135" s="959">
        <v>9</v>
      </c>
      <c r="B135" s="103" t="s">
        <v>225</v>
      </c>
      <c r="C135" s="120"/>
      <c r="D135" s="121"/>
      <c r="E135" s="120"/>
    </row>
    <row r="136" spans="1:6">
      <c r="A136" s="95">
        <v>1</v>
      </c>
      <c r="B136" s="94" t="s">
        <v>226</v>
      </c>
      <c r="C136" s="120">
        <f>SUM(D137:D139)</f>
        <v>71396.759999999995</v>
      </c>
      <c r="D136" s="121"/>
      <c r="E136" s="120"/>
    </row>
    <row r="137" spans="1:6">
      <c r="A137" s="132"/>
      <c r="B137" s="94" t="s">
        <v>198</v>
      </c>
      <c r="C137" s="120"/>
      <c r="D137" s="121">
        <f>+NARAYANNAGAR1!C7</f>
        <v>35698.379999999997</v>
      </c>
      <c r="E137" s="120"/>
    </row>
    <row r="138" spans="1:6">
      <c r="A138" s="132"/>
      <c r="B138" s="94" t="s">
        <v>199</v>
      </c>
      <c r="C138" s="120"/>
      <c r="D138" s="121">
        <f>+NARAYANNAGAR1!C8</f>
        <v>35698.379999999997</v>
      </c>
      <c r="E138" s="120"/>
    </row>
    <row r="139" spans="1:6">
      <c r="A139" s="132"/>
      <c r="B139" s="94" t="s">
        <v>269</v>
      </c>
      <c r="C139" s="120"/>
      <c r="D139" s="121">
        <f>+NARAYANNAGAR1!C9</f>
        <v>0</v>
      </c>
      <c r="E139" s="120"/>
    </row>
    <row r="140" spans="1:6">
      <c r="A140" s="132"/>
      <c r="B140" s="94" t="s">
        <v>164</v>
      </c>
      <c r="C140" s="120"/>
      <c r="D140" s="121"/>
      <c r="E140" s="120"/>
    </row>
    <row r="141" spans="1:6" ht="16.5" thickBot="1">
      <c r="A141" s="865"/>
      <c r="B141" s="99" t="s">
        <v>936</v>
      </c>
      <c r="C141" s="122"/>
      <c r="D141" s="116"/>
      <c r="E141" s="120"/>
    </row>
    <row r="142" spans="1:6">
      <c r="A142" s="95"/>
      <c r="B142" s="94"/>
      <c r="C142" s="120"/>
      <c r="D142" s="121"/>
      <c r="E142" s="120"/>
    </row>
    <row r="143" spans="1:6">
      <c r="A143" s="95">
        <v>2</v>
      </c>
      <c r="B143" s="767" t="s">
        <v>200</v>
      </c>
      <c r="C143" s="120">
        <f>+NARAYANNAGAR1!D17/2</f>
        <v>2001.65</v>
      </c>
      <c r="D143" s="121"/>
      <c r="E143" s="120"/>
    </row>
    <row r="144" spans="1:6">
      <c r="A144" s="95"/>
      <c r="B144" s="94" t="s">
        <v>201</v>
      </c>
      <c r="C144" s="120">
        <f>+NARAYANNAGAR1!D18/2</f>
        <v>2001.65</v>
      </c>
      <c r="D144" s="121"/>
      <c r="E144" s="120"/>
    </row>
    <row r="145" spans="1:5">
      <c r="A145" s="132"/>
      <c r="B145" s="94" t="s">
        <v>230</v>
      </c>
      <c r="C145" s="120">
        <f>+NARAYANNAGAR1!D19/2</f>
        <v>0</v>
      </c>
      <c r="D145" s="121"/>
      <c r="E145" s="120"/>
    </row>
    <row r="146" spans="1:5">
      <c r="A146" s="132"/>
      <c r="B146" s="94" t="s">
        <v>227</v>
      </c>
      <c r="C146" s="120"/>
      <c r="D146" s="121">
        <f>+NARAYANNAGAR1!C15</f>
        <v>4003.3</v>
      </c>
      <c r="E146" s="120"/>
    </row>
    <row r="147" spans="1:5">
      <c r="A147" s="132"/>
      <c r="B147" s="94" t="s">
        <v>203</v>
      </c>
      <c r="C147" s="120"/>
      <c r="D147" s="121"/>
      <c r="E147" s="120"/>
    </row>
    <row r="148" spans="1:5">
      <c r="A148" s="132"/>
      <c r="B148" s="94" t="s">
        <v>936</v>
      </c>
      <c r="C148" s="120"/>
      <c r="D148" s="121"/>
      <c r="E148" s="120"/>
    </row>
    <row r="149" spans="1:5" ht="16.5" thickBot="1">
      <c r="A149" s="98"/>
      <c r="B149" s="99"/>
      <c r="C149" s="122"/>
      <c r="D149" s="116"/>
      <c r="E149" s="120"/>
    </row>
    <row r="150" spans="1:5">
      <c r="A150" s="95"/>
      <c r="B150" s="94"/>
      <c r="C150" s="120"/>
      <c r="D150" s="121"/>
      <c r="E150" s="120"/>
    </row>
    <row r="151" spans="1:5">
      <c r="A151" s="959">
        <v>10</v>
      </c>
      <c r="B151" s="103" t="s">
        <v>228</v>
      </c>
      <c r="C151" s="120"/>
      <c r="D151" s="121"/>
      <c r="E151" s="120"/>
    </row>
    <row r="152" spans="1:5">
      <c r="A152" s="95">
        <v>1</v>
      </c>
      <c r="B152" s="94" t="s">
        <v>229</v>
      </c>
      <c r="C152" s="120">
        <f>SUM(D153:D154)</f>
        <v>104973.96</v>
      </c>
      <c r="D152" s="121"/>
      <c r="E152" s="120"/>
    </row>
    <row r="153" spans="1:5">
      <c r="A153" s="132"/>
      <c r="B153" s="94" t="s">
        <v>198</v>
      </c>
      <c r="C153" s="120"/>
      <c r="D153" s="121">
        <f>+'MASKATI MARKET'!C24</f>
        <v>52486.98</v>
      </c>
      <c r="E153" s="120"/>
    </row>
    <row r="154" spans="1:5">
      <c r="A154" s="132"/>
      <c r="B154" s="94" t="s">
        <v>199</v>
      </c>
      <c r="C154" s="120"/>
      <c r="D154" s="121">
        <f>+'MASKATI MARKET'!C25</f>
        <v>52486.98</v>
      </c>
      <c r="E154" s="120"/>
    </row>
    <row r="155" spans="1:5">
      <c r="A155" s="132"/>
      <c r="B155" s="94" t="s">
        <v>269</v>
      </c>
      <c r="C155" s="120"/>
      <c r="D155" s="121">
        <f>+'MASKATI MARKET'!C26</f>
        <v>0</v>
      </c>
      <c r="E155" s="120"/>
    </row>
    <row r="156" spans="1:5">
      <c r="A156" s="132"/>
      <c r="B156" s="94" t="s">
        <v>164</v>
      </c>
      <c r="C156" s="120"/>
      <c r="D156" s="121"/>
      <c r="E156" s="120"/>
    </row>
    <row r="157" spans="1:5" ht="16.5" thickBot="1">
      <c r="A157" s="865"/>
      <c r="B157" s="99" t="s">
        <v>936</v>
      </c>
      <c r="C157" s="122"/>
      <c r="D157" s="116"/>
      <c r="E157" s="120"/>
    </row>
    <row r="158" spans="1:5">
      <c r="A158" s="864"/>
      <c r="B158" s="119"/>
      <c r="C158" s="125"/>
      <c r="D158" s="123"/>
      <c r="E158" s="120"/>
    </row>
    <row r="159" spans="1:5">
      <c r="A159" s="95">
        <v>2</v>
      </c>
      <c r="B159" s="94" t="s">
        <v>200</v>
      </c>
      <c r="C159" s="120">
        <f>+'MASKATI MARKET'!D34/2</f>
        <v>876.61</v>
      </c>
      <c r="D159" s="121"/>
      <c r="E159" s="120"/>
    </row>
    <row r="160" spans="1:5">
      <c r="A160" s="95"/>
      <c r="B160" s="94" t="s">
        <v>201</v>
      </c>
      <c r="C160" s="120">
        <f>+C159</f>
        <v>876.61</v>
      </c>
      <c r="D160" s="121"/>
      <c r="E160" s="120"/>
    </row>
    <row r="161" spans="1:5">
      <c r="A161" s="95"/>
      <c r="B161" s="94" t="s">
        <v>230</v>
      </c>
      <c r="C161" s="120">
        <f>+'MASKATI MARKET'!D36/2</f>
        <v>7546.77</v>
      </c>
      <c r="D161" s="121"/>
      <c r="E161" s="120"/>
    </row>
    <row r="162" spans="1:5">
      <c r="A162" s="95"/>
      <c r="B162" s="94" t="s">
        <v>231</v>
      </c>
      <c r="C162" s="120"/>
      <c r="D162" s="121">
        <f>+'MASKATI MARKET'!C32</f>
        <v>9299.99</v>
      </c>
      <c r="E162" s="120"/>
    </row>
    <row r="163" spans="1:5">
      <c r="A163" s="95"/>
      <c r="B163" s="94" t="s">
        <v>203</v>
      </c>
      <c r="C163" s="120"/>
      <c r="D163" s="121"/>
      <c r="E163" s="120"/>
    </row>
    <row r="164" spans="1:5">
      <c r="A164" s="95"/>
      <c r="B164" s="94" t="s">
        <v>936</v>
      </c>
      <c r="C164" s="120"/>
      <c r="D164" s="121"/>
      <c r="E164" s="120"/>
    </row>
    <row r="165" spans="1:5" ht="16.5" thickBot="1">
      <c r="A165" s="98"/>
      <c r="B165" s="99"/>
      <c r="C165" s="122"/>
      <c r="D165" s="116"/>
      <c r="E165" s="120"/>
    </row>
    <row r="166" spans="1:5">
      <c r="A166" s="124"/>
      <c r="B166" s="119"/>
      <c r="C166" s="125"/>
      <c r="D166" s="123"/>
      <c r="E166" s="120"/>
    </row>
    <row r="167" spans="1:5">
      <c r="A167" s="959">
        <v>11</v>
      </c>
      <c r="B167" s="103" t="s">
        <v>232</v>
      </c>
      <c r="C167" s="120"/>
      <c r="D167" s="121"/>
      <c r="E167" s="120"/>
    </row>
    <row r="168" spans="1:5">
      <c r="A168" s="95">
        <v>1</v>
      </c>
      <c r="B168" s="94" t="s">
        <v>233</v>
      </c>
      <c r="C168" s="120">
        <f>SUM(D169:D171)</f>
        <v>38758.06</v>
      </c>
      <c r="D168" s="121"/>
      <c r="E168" s="120"/>
    </row>
    <row r="169" spans="1:5">
      <c r="A169" s="132"/>
      <c r="B169" s="94" t="s">
        <v>198</v>
      </c>
      <c r="C169" s="120"/>
      <c r="D169" s="121">
        <f>+BOPAL1!C7</f>
        <v>19379.03</v>
      </c>
      <c r="E169" s="120"/>
    </row>
    <row r="170" spans="1:5">
      <c r="A170" s="132"/>
      <c r="B170" s="94" t="s">
        <v>199</v>
      </c>
      <c r="C170" s="120"/>
      <c r="D170" s="121">
        <f>+BOPAL1!C8</f>
        <v>19379.03</v>
      </c>
      <c r="E170" s="120"/>
    </row>
    <row r="171" spans="1:5">
      <c r="A171" s="132"/>
      <c r="B171" s="94" t="s">
        <v>269</v>
      </c>
      <c r="C171" s="120"/>
      <c r="D171" s="121">
        <f>+BOPAL1!C9</f>
        <v>0</v>
      </c>
      <c r="E171" s="120"/>
    </row>
    <row r="172" spans="1:5">
      <c r="A172" s="132"/>
      <c r="B172" s="94" t="s">
        <v>164</v>
      </c>
      <c r="C172" s="120"/>
      <c r="D172" s="121"/>
      <c r="E172" s="120"/>
    </row>
    <row r="173" spans="1:5" ht="16.5" thickBot="1">
      <c r="A173" s="865"/>
      <c r="B173" s="99" t="s">
        <v>936</v>
      </c>
      <c r="C173" s="122"/>
      <c r="D173" s="116"/>
      <c r="E173" s="120"/>
    </row>
    <row r="174" spans="1:5">
      <c r="A174" s="132"/>
      <c r="B174" s="94"/>
      <c r="C174" s="120"/>
      <c r="D174" s="121"/>
      <c r="E174" s="1479"/>
    </row>
    <row r="175" spans="1:5">
      <c r="A175" s="95">
        <v>2</v>
      </c>
      <c r="B175" s="94" t="s">
        <v>200</v>
      </c>
      <c r="C175" s="121">
        <f>+BOPAL1!D17/2</f>
        <v>4630.25</v>
      </c>
      <c r="D175" s="121"/>
      <c r="E175" s="1479"/>
    </row>
    <row r="176" spans="1:5">
      <c r="A176" s="95"/>
      <c r="B176" s="94" t="s">
        <v>201</v>
      </c>
      <c r="C176" s="120">
        <f>+C175</f>
        <v>4630.25</v>
      </c>
      <c r="D176" s="121"/>
      <c r="E176" s="1479"/>
    </row>
    <row r="177" spans="1:5">
      <c r="A177" s="95"/>
      <c r="B177" s="94" t="s">
        <v>230</v>
      </c>
      <c r="C177" s="120">
        <f>+BOPAL1!D19/2</f>
        <v>0</v>
      </c>
      <c r="D177" s="121"/>
      <c r="E177" s="1479"/>
    </row>
    <row r="178" spans="1:5">
      <c r="A178" s="95"/>
      <c r="B178" s="94" t="s">
        <v>234</v>
      </c>
      <c r="C178" s="120"/>
      <c r="D178" s="121">
        <f>+BOPAL1!C15</f>
        <v>9260.5</v>
      </c>
      <c r="E178" s="1479"/>
    </row>
    <row r="179" spans="1:5">
      <c r="A179" s="95"/>
      <c r="B179" s="94" t="s">
        <v>203</v>
      </c>
      <c r="C179" s="120"/>
      <c r="D179" s="121"/>
      <c r="E179" s="1479"/>
    </row>
    <row r="180" spans="1:5">
      <c r="A180" s="95"/>
      <c r="B180" s="94" t="s">
        <v>936</v>
      </c>
      <c r="C180" s="120"/>
      <c r="D180" s="121"/>
      <c r="E180" s="120"/>
    </row>
    <row r="181" spans="1:5" ht="16.5" thickBot="1">
      <c r="A181" s="98"/>
      <c r="B181" s="99"/>
      <c r="C181" s="122"/>
      <c r="D181" s="116"/>
      <c r="E181" s="120"/>
    </row>
    <row r="182" spans="1:5">
      <c r="A182" s="95"/>
      <c r="B182" s="94"/>
      <c r="C182" s="120"/>
      <c r="D182" s="121"/>
      <c r="E182" s="120"/>
    </row>
    <row r="183" spans="1:5">
      <c r="A183" s="959">
        <v>12</v>
      </c>
      <c r="B183" s="103" t="s">
        <v>235</v>
      </c>
      <c r="C183" s="120"/>
      <c r="D183" s="121"/>
      <c r="E183" s="120"/>
    </row>
    <row r="184" spans="1:5">
      <c r="A184" s="95">
        <v>1</v>
      </c>
      <c r="B184" s="94" t="s">
        <v>236</v>
      </c>
      <c r="C184" s="120">
        <f>SUM(D185:D187)</f>
        <v>82408.100000000006</v>
      </c>
      <c r="D184" s="121"/>
      <c r="E184" s="120"/>
    </row>
    <row r="185" spans="1:5">
      <c r="A185" s="132"/>
      <c r="B185" s="94" t="s">
        <v>198</v>
      </c>
      <c r="C185" s="120"/>
      <c r="D185" s="121">
        <f>+VEJALPUR1!C7</f>
        <v>41204.050000000003</v>
      </c>
      <c r="E185" s="120"/>
    </row>
    <row r="186" spans="1:5">
      <c r="A186" s="132"/>
      <c r="B186" s="94" t="s">
        <v>199</v>
      </c>
      <c r="C186" s="120"/>
      <c r="D186" s="121">
        <f>+VEJALPUR1!C8</f>
        <v>41204.050000000003</v>
      </c>
      <c r="E186" s="120"/>
    </row>
    <row r="187" spans="1:5">
      <c r="A187" s="132"/>
      <c r="B187" s="94" t="s">
        <v>269</v>
      </c>
      <c r="C187" s="120"/>
      <c r="D187" s="121">
        <f>+VEJALPUR1!C9</f>
        <v>0</v>
      </c>
      <c r="E187" s="120"/>
    </row>
    <row r="188" spans="1:5">
      <c r="A188" s="132"/>
      <c r="B188" s="94" t="s">
        <v>164</v>
      </c>
      <c r="C188" s="120"/>
      <c r="D188" s="121"/>
      <c r="E188" s="120"/>
    </row>
    <row r="189" spans="1:5" ht="16.5" thickBot="1">
      <c r="A189" s="865"/>
      <c r="B189" s="99" t="s">
        <v>936</v>
      </c>
      <c r="C189" s="122"/>
      <c r="D189" s="116"/>
      <c r="E189" s="120"/>
    </row>
    <row r="190" spans="1:5">
      <c r="A190" s="132"/>
      <c r="B190" s="94"/>
      <c r="C190" s="120"/>
      <c r="D190" s="121"/>
      <c r="E190" s="120"/>
    </row>
    <row r="191" spans="1:5">
      <c r="A191" s="95">
        <v>2</v>
      </c>
      <c r="B191" s="94" t="s">
        <v>200</v>
      </c>
      <c r="C191" s="120">
        <f>+VEJALPUR1!D17/2</f>
        <v>830.43</v>
      </c>
      <c r="D191" s="121"/>
      <c r="E191" s="120"/>
    </row>
    <row r="192" spans="1:5">
      <c r="A192" s="95"/>
      <c r="B192" s="94" t="s">
        <v>201</v>
      </c>
      <c r="C192" s="120">
        <f>+C191</f>
        <v>830.43</v>
      </c>
      <c r="D192" s="121"/>
      <c r="E192" s="120"/>
    </row>
    <row r="193" spans="1:5">
      <c r="A193" s="95"/>
      <c r="B193" s="94" t="s">
        <v>230</v>
      </c>
      <c r="C193" s="120">
        <f>+VEJALPUR1!D19/2</f>
        <v>0</v>
      </c>
      <c r="D193" s="121"/>
      <c r="E193" s="120"/>
    </row>
    <row r="194" spans="1:5">
      <c r="A194" s="95"/>
      <c r="B194" s="94" t="s">
        <v>237</v>
      </c>
      <c r="C194" s="120"/>
      <c r="D194" s="121">
        <f>+VEJALPUR1!C15</f>
        <v>1660.86</v>
      </c>
      <c r="E194" s="120"/>
    </row>
    <row r="195" spans="1:5">
      <c r="A195" s="95"/>
      <c r="B195" s="94" t="s">
        <v>203</v>
      </c>
      <c r="C195" s="120"/>
      <c r="D195" s="121"/>
      <c r="E195" s="120"/>
    </row>
    <row r="196" spans="1:5">
      <c r="A196" s="95"/>
      <c r="B196" s="94" t="s">
        <v>936</v>
      </c>
      <c r="C196" s="120"/>
      <c r="D196" s="121"/>
      <c r="E196" s="120"/>
    </row>
    <row r="197" spans="1:5" ht="16.5" thickBot="1">
      <c r="A197" s="98"/>
      <c r="B197" s="99"/>
      <c r="C197" s="122"/>
      <c r="D197" s="116"/>
      <c r="E197" s="120"/>
    </row>
    <row r="198" spans="1:5">
      <c r="A198" s="95"/>
      <c r="B198" s="94"/>
      <c r="C198" s="120"/>
      <c r="D198" s="121"/>
      <c r="E198" s="120"/>
    </row>
    <row r="199" spans="1:5">
      <c r="A199" s="959">
        <v>13</v>
      </c>
      <c r="B199" s="103" t="s">
        <v>187</v>
      </c>
      <c r="C199" s="120"/>
      <c r="D199" s="121"/>
      <c r="E199" s="120"/>
    </row>
    <row r="200" spans="1:5">
      <c r="A200" s="95">
        <v>1</v>
      </c>
      <c r="B200" s="94" t="s">
        <v>238</v>
      </c>
      <c r="C200" s="120">
        <f>SUM(D201:D203)</f>
        <v>41015.360000000001</v>
      </c>
      <c r="D200" s="121"/>
      <c r="E200" s="120"/>
    </row>
    <row r="201" spans="1:5">
      <c r="A201" s="132"/>
      <c r="B201" s="94" t="s">
        <v>198</v>
      </c>
      <c r="C201" s="120"/>
      <c r="D201" s="121">
        <f>+BAPUNAGAR1!C7</f>
        <v>20507.68</v>
      </c>
      <c r="E201" s="120"/>
    </row>
    <row r="202" spans="1:5">
      <c r="A202" s="132"/>
      <c r="B202" s="94" t="s">
        <v>199</v>
      </c>
      <c r="C202" s="120"/>
      <c r="D202" s="121">
        <f>+BAPUNAGAR1!C8</f>
        <v>20507.68</v>
      </c>
      <c r="E202" s="120"/>
    </row>
    <row r="203" spans="1:5">
      <c r="A203" s="132"/>
      <c r="B203" s="94" t="s">
        <v>269</v>
      </c>
      <c r="C203" s="120"/>
      <c r="D203" s="121">
        <f>+BAPUNAGAR1!C9</f>
        <v>0</v>
      </c>
      <c r="E203" s="120"/>
    </row>
    <row r="204" spans="1:5">
      <c r="A204" s="132"/>
      <c r="B204" s="94" t="s">
        <v>164</v>
      </c>
      <c r="C204" s="120"/>
      <c r="D204" s="121"/>
      <c r="E204" s="120"/>
    </row>
    <row r="205" spans="1:5" ht="16.5" thickBot="1">
      <c r="A205" s="865"/>
      <c r="B205" s="99" t="s">
        <v>936</v>
      </c>
      <c r="C205" s="122"/>
      <c r="D205" s="116"/>
      <c r="E205" s="120"/>
    </row>
    <row r="206" spans="1:5">
      <c r="A206" s="132"/>
      <c r="B206" s="94"/>
      <c r="C206" s="120"/>
      <c r="D206" s="121"/>
      <c r="E206" s="120"/>
    </row>
    <row r="207" spans="1:5">
      <c r="A207" s="95">
        <v>2</v>
      </c>
      <c r="B207" s="94" t="s">
        <v>200</v>
      </c>
      <c r="C207" s="120">
        <f>+BAPUNAGAR1!D17/2</f>
        <v>4021.875</v>
      </c>
      <c r="D207" s="121"/>
      <c r="E207" s="120"/>
    </row>
    <row r="208" spans="1:5">
      <c r="A208" s="95"/>
      <c r="B208" s="94" t="s">
        <v>201</v>
      </c>
      <c r="C208" s="120">
        <f>+BAPUNAGAR1!D18/2</f>
        <v>4021.875</v>
      </c>
      <c r="D208" s="121"/>
      <c r="E208" s="120"/>
    </row>
    <row r="209" spans="1:5">
      <c r="A209" s="95"/>
      <c r="B209" s="94" t="s">
        <v>230</v>
      </c>
      <c r="C209" s="120">
        <f>+BAPUNAGAR1!D19/2</f>
        <v>0</v>
      </c>
      <c r="D209" s="121"/>
      <c r="E209" s="120"/>
    </row>
    <row r="210" spans="1:5">
      <c r="A210" s="95"/>
      <c r="B210" s="94" t="s">
        <v>239</v>
      </c>
      <c r="C210" s="120"/>
      <c r="D210" s="121">
        <f>+BAPUNAGAR1!C15</f>
        <v>8043.75</v>
      </c>
      <c r="E210" s="120"/>
    </row>
    <row r="211" spans="1:5">
      <c r="A211" s="95"/>
      <c r="B211" s="94" t="s">
        <v>203</v>
      </c>
      <c r="C211" s="120"/>
      <c r="D211" s="121"/>
      <c r="E211" s="120"/>
    </row>
    <row r="212" spans="1:5">
      <c r="A212" s="95"/>
      <c r="B212" s="94" t="s">
        <v>936</v>
      </c>
      <c r="C212" s="120"/>
      <c r="D212" s="121"/>
      <c r="E212" s="120"/>
    </row>
    <row r="213" spans="1:5" ht="16.5" thickBot="1">
      <c r="A213" s="98"/>
      <c r="B213" s="99"/>
      <c r="C213" s="122"/>
      <c r="D213" s="116"/>
      <c r="E213" s="120"/>
    </row>
    <row r="214" spans="1:5">
      <c r="A214" s="95"/>
      <c r="B214" s="94"/>
      <c r="C214" s="120"/>
      <c r="D214" s="121"/>
      <c r="E214" s="120"/>
    </row>
    <row r="215" spans="1:5">
      <c r="A215" s="959">
        <v>14</v>
      </c>
      <c r="B215" s="103" t="s">
        <v>240</v>
      </c>
      <c r="C215" s="120"/>
      <c r="D215" s="121"/>
      <c r="E215" s="120"/>
    </row>
    <row r="216" spans="1:5">
      <c r="A216" s="95">
        <v>1</v>
      </c>
      <c r="B216" s="94" t="s">
        <v>241</v>
      </c>
      <c r="C216" s="120">
        <f>SUM(D217:D219)</f>
        <v>87672.78</v>
      </c>
      <c r="D216" s="121"/>
      <c r="E216" s="120"/>
    </row>
    <row r="217" spans="1:5">
      <c r="A217" s="132"/>
      <c r="B217" s="94" t="s">
        <v>198</v>
      </c>
      <c r="C217" s="120"/>
      <c r="D217" s="121">
        <f>+SURAT1!C7</f>
        <v>43836.39</v>
      </c>
      <c r="E217" s="120"/>
    </row>
    <row r="218" spans="1:5">
      <c r="A218" s="132"/>
      <c r="B218" s="94" t="s">
        <v>199</v>
      </c>
      <c r="C218" s="120"/>
      <c r="D218" s="121">
        <f>+SURAT1!C8</f>
        <v>43836.39</v>
      </c>
      <c r="E218" s="120"/>
    </row>
    <row r="219" spans="1:5">
      <c r="A219" s="132"/>
      <c r="B219" s="94" t="s">
        <v>269</v>
      </c>
      <c r="C219" s="120"/>
      <c r="D219" s="121">
        <f>+SURAT1!C9/2</f>
        <v>0</v>
      </c>
      <c r="E219" s="120"/>
    </row>
    <row r="220" spans="1:5">
      <c r="A220" s="132"/>
      <c r="B220" s="94" t="s">
        <v>164</v>
      </c>
      <c r="C220" s="120"/>
      <c r="D220" s="121"/>
      <c r="E220" s="120"/>
    </row>
    <row r="221" spans="1:5" ht="16.5" thickBot="1">
      <c r="A221" s="865"/>
      <c r="B221" s="99" t="s">
        <v>936</v>
      </c>
      <c r="C221" s="122"/>
      <c r="D221" s="116"/>
      <c r="E221" s="120"/>
    </row>
    <row r="222" spans="1:5">
      <c r="A222" s="132"/>
      <c r="B222" s="94"/>
      <c r="C222" s="120"/>
      <c r="D222" s="121"/>
      <c r="E222" s="120"/>
    </row>
    <row r="223" spans="1:5">
      <c r="A223" s="95">
        <v>2</v>
      </c>
      <c r="B223" s="94" t="s">
        <v>200</v>
      </c>
      <c r="C223" s="120">
        <f>+SURAT1!D17/2</f>
        <v>2482.0749999999998</v>
      </c>
      <c r="D223" s="121"/>
      <c r="E223" s="120"/>
    </row>
    <row r="224" spans="1:5">
      <c r="A224" s="95"/>
      <c r="B224" s="94" t="s">
        <v>201</v>
      </c>
      <c r="C224" s="120">
        <f>+C223</f>
        <v>2482.0749999999998</v>
      </c>
      <c r="D224" s="121"/>
      <c r="E224" s="120"/>
    </row>
    <row r="225" spans="1:5">
      <c r="A225" s="95"/>
      <c r="B225" s="94" t="s">
        <v>230</v>
      </c>
      <c r="C225" s="120">
        <f>+SURAT1!D19/2</f>
        <v>0</v>
      </c>
      <c r="D225" s="121"/>
      <c r="E225" s="120"/>
    </row>
    <row r="226" spans="1:5">
      <c r="A226" s="95"/>
      <c r="B226" s="94" t="s">
        <v>242</v>
      </c>
      <c r="C226" s="120"/>
      <c r="D226" s="121">
        <f>+SURAT1!C15</f>
        <v>4964.1499999999996</v>
      </c>
      <c r="E226" s="120"/>
    </row>
    <row r="227" spans="1:5">
      <c r="A227" s="95"/>
      <c r="B227" s="94" t="s">
        <v>203</v>
      </c>
      <c r="C227" s="120"/>
      <c r="D227" s="121"/>
      <c r="E227" s="120"/>
    </row>
    <row r="228" spans="1:5">
      <c r="A228" s="95"/>
      <c r="B228" s="94" t="s">
        <v>936</v>
      </c>
      <c r="C228" s="120"/>
      <c r="D228" s="121"/>
      <c r="E228" s="120"/>
    </row>
    <row r="229" spans="1:5" ht="16.5" thickBot="1">
      <c r="A229" s="98"/>
      <c r="B229" s="99"/>
      <c r="C229" s="122"/>
      <c r="D229" s="116"/>
      <c r="E229" s="120"/>
    </row>
    <row r="230" spans="1:5">
      <c r="A230" s="95"/>
      <c r="B230" s="94"/>
      <c r="C230" s="120"/>
      <c r="D230" s="121"/>
      <c r="E230" s="120"/>
    </row>
    <row r="231" spans="1:5">
      <c r="A231" s="959">
        <v>15</v>
      </c>
      <c r="B231" s="103" t="s">
        <v>243</v>
      </c>
      <c r="C231" s="120"/>
      <c r="D231" s="121"/>
      <c r="E231" s="120"/>
    </row>
    <row r="232" spans="1:5">
      <c r="A232" s="95">
        <v>1</v>
      </c>
      <c r="B232" s="94" t="s">
        <v>244</v>
      </c>
      <c r="C232" s="120">
        <f>SUM(D233:D235)</f>
        <v>9199.7800000000007</v>
      </c>
      <c r="D232" s="121"/>
      <c r="E232" s="120"/>
    </row>
    <row r="233" spans="1:5">
      <c r="A233" s="132"/>
      <c r="B233" s="94" t="s">
        <v>198</v>
      </c>
      <c r="C233" s="120"/>
      <c r="D233" s="121">
        <f>+CHANGODAR1!C7</f>
        <v>4599.8900000000003</v>
      </c>
      <c r="E233" s="120"/>
    </row>
    <row r="234" spans="1:5">
      <c r="A234" s="132"/>
      <c r="B234" s="94" t="s">
        <v>199</v>
      </c>
      <c r="C234" s="120"/>
      <c r="D234" s="121">
        <f>+CHANGODAR1!C8</f>
        <v>4599.8900000000003</v>
      </c>
      <c r="E234" s="120"/>
    </row>
    <row r="235" spans="1:5">
      <c r="A235" s="132"/>
      <c r="B235" s="94" t="s">
        <v>269</v>
      </c>
      <c r="C235" s="120"/>
      <c r="D235" s="121">
        <f>+CHANGODAR1!C9</f>
        <v>0</v>
      </c>
      <c r="E235" s="120"/>
    </row>
    <row r="236" spans="1:5">
      <c r="A236" s="132"/>
      <c r="B236" s="94" t="s">
        <v>164</v>
      </c>
      <c r="C236" s="120"/>
      <c r="D236" s="121"/>
      <c r="E236" s="120"/>
    </row>
    <row r="237" spans="1:5" ht="16.5" thickBot="1">
      <c r="A237" s="865"/>
      <c r="B237" s="99" t="s">
        <v>936</v>
      </c>
      <c r="C237" s="122"/>
      <c r="D237" s="116"/>
      <c r="E237" s="120"/>
    </row>
    <row r="238" spans="1:5">
      <c r="A238" s="864"/>
      <c r="B238" s="119"/>
      <c r="C238" s="125"/>
      <c r="D238" s="123"/>
      <c r="E238" s="120"/>
    </row>
    <row r="239" spans="1:5">
      <c r="A239" s="95">
        <v>2</v>
      </c>
      <c r="B239" s="94" t="s">
        <v>200</v>
      </c>
      <c r="C239" s="120">
        <f>+CHANGODAR1!D17/2</f>
        <v>1587.375</v>
      </c>
      <c r="D239" s="121"/>
      <c r="E239" s="1480"/>
    </row>
    <row r="240" spans="1:5">
      <c r="A240" s="95"/>
      <c r="B240" s="94" t="s">
        <v>201</v>
      </c>
      <c r="C240" s="120">
        <f>+C239</f>
        <v>1587.375</v>
      </c>
      <c r="D240" s="121"/>
      <c r="E240" s="1480"/>
    </row>
    <row r="241" spans="1:5">
      <c r="A241" s="95"/>
      <c r="B241" s="94" t="s">
        <v>230</v>
      </c>
      <c r="C241" s="120">
        <f>+CHANGODAR1!D19/2</f>
        <v>0</v>
      </c>
      <c r="D241" s="121"/>
      <c r="E241" s="1480"/>
    </row>
    <row r="242" spans="1:5">
      <c r="A242" s="95"/>
      <c r="B242" s="94" t="s">
        <v>245</v>
      </c>
      <c r="C242" s="120"/>
      <c r="D242" s="121">
        <f>+CHANGODAR1!C15</f>
        <v>3174.75</v>
      </c>
      <c r="E242" s="1480"/>
    </row>
    <row r="243" spans="1:5">
      <c r="A243" s="95"/>
      <c r="B243" s="94" t="s">
        <v>203</v>
      </c>
      <c r="C243" s="120"/>
      <c r="D243" s="121"/>
      <c r="E243" s="1480"/>
    </row>
    <row r="244" spans="1:5">
      <c r="A244" s="95"/>
      <c r="B244" s="94" t="s">
        <v>936</v>
      </c>
      <c r="C244" s="120"/>
      <c r="D244" s="121"/>
      <c r="E244" s="1480"/>
    </row>
    <row r="245" spans="1:5" ht="16.5" thickBot="1">
      <c r="A245" s="98"/>
      <c r="B245" s="99"/>
      <c r="C245" s="122"/>
      <c r="D245" s="116"/>
      <c r="E245" s="120"/>
    </row>
    <row r="246" spans="1:5">
      <c r="A246" s="124"/>
      <c r="B246" s="119"/>
      <c r="C246" s="125"/>
      <c r="D246" s="123"/>
      <c r="E246" s="120"/>
    </row>
    <row r="247" spans="1:5">
      <c r="A247" s="959">
        <v>16</v>
      </c>
      <c r="B247" s="103" t="s">
        <v>246</v>
      </c>
      <c r="C247" s="120"/>
      <c r="D247" s="121"/>
      <c r="E247" s="120"/>
    </row>
    <row r="248" spans="1:5">
      <c r="A248" s="95">
        <v>1</v>
      </c>
      <c r="B248" s="94" t="s">
        <v>247</v>
      </c>
      <c r="C248" s="120">
        <f>SUM(D249:D251)</f>
        <v>165130.64000000001</v>
      </c>
      <c r="D248" s="121"/>
      <c r="E248" s="120"/>
    </row>
    <row r="249" spans="1:5">
      <c r="A249" s="132"/>
      <c r="B249" s="94" t="s">
        <v>198</v>
      </c>
      <c r="C249" s="120"/>
      <c r="D249" s="121">
        <f>+LAWGARGEN1!C7</f>
        <v>82565.320000000007</v>
      </c>
      <c r="E249" s="120"/>
    </row>
    <row r="250" spans="1:5">
      <c r="A250" s="132"/>
      <c r="B250" s="94" t="s">
        <v>199</v>
      </c>
      <c r="C250" s="120"/>
      <c r="D250" s="121">
        <f>+LAWGARGEN1!C8</f>
        <v>82565.320000000007</v>
      </c>
      <c r="E250" s="120"/>
    </row>
    <row r="251" spans="1:5">
      <c r="A251" s="132"/>
      <c r="B251" s="94" t="s">
        <v>269</v>
      </c>
      <c r="C251" s="120"/>
      <c r="D251" s="121">
        <f>+LAWGARGEN1!C9</f>
        <v>0</v>
      </c>
      <c r="E251" s="120"/>
    </row>
    <row r="252" spans="1:5">
      <c r="A252" s="132"/>
      <c r="B252" s="94" t="s">
        <v>164</v>
      </c>
      <c r="C252" s="120"/>
      <c r="D252" s="121"/>
      <c r="E252" s="120"/>
    </row>
    <row r="253" spans="1:5" ht="16.5" thickBot="1">
      <c r="A253" s="865"/>
      <c r="B253" s="99" t="s">
        <v>936</v>
      </c>
      <c r="C253" s="122"/>
      <c r="D253" s="116"/>
      <c r="E253" s="120"/>
    </row>
    <row r="254" spans="1:5">
      <c r="A254" s="132"/>
      <c r="B254" s="94"/>
      <c r="C254" s="120"/>
      <c r="D254" s="121"/>
      <c r="E254" s="120"/>
    </row>
    <row r="255" spans="1:5">
      <c r="A255" s="95">
        <v>2</v>
      </c>
      <c r="B255" s="94" t="s">
        <v>200</v>
      </c>
      <c r="C255" s="120">
        <f>+LAWGARGEN1!D23/2</f>
        <v>1467.855</v>
      </c>
      <c r="D255" s="121"/>
      <c r="E255" s="120"/>
    </row>
    <row r="256" spans="1:5">
      <c r="A256" s="95"/>
      <c r="B256" s="94" t="s">
        <v>201</v>
      </c>
      <c r="C256" s="120">
        <f>+C255</f>
        <v>1467.855</v>
      </c>
      <c r="D256" s="121"/>
      <c r="E256" s="1480"/>
    </row>
    <row r="257" spans="1:5">
      <c r="A257" s="95"/>
      <c r="B257" s="94" t="s">
        <v>230</v>
      </c>
      <c r="C257" s="120">
        <f>+LAWGARGEN1!D25/2</f>
        <v>0</v>
      </c>
      <c r="D257" s="121"/>
      <c r="E257" s="1480"/>
    </row>
    <row r="258" spans="1:5">
      <c r="A258" s="95"/>
      <c r="B258" s="94" t="s">
        <v>248</v>
      </c>
      <c r="C258" s="120"/>
      <c r="D258" s="121">
        <f>+LAWGARGEN1!C21</f>
        <v>2935.71</v>
      </c>
      <c r="E258" s="1480"/>
    </row>
    <row r="259" spans="1:5">
      <c r="A259" s="95"/>
      <c r="B259" s="94" t="s">
        <v>203</v>
      </c>
      <c r="C259" s="120"/>
      <c r="D259" s="121"/>
      <c r="E259" s="1480"/>
    </row>
    <row r="260" spans="1:5">
      <c r="A260" s="95"/>
      <c r="B260" s="94" t="s">
        <v>936</v>
      </c>
      <c r="C260" s="120"/>
      <c r="D260" s="121"/>
      <c r="E260" s="1480"/>
    </row>
    <row r="261" spans="1:5" ht="16.5" thickBot="1">
      <c r="A261" s="98"/>
      <c r="B261" s="99"/>
      <c r="C261" s="122"/>
      <c r="D261" s="116"/>
      <c r="E261" s="1480"/>
    </row>
    <row r="262" spans="1:5">
      <c r="A262" s="95"/>
      <c r="B262" s="94"/>
      <c r="C262" s="120"/>
      <c r="D262" s="121"/>
      <c r="E262" s="120"/>
    </row>
    <row r="263" spans="1:5">
      <c r="A263" s="959">
        <v>17</v>
      </c>
      <c r="B263" s="103" t="s">
        <v>249</v>
      </c>
      <c r="C263" s="120"/>
      <c r="D263" s="121"/>
      <c r="E263" s="120"/>
    </row>
    <row r="264" spans="1:5">
      <c r="A264" s="95">
        <v>1</v>
      </c>
      <c r="B264" s="94" t="s">
        <v>250</v>
      </c>
      <c r="C264" s="120">
        <f>SUM(D265:D266)</f>
        <v>88007.82</v>
      </c>
      <c r="D264" s="121"/>
      <c r="E264" s="120"/>
    </row>
    <row r="265" spans="1:5">
      <c r="A265" s="132"/>
      <c r="B265" s="94" t="s">
        <v>198</v>
      </c>
      <c r="C265" s="120"/>
      <c r="D265" s="121">
        <f>+JODHPUR1!C7</f>
        <v>44003.91</v>
      </c>
      <c r="E265" s="120"/>
    </row>
    <row r="266" spans="1:5">
      <c r="A266" s="132"/>
      <c r="B266" s="94" t="s">
        <v>199</v>
      </c>
      <c r="C266" s="120"/>
      <c r="D266" s="121">
        <f>+JODHPUR1!C8</f>
        <v>44003.91</v>
      </c>
      <c r="E266" s="120"/>
    </row>
    <row r="267" spans="1:5">
      <c r="A267" s="132"/>
      <c r="B267" s="94" t="s">
        <v>269</v>
      </c>
      <c r="C267" s="120"/>
      <c r="D267" s="121">
        <f>+JODHPUR1!C9</f>
        <v>0</v>
      </c>
      <c r="E267" s="120"/>
    </row>
    <row r="268" spans="1:5">
      <c r="A268" s="132"/>
      <c r="B268" s="94" t="s">
        <v>164</v>
      </c>
      <c r="C268" s="120"/>
      <c r="D268" s="121"/>
      <c r="E268" s="120"/>
    </row>
    <row r="269" spans="1:5" ht="16.5" thickBot="1">
      <c r="A269" s="865"/>
      <c r="B269" s="99" t="s">
        <v>936</v>
      </c>
      <c r="C269" s="122"/>
      <c r="D269" s="116"/>
      <c r="E269" s="120"/>
    </row>
    <row r="270" spans="1:5">
      <c r="A270" s="132"/>
      <c r="B270" s="94"/>
      <c r="C270" s="120"/>
      <c r="D270" s="121"/>
      <c r="E270" s="1471"/>
    </row>
    <row r="271" spans="1:5">
      <c r="A271" s="95">
        <v>2</v>
      </c>
      <c r="B271" s="94" t="s">
        <v>200</v>
      </c>
      <c r="C271" s="120">
        <f>+(D274-C273)/2</f>
        <v>2085.3000000000002</v>
      </c>
      <c r="D271" s="121"/>
      <c r="E271" s="1471"/>
    </row>
    <row r="272" spans="1:5">
      <c r="A272" s="95"/>
      <c r="B272" s="94" t="s">
        <v>201</v>
      </c>
      <c r="C272" s="120">
        <f>+C271</f>
        <v>2085.3000000000002</v>
      </c>
      <c r="D272" s="121"/>
      <c r="E272" s="1471"/>
    </row>
    <row r="273" spans="1:5">
      <c r="A273" s="95"/>
      <c r="B273" s="94" t="s">
        <v>230</v>
      </c>
      <c r="C273" s="120">
        <f>+JODHPUR1!D26/2</f>
        <v>0</v>
      </c>
      <c r="D273" s="121"/>
      <c r="E273" s="1471"/>
    </row>
    <row r="274" spans="1:5">
      <c r="A274" s="95"/>
      <c r="B274" s="94" t="s">
        <v>251</v>
      </c>
      <c r="C274" s="120"/>
      <c r="D274" s="121">
        <f>+JODHPUR1!C22</f>
        <v>4170.6000000000004</v>
      </c>
      <c r="E274" s="1471"/>
    </row>
    <row r="275" spans="1:5">
      <c r="A275" s="95"/>
      <c r="B275" s="94" t="s">
        <v>203</v>
      </c>
      <c r="C275" s="120"/>
      <c r="D275" s="121"/>
      <c r="E275" s="1471"/>
    </row>
    <row r="276" spans="1:5">
      <c r="A276" s="95"/>
      <c r="B276" s="94" t="s">
        <v>936</v>
      </c>
      <c r="C276" s="120"/>
      <c r="D276" s="121"/>
      <c r="E276" s="1471"/>
    </row>
    <row r="277" spans="1:5" ht="16.5" thickBot="1">
      <c r="A277" s="98"/>
      <c r="B277" s="99"/>
      <c r="C277" s="122"/>
      <c r="D277" s="116"/>
      <c r="E277" s="1471"/>
    </row>
    <row r="278" spans="1:5">
      <c r="A278" s="95"/>
      <c r="B278" s="94"/>
      <c r="C278" s="120"/>
      <c r="D278" s="121"/>
      <c r="E278" s="120"/>
    </row>
    <row r="279" spans="1:5">
      <c r="A279" s="959">
        <v>18</v>
      </c>
      <c r="B279" s="103" t="s">
        <v>252</v>
      </c>
      <c r="C279" s="120"/>
      <c r="D279" s="121"/>
      <c r="E279" s="120"/>
    </row>
    <row r="280" spans="1:5">
      <c r="A280" s="95">
        <v>1</v>
      </c>
      <c r="B280" s="94" t="s">
        <v>253</v>
      </c>
      <c r="C280" s="120">
        <f>SUM(D281:D282)</f>
        <v>136827.46</v>
      </c>
      <c r="D280" s="121"/>
      <c r="E280" s="120"/>
    </row>
    <row r="281" spans="1:5">
      <c r="A281" s="132"/>
      <c r="B281" s="94" t="s">
        <v>198</v>
      </c>
      <c r="C281" s="120"/>
      <c r="D281" s="121">
        <f>+PANJRAPOLE1!C7</f>
        <v>68413.73</v>
      </c>
      <c r="E281" s="120"/>
    </row>
    <row r="282" spans="1:5">
      <c r="A282" s="132"/>
      <c r="B282" s="94" t="s">
        <v>199</v>
      </c>
      <c r="C282" s="120"/>
      <c r="D282" s="121">
        <f>+PANJRAPOLE1!C8</f>
        <v>68413.73</v>
      </c>
      <c r="E282" s="120"/>
    </row>
    <row r="283" spans="1:5">
      <c r="A283" s="132"/>
      <c r="B283" s="94" t="s">
        <v>269</v>
      </c>
      <c r="C283" s="120"/>
      <c r="D283" s="121">
        <f>+PANJRAPOLE1!C9</f>
        <v>0</v>
      </c>
      <c r="E283" s="120"/>
    </row>
    <row r="284" spans="1:5">
      <c r="A284" s="132"/>
      <c r="B284" s="94" t="s">
        <v>164</v>
      </c>
      <c r="C284" s="120"/>
      <c r="D284" s="121"/>
      <c r="E284" s="120"/>
    </row>
    <row r="285" spans="1:5" ht="16.5" thickBot="1">
      <c r="A285" s="865"/>
      <c r="B285" s="99" t="s">
        <v>936</v>
      </c>
      <c r="C285" s="122"/>
      <c r="D285" s="116"/>
      <c r="E285" s="120"/>
    </row>
    <row r="286" spans="1:5">
      <c r="A286" s="132"/>
      <c r="B286" s="94"/>
      <c r="C286" s="120"/>
      <c r="D286" s="121"/>
      <c r="E286" s="120"/>
    </row>
    <row r="287" spans="1:5">
      <c r="A287" s="95">
        <v>2</v>
      </c>
      <c r="B287" s="94" t="s">
        <v>200</v>
      </c>
      <c r="C287" s="120">
        <f>+PANJRAPOLE1!D17/2</f>
        <v>13218.04</v>
      </c>
      <c r="D287" s="121"/>
      <c r="E287" s="120"/>
    </row>
    <row r="288" spans="1:5">
      <c r="A288" s="95"/>
      <c r="B288" s="94" t="s">
        <v>201</v>
      </c>
      <c r="C288" s="120">
        <f>+C287</f>
        <v>13218.04</v>
      </c>
      <c r="D288" s="121"/>
      <c r="E288" s="120"/>
    </row>
    <row r="289" spans="1:6">
      <c r="A289" s="95"/>
      <c r="B289" s="94" t="s">
        <v>230</v>
      </c>
      <c r="C289" s="120">
        <f>+PANJRAPOLE1!D19/2</f>
        <v>0</v>
      </c>
      <c r="D289" s="121"/>
      <c r="E289" s="120"/>
    </row>
    <row r="290" spans="1:6">
      <c r="A290" s="95"/>
      <c r="B290" s="94" t="s">
        <v>254</v>
      </c>
      <c r="C290" s="120"/>
      <c r="D290" s="121">
        <f>+PANJRAPOLE1!C15</f>
        <v>26436.080000000002</v>
      </c>
      <c r="E290" s="120"/>
    </row>
    <row r="291" spans="1:6">
      <c r="A291" s="95"/>
      <c r="B291" s="94" t="s">
        <v>203</v>
      </c>
      <c r="C291" s="120"/>
      <c r="D291" s="121"/>
      <c r="E291" s="120"/>
    </row>
    <row r="292" spans="1:6">
      <c r="A292" s="95"/>
      <c r="B292" s="94" t="s">
        <v>936</v>
      </c>
      <c r="C292" s="120"/>
      <c r="D292" s="121"/>
      <c r="E292" s="120"/>
    </row>
    <row r="293" spans="1:6" ht="16.5" thickBot="1">
      <c r="A293" s="98"/>
      <c r="B293" s="99"/>
      <c r="C293" s="122"/>
      <c r="D293" s="116"/>
      <c r="E293" s="120"/>
    </row>
    <row r="294" spans="1:6">
      <c r="A294" s="95"/>
      <c r="B294" s="94"/>
      <c r="C294" s="120"/>
      <c r="D294" s="121"/>
      <c r="E294" s="120"/>
    </row>
    <row r="295" spans="1:6">
      <c r="A295" s="959">
        <v>19</v>
      </c>
      <c r="B295" s="103" t="s">
        <v>255</v>
      </c>
      <c r="C295" s="120"/>
      <c r="D295" s="121"/>
      <c r="E295" s="120"/>
    </row>
    <row r="296" spans="1:6">
      <c r="A296" s="95">
        <v>1</v>
      </c>
      <c r="B296" s="94" t="s">
        <v>256</v>
      </c>
      <c r="C296" s="120">
        <f>SUM(D297:D298)</f>
        <v>64805.9</v>
      </c>
      <c r="D296" s="121"/>
      <c r="E296" s="120"/>
    </row>
    <row r="297" spans="1:6">
      <c r="A297" s="132"/>
      <c r="B297" s="94" t="s">
        <v>198</v>
      </c>
      <c r="C297" s="120"/>
      <c r="D297" s="121">
        <f>+NARANPURA1!C7</f>
        <v>32402.95</v>
      </c>
      <c r="E297" s="120"/>
    </row>
    <row r="298" spans="1:6">
      <c r="A298" s="132"/>
      <c r="B298" s="94" t="s">
        <v>199</v>
      </c>
      <c r="C298" s="120"/>
      <c r="D298" s="121">
        <f>+NARANPURA1!C8</f>
        <v>32402.95</v>
      </c>
      <c r="E298" s="120"/>
    </row>
    <row r="299" spans="1:6">
      <c r="A299" s="132"/>
      <c r="B299" s="94" t="s">
        <v>269</v>
      </c>
      <c r="C299" s="120"/>
      <c r="D299" s="121">
        <f>+NARANPURA1!C9</f>
        <v>0</v>
      </c>
      <c r="E299" s="120"/>
    </row>
    <row r="300" spans="1:6">
      <c r="A300" s="132"/>
      <c r="B300" s="94" t="s">
        <v>164</v>
      </c>
      <c r="C300" s="120"/>
      <c r="D300" s="121"/>
      <c r="E300" s="120"/>
    </row>
    <row r="301" spans="1:6" ht="16.5" thickBot="1">
      <c r="A301" s="865"/>
      <c r="B301" s="99" t="s">
        <v>936</v>
      </c>
      <c r="C301" s="122"/>
      <c r="D301" s="116"/>
      <c r="E301" s="120"/>
    </row>
    <row r="302" spans="1:6">
      <c r="A302" s="864"/>
      <c r="B302" s="119"/>
      <c r="C302" s="125"/>
      <c r="D302" s="123"/>
      <c r="E302" s="1475"/>
      <c r="F302" s="1475"/>
    </row>
    <row r="303" spans="1:6">
      <c r="A303" s="95">
        <v>2</v>
      </c>
      <c r="B303" s="94" t="s">
        <v>200</v>
      </c>
      <c r="C303" s="120">
        <f>+NARANPURA1!D18/2</f>
        <v>802.98</v>
      </c>
      <c r="D303" s="121"/>
      <c r="E303" s="1475"/>
      <c r="F303" s="1475"/>
    </row>
    <row r="304" spans="1:6">
      <c r="A304" s="95"/>
      <c r="B304" s="94" t="s">
        <v>201</v>
      </c>
      <c r="C304" s="120">
        <f>+C303</f>
        <v>802.98</v>
      </c>
      <c r="D304" s="121"/>
      <c r="E304" s="1475"/>
      <c r="F304" s="1475"/>
    </row>
    <row r="305" spans="1:6">
      <c r="A305" s="95"/>
      <c r="B305" s="94" t="s">
        <v>230</v>
      </c>
      <c r="C305" s="120">
        <f>+NARANPURA1!D20/2</f>
        <v>0</v>
      </c>
      <c r="D305" s="121"/>
      <c r="E305" s="1475"/>
      <c r="F305" s="1475"/>
    </row>
    <row r="306" spans="1:6">
      <c r="A306" s="95"/>
      <c r="B306" s="94" t="s">
        <v>257</v>
      </c>
      <c r="C306" s="120"/>
      <c r="D306" s="121">
        <f>+NARANPURA1!C16</f>
        <v>1605.96</v>
      </c>
      <c r="E306" s="1475"/>
      <c r="F306" s="1475"/>
    </row>
    <row r="307" spans="1:6">
      <c r="A307" s="95"/>
      <c r="B307" s="94" t="s">
        <v>203</v>
      </c>
      <c r="C307" s="120"/>
      <c r="D307" s="121"/>
      <c r="E307" s="1475"/>
      <c r="F307" s="1475"/>
    </row>
    <row r="308" spans="1:6">
      <c r="A308" s="95"/>
      <c r="B308" s="94" t="s">
        <v>936</v>
      </c>
      <c r="C308" s="120"/>
      <c r="D308" s="121"/>
      <c r="E308" s="1475"/>
      <c r="F308" s="1475"/>
    </row>
    <row r="309" spans="1:6" ht="16.5" thickBot="1">
      <c r="A309" s="98"/>
      <c r="B309" s="99"/>
      <c r="C309" s="122"/>
      <c r="D309" s="116"/>
      <c r="E309" s="1475"/>
      <c r="F309" s="1475"/>
    </row>
    <row r="310" spans="1:6">
      <c r="A310" s="95"/>
      <c r="B310" s="94"/>
      <c r="C310" s="120"/>
      <c r="D310" s="121"/>
      <c r="E310" s="120"/>
    </row>
    <row r="311" spans="1:6">
      <c r="A311" s="959">
        <v>20</v>
      </c>
      <c r="B311" s="103" t="s">
        <v>258</v>
      </c>
      <c r="C311" s="120"/>
      <c r="D311" s="121"/>
      <c r="E311" s="120"/>
    </row>
    <row r="312" spans="1:6">
      <c r="A312" s="95">
        <v>1</v>
      </c>
      <c r="B312" s="94" t="s">
        <v>259</v>
      </c>
      <c r="C312" s="120">
        <f>SUM(D313:D315)</f>
        <v>37782.960000000399</v>
      </c>
      <c r="D312" s="121"/>
      <c r="E312" s="120"/>
    </row>
    <row r="313" spans="1:6">
      <c r="A313" s="132"/>
      <c r="B313" s="94" t="s">
        <v>198</v>
      </c>
      <c r="C313" s="120"/>
      <c r="D313" s="121">
        <f>+RAKHIAL1!C7</f>
        <v>18891.4800000002</v>
      </c>
      <c r="E313" s="120"/>
    </row>
    <row r="314" spans="1:6">
      <c r="A314" s="132"/>
      <c r="B314" s="94" t="s">
        <v>199</v>
      </c>
      <c r="C314" s="120"/>
      <c r="D314" s="121">
        <f>+RAKHIAL1!C8</f>
        <v>18891.4800000002</v>
      </c>
      <c r="E314" s="120"/>
    </row>
    <row r="315" spans="1:6">
      <c r="A315" s="132"/>
      <c r="B315" s="94" t="s">
        <v>269</v>
      </c>
      <c r="C315" s="120"/>
      <c r="D315" s="121">
        <f>+RAKHIAL1!C9</f>
        <v>0</v>
      </c>
      <c r="E315" s="120"/>
    </row>
    <row r="316" spans="1:6">
      <c r="A316" s="132"/>
      <c r="B316" s="94" t="s">
        <v>164</v>
      </c>
      <c r="C316" s="120"/>
      <c r="D316" s="121"/>
      <c r="E316" s="120"/>
    </row>
    <row r="317" spans="1:6" ht="16.5" thickBot="1">
      <c r="A317" s="865"/>
      <c r="B317" s="99" t="s">
        <v>936</v>
      </c>
      <c r="C317" s="122"/>
      <c r="D317" s="116"/>
      <c r="E317" s="120"/>
    </row>
    <row r="318" spans="1:6">
      <c r="A318" s="864"/>
      <c r="B318" s="119"/>
      <c r="C318" s="125"/>
      <c r="D318" s="123"/>
      <c r="E318" s="120"/>
    </row>
    <row r="319" spans="1:6">
      <c r="A319" s="95">
        <v>2</v>
      </c>
      <c r="B319" s="94" t="s">
        <v>200</v>
      </c>
      <c r="C319" s="120">
        <f>+(D322-C321)/2</f>
        <v>787.5</v>
      </c>
      <c r="D319" s="121"/>
      <c r="E319" s="120"/>
    </row>
    <row r="320" spans="1:6">
      <c r="A320" s="95"/>
      <c r="B320" s="94" t="s">
        <v>201</v>
      </c>
      <c r="C320" s="120">
        <f>+C319</f>
        <v>787.5</v>
      </c>
      <c r="D320" s="121"/>
      <c r="E320" s="120"/>
    </row>
    <row r="321" spans="1:5">
      <c r="A321" s="95"/>
      <c r="B321" s="94" t="s">
        <v>230</v>
      </c>
      <c r="C321" s="120">
        <f>+RAKHIAL1!D19/2</f>
        <v>0</v>
      </c>
      <c r="D321" s="121"/>
      <c r="E321" s="120"/>
    </row>
    <row r="322" spans="1:5">
      <c r="A322" s="95"/>
      <c r="B322" s="94" t="s">
        <v>260</v>
      </c>
      <c r="C322" s="120"/>
      <c r="D322" s="121">
        <f>+RAKHIAL1!C15</f>
        <v>1575</v>
      </c>
      <c r="E322" s="120"/>
    </row>
    <row r="323" spans="1:5">
      <c r="A323" s="95"/>
      <c r="B323" s="94" t="s">
        <v>203</v>
      </c>
      <c r="C323" s="120"/>
      <c r="D323" s="121"/>
      <c r="E323" s="120"/>
    </row>
    <row r="324" spans="1:5">
      <c r="A324" s="95"/>
      <c r="B324" s="94" t="s">
        <v>936</v>
      </c>
      <c r="C324" s="120"/>
      <c r="D324" s="121"/>
      <c r="E324" s="120"/>
    </row>
    <row r="325" spans="1:5" ht="16.5" thickBot="1">
      <c r="A325" s="98"/>
      <c r="B325" s="99"/>
      <c r="C325" s="122"/>
      <c r="D325" s="116"/>
      <c r="E325" s="120"/>
    </row>
    <row r="326" spans="1:5">
      <c r="A326" s="124"/>
      <c r="B326" s="119"/>
      <c r="C326" s="125"/>
      <c r="D326" s="123"/>
      <c r="E326" s="120"/>
    </row>
    <row r="327" spans="1:5">
      <c r="A327" s="959">
        <v>21</v>
      </c>
      <c r="B327" s="103" t="s">
        <v>261</v>
      </c>
      <c r="C327" s="120"/>
      <c r="D327" s="121"/>
      <c r="E327" s="120"/>
    </row>
    <row r="328" spans="1:5">
      <c r="A328" s="95">
        <v>1</v>
      </c>
      <c r="B328" s="94" t="s">
        <v>262</v>
      </c>
      <c r="C328" s="120">
        <f>SUM(D329:D330)</f>
        <v>79104.34</v>
      </c>
      <c r="D328" s="121"/>
      <c r="E328" s="120"/>
    </row>
    <row r="329" spans="1:5">
      <c r="A329" s="132"/>
      <c r="B329" s="94" t="s">
        <v>198</v>
      </c>
      <c r="C329" s="120"/>
      <c r="D329" s="121">
        <f>+ISANPUR1!C7</f>
        <v>39552.17</v>
      </c>
      <c r="E329" s="120"/>
    </row>
    <row r="330" spans="1:5">
      <c r="A330" s="132"/>
      <c r="B330" s="94" t="s">
        <v>199</v>
      </c>
      <c r="C330" s="120"/>
      <c r="D330" s="121">
        <f>+ISANPUR1!C8</f>
        <v>39552.17</v>
      </c>
      <c r="E330" s="120"/>
    </row>
    <row r="331" spans="1:5">
      <c r="A331" s="132"/>
      <c r="B331" s="94" t="s">
        <v>269</v>
      </c>
      <c r="C331" s="120"/>
      <c r="D331" s="121">
        <f>+ISANPUR1!C9</f>
        <v>0</v>
      </c>
      <c r="E331" s="120"/>
    </row>
    <row r="332" spans="1:5">
      <c r="A332" s="132"/>
      <c r="B332" s="94" t="s">
        <v>164</v>
      </c>
      <c r="C332" s="120"/>
      <c r="D332" s="121"/>
      <c r="E332" s="120"/>
    </row>
    <row r="333" spans="1:5" ht="16.5" thickBot="1">
      <c r="A333" s="865"/>
      <c r="B333" s="99" t="s">
        <v>936</v>
      </c>
      <c r="C333" s="122"/>
      <c r="D333" s="116"/>
      <c r="E333" s="120"/>
    </row>
    <row r="334" spans="1:5">
      <c r="A334" s="132"/>
      <c r="B334" s="94"/>
      <c r="C334" s="120"/>
      <c r="D334" s="121"/>
      <c r="E334" s="120"/>
    </row>
    <row r="335" spans="1:5">
      <c r="A335" s="95">
        <v>2</v>
      </c>
      <c r="B335" s="94" t="s">
        <v>200</v>
      </c>
      <c r="C335" s="120">
        <f>+ISANPUR1!D17/2</f>
        <v>1143.8399999999999</v>
      </c>
      <c r="D335" s="121"/>
      <c r="E335" s="120"/>
    </row>
    <row r="336" spans="1:5">
      <c r="A336" s="95"/>
      <c r="B336" s="94" t="s">
        <v>201</v>
      </c>
      <c r="C336" s="120">
        <f>+C335</f>
        <v>1143.8399999999999</v>
      </c>
      <c r="D336" s="121"/>
      <c r="E336" s="120"/>
    </row>
    <row r="337" spans="1:5">
      <c r="A337" s="95"/>
      <c r="B337" s="94" t="s">
        <v>230</v>
      </c>
      <c r="C337" s="120">
        <f>+ISANPUR1!D19/2</f>
        <v>0</v>
      </c>
      <c r="D337" s="121"/>
      <c r="E337" s="120"/>
    </row>
    <row r="338" spans="1:5">
      <c r="A338" s="95"/>
      <c r="B338" s="94" t="s">
        <v>263</v>
      </c>
      <c r="C338" s="120"/>
      <c r="D338" s="121">
        <f>+ISANPUR1!C15</f>
        <v>2287.6799999999998</v>
      </c>
      <c r="E338" s="120"/>
    </row>
    <row r="339" spans="1:5">
      <c r="A339" s="95"/>
      <c r="B339" s="94" t="s">
        <v>203</v>
      </c>
      <c r="C339" s="120"/>
      <c r="D339" s="121"/>
      <c r="E339" s="120"/>
    </row>
    <row r="340" spans="1:5">
      <c r="A340" s="95"/>
      <c r="B340" s="94" t="s">
        <v>936</v>
      </c>
      <c r="C340" s="120"/>
      <c r="D340" s="121"/>
      <c r="E340" s="120"/>
    </row>
    <row r="341" spans="1:5" ht="16.5" thickBot="1">
      <c r="A341" s="98"/>
      <c r="B341" s="99"/>
      <c r="C341" s="122"/>
      <c r="D341" s="116"/>
      <c r="E341" s="120"/>
    </row>
    <row r="342" spans="1:5">
      <c r="A342" s="95"/>
      <c r="B342" s="94"/>
      <c r="C342" s="120"/>
      <c r="D342" s="121"/>
      <c r="E342" s="120"/>
    </row>
    <row r="343" spans="1:5">
      <c r="A343" s="959">
        <v>22</v>
      </c>
      <c r="B343" s="103" t="s">
        <v>264</v>
      </c>
      <c r="C343" s="120"/>
      <c r="D343" s="121"/>
      <c r="E343" s="120"/>
    </row>
    <row r="344" spans="1:5">
      <c r="A344" s="95">
        <v>1</v>
      </c>
      <c r="B344" s="94" t="s">
        <v>265</v>
      </c>
      <c r="C344" s="120">
        <f>SUM(D345:D346)</f>
        <v>75837.62</v>
      </c>
      <c r="D344" s="121"/>
      <c r="E344" s="120"/>
    </row>
    <row r="345" spans="1:5">
      <c r="A345" s="132"/>
      <c r="B345" s="94" t="s">
        <v>198</v>
      </c>
      <c r="C345" s="120"/>
      <c r="D345" s="121">
        <f>+MANINAGAR1!C7</f>
        <v>37918.81</v>
      </c>
      <c r="E345" s="120"/>
    </row>
    <row r="346" spans="1:5">
      <c r="A346" s="132"/>
      <c r="B346" s="94" t="s">
        <v>199</v>
      </c>
      <c r="C346" s="120"/>
      <c r="D346" s="121">
        <f>+MANINAGAR1!C8</f>
        <v>37918.81</v>
      </c>
      <c r="E346" s="120"/>
    </row>
    <row r="347" spans="1:5">
      <c r="A347" s="132"/>
      <c r="B347" s="94" t="s">
        <v>269</v>
      </c>
      <c r="C347" s="120"/>
      <c r="D347" s="121">
        <f>+MANINAGAR1!C9</f>
        <v>0</v>
      </c>
      <c r="E347" s="120"/>
    </row>
    <row r="348" spans="1:5">
      <c r="A348" s="132"/>
      <c r="B348" s="94" t="s">
        <v>164</v>
      </c>
      <c r="C348" s="120"/>
      <c r="D348" s="121"/>
      <c r="E348" s="120"/>
    </row>
    <row r="349" spans="1:5" ht="16.5" thickBot="1">
      <c r="A349" s="865"/>
      <c r="B349" s="99" t="s">
        <v>936</v>
      </c>
      <c r="C349" s="122"/>
      <c r="D349" s="116"/>
      <c r="E349" s="120"/>
    </row>
    <row r="350" spans="1:5">
      <c r="A350" s="132"/>
      <c r="B350" s="94"/>
      <c r="C350" s="120"/>
      <c r="D350" s="121"/>
      <c r="E350" s="120"/>
    </row>
    <row r="351" spans="1:5">
      <c r="A351" s="95">
        <v>2</v>
      </c>
      <c r="B351" s="94" t="s">
        <v>200</v>
      </c>
      <c r="C351" s="120">
        <f>+MANINAGAR1!D17/2</f>
        <v>2920.5</v>
      </c>
      <c r="D351" s="121"/>
      <c r="E351" s="120"/>
    </row>
    <row r="352" spans="1:5">
      <c r="A352" s="95"/>
      <c r="B352" s="94" t="s">
        <v>201</v>
      </c>
      <c r="C352" s="120">
        <f>+C351</f>
        <v>2920.5</v>
      </c>
      <c r="D352" s="121"/>
      <c r="E352" s="120"/>
    </row>
    <row r="353" spans="1:5">
      <c r="A353" s="95"/>
      <c r="B353" s="94" t="s">
        <v>230</v>
      </c>
      <c r="C353" s="120">
        <f>+MANINAGAR1!D19/2</f>
        <v>0</v>
      </c>
      <c r="D353" s="121"/>
      <c r="E353" s="120"/>
    </row>
    <row r="354" spans="1:5">
      <c r="A354" s="95"/>
      <c r="B354" s="94" t="s">
        <v>266</v>
      </c>
      <c r="C354" s="120"/>
      <c r="D354" s="121">
        <f>+MANINAGAR1!C15</f>
        <v>5841</v>
      </c>
      <c r="E354" s="120"/>
    </row>
    <row r="355" spans="1:5">
      <c r="A355" s="95"/>
      <c r="B355" s="94" t="s">
        <v>203</v>
      </c>
      <c r="C355" s="120"/>
      <c r="D355" s="121"/>
      <c r="E355" s="120"/>
    </row>
    <row r="356" spans="1:5">
      <c r="A356" s="95"/>
      <c r="B356" s="94" t="s">
        <v>936</v>
      </c>
      <c r="C356" s="120"/>
      <c r="D356" s="121"/>
      <c r="E356" s="120"/>
    </row>
    <row r="357" spans="1:5" ht="16.5" thickBot="1">
      <c r="A357" s="98"/>
      <c r="B357" s="99"/>
      <c r="C357" s="122"/>
      <c r="D357" s="116"/>
      <c r="E357" s="120"/>
    </row>
    <row r="358" spans="1:5">
      <c r="A358" s="95"/>
      <c r="B358" s="94"/>
      <c r="C358" s="120"/>
      <c r="D358" s="121"/>
      <c r="E358" s="120"/>
    </row>
    <row r="359" spans="1:5">
      <c r="A359" s="959">
        <v>23</v>
      </c>
      <c r="B359" s="103" t="s">
        <v>815</v>
      </c>
      <c r="C359" s="120"/>
      <c r="D359" s="121"/>
      <c r="E359" s="120"/>
    </row>
    <row r="360" spans="1:5">
      <c r="A360" s="95">
        <v>1</v>
      </c>
      <c r="B360" s="94" t="s">
        <v>816</v>
      </c>
      <c r="C360" s="120">
        <f>SUM(D361:D362)</f>
        <v>11664.6</v>
      </c>
      <c r="D360" s="121"/>
      <c r="E360" s="120"/>
    </row>
    <row r="361" spans="1:5">
      <c r="A361" s="132"/>
      <c r="B361" s="94" t="s">
        <v>198</v>
      </c>
      <c r="C361" s="120"/>
      <c r="D361" s="121">
        <f>+CHANDKHEDA1!C7</f>
        <v>5832.3</v>
      </c>
      <c r="E361" s="120"/>
    </row>
    <row r="362" spans="1:5">
      <c r="A362" s="132"/>
      <c r="B362" s="94" t="s">
        <v>199</v>
      </c>
      <c r="C362" s="120"/>
      <c r="D362" s="121">
        <f>+CHANDKHEDA1!C8</f>
        <v>5832.3</v>
      </c>
      <c r="E362" s="120"/>
    </row>
    <row r="363" spans="1:5">
      <c r="A363" s="132"/>
      <c r="B363" s="94" t="s">
        <v>269</v>
      </c>
      <c r="C363" s="120"/>
      <c r="D363" s="121">
        <f>+MANINAGAR1!C37</f>
        <v>0</v>
      </c>
      <c r="E363" s="120"/>
    </row>
    <row r="364" spans="1:5">
      <c r="A364" s="132"/>
      <c r="B364" s="94" t="s">
        <v>164</v>
      </c>
      <c r="C364" s="120"/>
      <c r="D364" s="121"/>
      <c r="E364" s="120"/>
    </row>
    <row r="365" spans="1:5" ht="16.5" thickBot="1">
      <c r="A365" s="865"/>
      <c r="B365" s="99" t="s">
        <v>936</v>
      </c>
      <c r="C365" s="122"/>
      <c r="D365" s="116"/>
      <c r="E365" s="120"/>
    </row>
    <row r="366" spans="1:5">
      <c r="A366" s="132"/>
      <c r="B366" s="94"/>
      <c r="C366" s="120"/>
      <c r="D366" s="121"/>
      <c r="E366" s="120"/>
    </row>
    <row r="367" spans="1:5">
      <c r="A367" s="95">
        <v>2</v>
      </c>
      <c r="B367" s="94" t="s">
        <v>200</v>
      </c>
      <c r="C367" s="120">
        <f>+CHANDKHEDA1!D17/2</f>
        <v>44723.25</v>
      </c>
      <c r="D367" s="121"/>
      <c r="E367" s="120"/>
    </row>
    <row r="368" spans="1:5">
      <c r="A368" s="95"/>
      <c r="B368" s="94" t="s">
        <v>201</v>
      </c>
      <c r="C368" s="120">
        <f>+C367</f>
        <v>44723.25</v>
      </c>
      <c r="D368" s="121"/>
      <c r="E368" s="120"/>
    </row>
    <row r="369" spans="1:5">
      <c r="A369" s="95"/>
      <c r="B369" s="94" t="s">
        <v>230</v>
      </c>
      <c r="C369" s="120">
        <f>+CHANDKHEDA1!D19/2</f>
        <v>0</v>
      </c>
      <c r="D369" s="121"/>
      <c r="E369" s="120"/>
    </row>
    <row r="370" spans="1:5">
      <c r="A370" s="95"/>
      <c r="B370" s="94" t="s">
        <v>817</v>
      </c>
      <c r="C370" s="120"/>
      <c r="D370" s="121">
        <f>+CHANDKHEDA1!C15</f>
        <v>89446.5</v>
      </c>
      <c r="E370" s="120"/>
    </row>
    <row r="371" spans="1:5">
      <c r="A371" s="95"/>
      <c r="B371" s="94" t="s">
        <v>203</v>
      </c>
      <c r="C371" s="120"/>
      <c r="D371" s="121"/>
      <c r="E371" s="120"/>
    </row>
    <row r="372" spans="1:5">
      <c r="A372" s="95"/>
      <c r="B372" s="94" t="s">
        <v>936</v>
      </c>
      <c r="C372" s="120"/>
      <c r="D372" s="121"/>
      <c r="E372" s="120"/>
    </row>
    <row r="373" spans="1:5" ht="16.5" thickBot="1">
      <c r="A373" s="98"/>
      <c r="B373" s="99"/>
      <c r="C373" s="122"/>
      <c r="D373" s="116"/>
      <c r="E373" s="120"/>
    </row>
    <row r="374" spans="1:5">
      <c r="A374" s="95"/>
      <c r="B374" s="94"/>
      <c r="C374" s="120"/>
      <c r="D374" s="121"/>
      <c r="E374" s="120"/>
    </row>
    <row r="375" spans="1:5">
      <c r="A375" s="959">
        <v>24</v>
      </c>
      <c r="B375" s="103" t="s">
        <v>814</v>
      </c>
      <c r="C375" s="120"/>
      <c r="D375" s="121"/>
      <c r="E375" s="120"/>
    </row>
    <row r="376" spans="1:5">
      <c r="A376" s="95">
        <v>1</v>
      </c>
      <c r="B376" s="94" t="s">
        <v>818</v>
      </c>
      <c r="C376" s="120">
        <f>SUM(D377:D378)</f>
        <v>5619.12</v>
      </c>
      <c r="D376" s="121"/>
      <c r="E376" s="120"/>
    </row>
    <row r="377" spans="1:5">
      <c r="A377" s="132"/>
      <c r="B377" s="94" t="s">
        <v>198</v>
      </c>
      <c r="C377" s="120"/>
      <c r="D377" s="121">
        <f>+VASTRAL1!C7</f>
        <v>2809.56</v>
      </c>
      <c r="E377" s="120"/>
    </row>
    <row r="378" spans="1:5">
      <c r="A378" s="132"/>
      <c r="B378" s="94" t="s">
        <v>199</v>
      </c>
      <c r="C378" s="120"/>
      <c r="D378" s="121">
        <f>+VASTRAL1!C8</f>
        <v>2809.56</v>
      </c>
      <c r="E378" s="120"/>
    </row>
    <row r="379" spans="1:5">
      <c r="A379" s="132"/>
      <c r="B379" s="94" t="s">
        <v>269</v>
      </c>
      <c r="C379" s="120"/>
      <c r="D379" s="121">
        <f>+VASTRAL1!C9</f>
        <v>0</v>
      </c>
      <c r="E379" s="120"/>
    </row>
    <row r="380" spans="1:5">
      <c r="A380" s="132"/>
      <c r="B380" s="94" t="s">
        <v>164</v>
      </c>
      <c r="C380" s="120"/>
      <c r="D380" s="121"/>
      <c r="E380" s="120"/>
    </row>
    <row r="381" spans="1:5" ht="16.5" thickBot="1">
      <c r="A381" s="865"/>
      <c r="B381" s="99" t="s">
        <v>936</v>
      </c>
      <c r="C381" s="122"/>
      <c r="D381" s="116"/>
      <c r="E381" s="120"/>
    </row>
    <row r="382" spans="1:5">
      <c r="A382" s="132"/>
      <c r="B382" s="94"/>
      <c r="C382" s="120"/>
      <c r="D382" s="121"/>
      <c r="E382" s="120"/>
    </row>
    <row r="383" spans="1:5">
      <c r="A383" s="95">
        <v>2</v>
      </c>
      <c r="B383" s="94" t="s">
        <v>200</v>
      </c>
      <c r="C383" s="120">
        <f>+VASTRAL1!D17/2</f>
        <v>2882</v>
      </c>
      <c r="D383" s="121"/>
      <c r="E383" s="120"/>
    </row>
    <row r="384" spans="1:5">
      <c r="A384" s="95"/>
      <c r="B384" s="94" t="s">
        <v>201</v>
      </c>
      <c r="C384" s="120">
        <f>+C383</f>
        <v>2882</v>
      </c>
      <c r="D384" s="121"/>
      <c r="E384" s="120"/>
    </row>
    <row r="385" spans="1:6">
      <c r="A385" s="95"/>
      <c r="B385" s="94" t="s">
        <v>230</v>
      </c>
      <c r="C385" s="120">
        <f>+VASTRAL1!D19/2</f>
        <v>0</v>
      </c>
      <c r="D385" s="121"/>
      <c r="E385" s="120"/>
    </row>
    <row r="386" spans="1:6">
      <c r="A386" s="95"/>
      <c r="B386" s="94" t="s">
        <v>819</v>
      </c>
      <c r="C386" s="120"/>
      <c r="D386" s="121">
        <f>+VASTRAL1!C15</f>
        <v>5764</v>
      </c>
      <c r="E386" s="120"/>
    </row>
    <row r="387" spans="1:6">
      <c r="A387" s="95"/>
      <c r="B387" s="94" t="s">
        <v>203</v>
      </c>
      <c r="C387" s="120"/>
      <c r="D387" s="121"/>
      <c r="E387" s="120"/>
    </row>
    <row r="388" spans="1:6">
      <c r="A388" s="95"/>
      <c r="B388" s="94" t="s">
        <v>936</v>
      </c>
      <c r="C388" s="120"/>
      <c r="D388" s="121"/>
      <c r="E388" s="120"/>
    </row>
    <row r="389" spans="1:6" ht="16.5" thickBot="1">
      <c r="A389" s="98"/>
      <c r="B389" s="99"/>
      <c r="C389" s="122"/>
      <c r="D389" s="116"/>
      <c r="E389" s="120"/>
    </row>
    <row r="390" spans="1:6">
      <c r="A390" s="95"/>
      <c r="B390" s="94"/>
      <c r="C390" s="120"/>
      <c r="D390" s="121"/>
      <c r="E390" s="780"/>
      <c r="F390" s="780"/>
    </row>
    <row r="391" spans="1:6">
      <c r="A391" s="959">
        <v>25</v>
      </c>
      <c r="B391" s="103" t="s">
        <v>267</v>
      </c>
      <c r="C391" s="120"/>
      <c r="D391" s="121"/>
      <c r="E391" s="780"/>
      <c r="F391" s="780"/>
    </row>
    <row r="392" spans="1:6">
      <c r="A392" s="95">
        <v>1</v>
      </c>
      <c r="B392" s="94" t="s">
        <v>268</v>
      </c>
      <c r="C392" s="120">
        <f>SUM(D393:D395)</f>
        <v>28504.170000000002</v>
      </c>
      <c r="D392" s="121"/>
      <c r="E392" s="780"/>
      <c r="F392" s="780"/>
    </row>
    <row r="393" spans="1:6">
      <c r="A393" s="132"/>
      <c r="B393" s="94" t="s">
        <v>198</v>
      </c>
      <c r="C393" s="120"/>
      <c r="D393" s="121">
        <f>+DEMAT1!C7-DEMAT1!C15</f>
        <v>12781.02</v>
      </c>
      <c r="E393" s="780"/>
      <c r="F393" s="780"/>
    </row>
    <row r="394" spans="1:6">
      <c r="A394" s="132"/>
      <c r="B394" s="94" t="s">
        <v>199</v>
      </c>
      <c r="C394" s="120"/>
      <c r="D394" s="121">
        <f>+DEMAT1!C8-DEMAT1!C16</f>
        <v>12781.02</v>
      </c>
      <c r="E394" s="780"/>
      <c r="F394" s="780"/>
    </row>
    <row r="395" spans="1:6">
      <c r="A395" s="132"/>
      <c r="B395" s="94" t="s">
        <v>269</v>
      </c>
      <c r="C395" s="120"/>
      <c r="D395" s="121">
        <f>+DEMAT1!C9+DEMAT1!D17</f>
        <v>2942.13</v>
      </c>
      <c r="E395" s="780"/>
      <c r="F395" s="780"/>
    </row>
    <row r="396" spans="1:6">
      <c r="A396" s="132"/>
      <c r="B396" s="94" t="s">
        <v>164</v>
      </c>
      <c r="C396" s="120"/>
      <c r="D396" s="121"/>
      <c r="E396" s="780"/>
      <c r="F396" s="780"/>
    </row>
    <row r="397" spans="1:6">
      <c r="A397" s="132"/>
      <c r="B397" s="94" t="s">
        <v>936</v>
      </c>
      <c r="C397" s="120"/>
      <c r="D397" s="121"/>
      <c r="E397" s="780"/>
      <c r="F397" s="780"/>
    </row>
    <row r="398" spans="1:6" ht="16.5" thickBot="1">
      <c r="A398" s="865"/>
      <c r="B398" s="99"/>
      <c r="C398" s="122"/>
      <c r="D398" s="116"/>
      <c r="E398" s="780"/>
      <c r="F398" s="780"/>
    </row>
    <row r="399" spans="1:6">
      <c r="A399" s="864"/>
      <c r="B399" s="119"/>
      <c r="C399" s="125"/>
      <c r="D399" s="123"/>
      <c r="E399" s="120"/>
    </row>
    <row r="400" spans="1:6">
      <c r="A400" s="95">
        <v>2</v>
      </c>
      <c r="B400" s="94" t="s">
        <v>200</v>
      </c>
      <c r="C400" s="120">
        <f>+DEMAT1!D33/2</f>
        <v>18.45</v>
      </c>
      <c r="D400" s="121"/>
      <c r="E400" s="120"/>
    </row>
    <row r="401" spans="1:7">
      <c r="A401" s="95"/>
      <c r="B401" s="94" t="s">
        <v>201</v>
      </c>
      <c r="C401" s="120">
        <f>+C400</f>
        <v>18.45</v>
      </c>
      <c r="D401" s="121"/>
      <c r="E401" s="120"/>
    </row>
    <row r="402" spans="1:7">
      <c r="A402" s="95"/>
      <c r="B402" s="94" t="s">
        <v>230</v>
      </c>
      <c r="C402" s="121">
        <f>+DEMAT1!D35/2</f>
        <v>1089.925</v>
      </c>
      <c r="D402" s="121"/>
      <c r="E402" s="120"/>
    </row>
    <row r="403" spans="1:7">
      <c r="A403" s="95"/>
      <c r="B403" s="94" t="s">
        <v>270</v>
      </c>
      <c r="C403" s="120"/>
      <c r="D403" s="121">
        <f>+DEMAT1!C31</f>
        <v>1126.825</v>
      </c>
      <c r="E403" s="120"/>
    </row>
    <row r="404" spans="1:7">
      <c r="A404" s="95"/>
      <c r="B404" s="94" t="s">
        <v>203</v>
      </c>
      <c r="C404" s="120"/>
      <c r="D404" s="121"/>
      <c r="E404" s="120"/>
    </row>
    <row r="405" spans="1:7">
      <c r="A405" s="95"/>
      <c r="B405" s="94" t="s">
        <v>936</v>
      </c>
      <c r="C405" s="120"/>
      <c r="D405" s="121"/>
    </row>
    <row r="406" spans="1:7" ht="16.5" thickBot="1">
      <c r="A406" s="98"/>
      <c r="B406" s="99"/>
      <c r="C406" s="122"/>
      <c r="D406" s="116"/>
    </row>
    <row r="407" spans="1:7">
      <c r="A407" s="124"/>
      <c r="B407" s="119"/>
      <c r="C407" s="125"/>
      <c r="D407" s="123"/>
      <c r="E407" s="120"/>
    </row>
    <row r="408" spans="1:7">
      <c r="A408" s="959">
        <v>26</v>
      </c>
      <c r="B408" s="103" t="s">
        <v>271</v>
      </c>
      <c r="D408" s="1153"/>
    </row>
    <row r="409" spans="1:7">
      <c r="A409" s="959"/>
      <c r="B409" s="103"/>
      <c r="D409" s="1153"/>
    </row>
    <row r="410" spans="1:7">
      <c r="A410" s="132">
        <v>1</v>
      </c>
      <c r="B410" s="94" t="s">
        <v>161</v>
      </c>
      <c r="C410" s="429"/>
      <c r="D410" s="1153"/>
    </row>
    <row r="411" spans="1:7">
      <c r="A411" s="959"/>
      <c r="B411" s="94" t="s">
        <v>162</v>
      </c>
      <c r="D411" s="1167"/>
    </row>
    <row r="412" spans="1:7">
      <c r="A412" s="959"/>
      <c r="B412" s="646" t="s">
        <v>631</v>
      </c>
      <c r="D412" s="1167"/>
    </row>
    <row r="413" spans="1:7">
      <c r="A413" s="959"/>
      <c r="B413" s="94" t="s">
        <v>632</v>
      </c>
      <c r="D413" s="1167"/>
    </row>
    <row r="414" spans="1:7">
      <c r="A414" s="959"/>
      <c r="B414" s="94" t="s">
        <v>633</v>
      </c>
      <c r="D414" s="1153"/>
    </row>
    <row r="415" spans="1:7" ht="16.5" thickBot="1">
      <c r="A415" s="959"/>
      <c r="B415" s="94"/>
      <c r="D415" s="1153"/>
    </row>
    <row r="416" spans="1:7">
      <c r="A416" s="961"/>
      <c r="B416" s="464"/>
      <c r="C416" s="465"/>
      <c r="D416" s="1148"/>
      <c r="G416" s="104"/>
    </row>
    <row r="417" spans="1:6">
      <c r="A417" s="132">
        <v>2</v>
      </c>
      <c r="B417" s="94" t="s">
        <v>161</v>
      </c>
      <c r="C417" s="429">
        <v>0</v>
      </c>
      <c r="D417" s="1153"/>
      <c r="E417" s="496"/>
    </row>
    <row r="418" spans="1:6">
      <c r="A418" s="132"/>
      <c r="B418" s="94" t="s">
        <v>162</v>
      </c>
      <c r="C418" s="429">
        <v>0</v>
      </c>
      <c r="D418" s="1153"/>
      <c r="E418" s="496"/>
    </row>
    <row r="419" spans="1:6">
      <c r="A419" s="132"/>
      <c r="B419" s="94" t="s">
        <v>195</v>
      </c>
      <c r="C419" s="429">
        <v>0</v>
      </c>
      <c r="D419" s="1153"/>
      <c r="E419" s="496"/>
    </row>
    <row r="420" spans="1:6">
      <c r="A420" s="132"/>
      <c r="B420" s="94" t="s">
        <v>167</v>
      </c>
      <c r="C420" s="429"/>
      <c r="D420" s="1167">
        <v>0</v>
      </c>
      <c r="E420" s="496"/>
    </row>
    <row r="421" spans="1:6">
      <c r="A421" s="132"/>
      <c r="B421" s="94" t="s">
        <v>168</v>
      </c>
      <c r="C421" s="429"/>
      <c r="D421" s="1167">
        <v>0</v>
      </c>
      <c r="E421" s="496"/>
    </row>
    <row r="422" spans="1:6">
      <c r="A422" s="959"/>
      <c r="B422" s="94" t="s">
        <v>178</v>
      </c>
      <c r="D422" s="1167">
        <v>0</v>
      </c>
      <c r="E422" s="496"/>
    </row>
    <row r="423" spans="1:6">
      <c r="A423" s="959"/>
      <c r="B423" s="94" t="s">
        <v>582</v>
      </c>
      <c r="D423" s="1153"/>
    </row>
    <row r="424" spans="1:6">
      <c r="A424" s="959"/>
      <c r="B424" s="94" t="s">
        <v>583</v>
      </c>
      <c r="D424" s="1153"/>
    </row>
    <row r="425" spans="1:6" ht="16.5" thickBot="1">
      <c r="A425" s="960"/>
      <c r="B425" s="424"/>
      <c r="C425" s="425"/>
      <c r="D425" s="1141"/>
    </row>
    <row r="426" spans="1:6">
      <c r="A426" s="961"/>
      <c r="B426" s="464"/>
      <c r="C426" s="465"/>
      <c r="D426" s="1148"/>
      <c r="E426" s="496"/>
    </row>
    <row r="427" spans="1:6">
      <c r="A427" s="95">
        <f>+A417+1</f>
        <v>3</v>
      </c>
      <c r="B427" s="94" t="s">
        <v>161</v>
      </c>
      <c r="C427" s="120">
        <f>+HO!D60</f>
        <v>5178.95</v>
      </c>
      <c r="D427" s="121"/>
      <c r="E427" s="496"/>
      <c r="F427" s="104"/>
    </row>
    <row r="428" spans="1:6">
      <c r="A428" s="95"/>
      <c r="B428" s="94" t="s">
        <v>162</v>
      </c>
      <c r="C428" s="120">
        <f>+HO!E60</f>
        <v>5178.95</v>
      </c>
      <c r="D428" s="121"/>
      <c r="E428" s="496"/>
    </row>
    <row r="429" spans="1:6">
      <c r="A429" s="95"/>
      <c r="B429" s="94" t="s">
        <v>195</v>
      </c>
      <c r="C429" s="120">
        <f>HO!F60-C419</f>
        <v>22063.9</v>
      </c>
      <c r="D429" s="121"/>
      <c r="E429" s="496"/>
    </row>
    <row r="430" spans="1:6">
      <c r="A430" s="95"/>
      <c r="B430" s="94" t="s">
        <v>198</v>
      </c>
      <c r="C430" s="120"/>
      <c r="D430" s="121">
        <f>+C427</f>
        <v>5178.95</v>
      </c>
      <c r="E430" s="496"/>
    </row>
    <row r="431" spans="1:6">
      <c r="A431" s="95"/>
      <c r="B431" s="94" t="s">
        <v>199</v>
      </c>
      <c r="C431" s="120"/>
      <c r="D431" s="121">
        <f>+C428</f>
        <v>5178.95</v>
      </c>
      <c r="E431" s="496"/>
    </row>
    <row r="432" spans="1:6">
      <c r="A432" s="95"/>
      <c r="B432" s="94" t="s">
        <v>269</v>
      </c>
      <c r="C432" s="120"/>
      <c r="D432" s="121">
        <f>+C429</f>
        <v>22063.9</v>
      </c>
    </row>
    <row r="433" spans="1:5">
      <c r="A433" s="95"/>
      <c r="B433" s="94" t="s">
        <v>164</v>
      </c>
      <c r="C433" s="120"/>
      <c r="D433" s="121"/>
    </row>
    <row r="434" spans="1:5">
      <c r="A434" s="95"/>
      <c r="B434" s="94" t="s">
        <v>936</v>
      </c>
      <c r="C434" s="120"/>
      <c r="D434" s="121"/>
    </row>
    <row r="435" spans="1:5" ht="16.5" thickBot="1">
      <c r="A435" s="98"/>
      <c r="B435" s="99"/>
      <c r="C435" s="122"/>
      <c r="D435" s="116"/>
    </row>
    <row r="436" spans="1:5">
      <c r="A436" s="95"/>
      <c r="B436" s="94"/>
      <c r="C436" s="120"/>
      <c r="D436" s="121"/>
    </row>
    <row r="437" spans="1:5">
      <c r="A437" s="95">
        <f>+A427+1</f>
        <v>4</v>
      </c>
      <c r="B437" s="94" t="s">
        <v>161</v>
      </c>
      <c r="C437" s="120">
        <v>0</v>
      </c>
      <c r="D437" s="121"/>
    </row>
    <row r="438" spans="1:5">
      <c r="A438" s="95"/>
      <c r="B438" s="94" t="s">
        <v>166</v>
      </c>
      <c r="C438" s="120">
        <f>+D439</f>
        <v>0</v>
      </c>
      <c r="D438" s="121"/>
    </row>
    <row r="439" spans="1:5">
      <c r="A439" s="95"/>
      <c r="B439" s="94" t="s">
        <v>797</v>
      </c>
      <c r="C439" s="120"/>
      <c r="D439" s="121">
        <v>0</v>
      </c>
    </row>
    <row r="440" spans="1:5">
      <c r="A440" s="95"/>
      <c r="B440" s="94" t="s">
        <v>798</v>
      </c>
      <c r="C440" s="120"/>
      <c r="D440" s="121">
        <v>0</v>
      </c>
    </row>
    <row r="441" spans="1:5">
      <c r="A441" s="95"/>
      <c r="B441" s="94" t="s">
        <v>540</v>
      </c>
      <c r="C441" s="120"/>
      <c r="D441" s="121"/>
    </row>
    <row r="442" spans="1:5" ht="16.5" thickBot="1">
      <c r="A442" s="95"/>
      <c r="B442" s="94" t="s">
        <v>541</v>
      </c>
      <c r="C442" s="120"/>
      <c r="D442" s="121"/>
    </row>
    <row r="443" spans="1:5">
      <c r="A443" s="124"/>
      <c r="B443" s="119"/>
      <c r="C443" s="125"/>
      <c r="D443" s="123"/>
    </row>
    <row r="444" spans="1:5">
      <c r="A444" s="95">
        <f>+A437+1</f>
        <v>5</v>
      </c>
      <c r="B444" s="94" t="s">
        <v>569</v>
      </c>
      <c r="C444" s="120">
        <f>+D445+D446</f>
        <v>0</v>
      </c>
      <c r="D444" s="121"/>
    </row>
    <row r="445" spans="1:5">
      <c r="A445" s="95"/>
      <c r="B445" s="94" t="s">
        <v>198</v>
      </c>
      <c r="C445" s="120"/>
      <c r="D445" s="121">
        <v>0</v>
      </c>
      <c r="E445" s="496"/>
    </row>
    <row r="446" spans="1:5">
      <c r="A446" s="95"/>
      <c r="B446" s="94" t="s">
        <v>199</v>
      </c>
      <c r="C446" s="120"/>
      <c r="D446" s="121">
        <f>+D445</f>
        <v>0</v>
      </c>
      <c r="E446" s="496"/>
    </row>
    <row r="447" spans="1:5">
      <c r="A447" s="95"/>
      <c r="B447" s="94" t="s">
        <v>570</v>
      </c>
      <c r="C447" s="120"/>
      <c r="D447" s="121"/>
    </row>
    <row r="448" spans="1:5" ht="16.5" thickBot="1">
      <c r="A448" s="95"/>
      <c r="B448" s="94" t="s">
        <v>571</v>
      </c>
      <c r="C448" s="120"/>
      <c r="D448" s="121"/>
    </row>
    <row r="449" spans="1:16" ht="11.25" customHeight="1">
      <c r="A449" s="124"/>
      <c r="B449" s="119"/>
      <c r="C449" s="125"/>
      <c r="D449" s="123"/>
    </row>
    <row r="450" spans="1:16">
      <c r="A450" s="95">
        <f>+A444+1</f>
        <v>6</v>
      </c>
      <c r="B450" s="94" t="s">
        <v>200</v>
      </c>
      <c r="C450" s="120">
        <f>+D454/2</f>
        <v>47673.885000000002</v>
      </c>
      <c r="D450" s="121"/>
      <c r="E450" s="104"/>
    </row>
    <row r="451" spans="1:16">
      <c r="A451" s="95"/>
      <c r="B451" s="94" t="s">
        <v>201</v>
      </c>
      <c r="C451" s="120">
        <f>+D455/2</f>
        <v>47673.885000000002</v>
      </c>
      <c r="D451" s="121"/>
      <c r="E451" s="120"/>
    </row>
    <row r="452" spans="1:16" ht="15.75" customHeight="1">
      <c r="A452" s="95"/>
      <c r="B452" s="94" t="s">
        <v>230</v>
      </c>
      <c r="C452" s="120">
        <f>+D456/2</f>
        <v>319566.91499999998</v>
      </c>
      <c r="D452" s="121"/>
      <c r="E452" s="1482"/>
      <c r="F452" s="1483"/>
      <c r="G452" s="894"/>
    </row>
    <row r="453" spans="1:16" ht="15.75" customHeight="1">
      <c r="A453" s="95"/>
      <c r="B453" s="94" t="s">
        <v>166</v>
      </c>
      <c r="C453" s="120">
        <f>SUM(D454:D456)/2</f>
        <v>414914.685</v>
      </c>
      <c r="D453" s="121"/>
      <c r="E453" s="1482"/>
      <c r="F453" s="1483"/>
      <c r="G453" s="894"/>
    </row>
    <row r="454" spans="1:16" ht="15.75" customHeight="1">
      <c r="A454" s="132"/>
      <c r="B454" s="94" t="s">
        <v>167</v>
      </c>
      <c r="C454" s="120"/>
      <c r="D454" s="121">
        <f>+HO!D69</f>
        <v>95347.77</v>
      </c>
      <c r="E454" s="1482"/>
      <c r="F454" s="1483"/>
      <c r="G454" s="894"/>
    </row>
    <row r="455" spans="1:16" ht="16.5" customHeight="1">
      <c r="A455" s="132"/>
      <c r="B455" s="94" t="s">
        <v>168</v>
      </c>
      <c r="C455" s="120"/>
      <c r="D455" s="121">
        <f>+HO!E69</f>
        <v>95347.77</v>
      </c>
      <c r="E455" s="1482"/>
      <c r="F455" s="1483"/>
      <c r="G455" s="894"/>
    </row>
    <row r="456" spans="1:16" ht="15.75" customHeight="1">
      <c r="A456" s="132"/>
      <c r="B456" s="94" t="s">
        <v>178</v>
      </c>
      <c r="C456" s="120"/>
      <c r="D456" s="121">
        <f>+HO!F69</f>
        <v>639133.82999999996</v>
      </c>
      <c r="E456" s="1482"/>
      <c r="F456" s="1483"/>
      <c r="G456" s="894"/>
    </row>
    <row r="457" spans="1:16">
      <c r="A457" s="132"/>
      <c r="B457" s="94" t="s">
        <v>169</v>
      </c>
      <c r="C457" s="120"/>
      <c r="D457" s="121"/>
      <c r="E457" s="120"/>
      <c r="P457" s="104">
        <f>+N563-O563</f>
        <v>-75082.252277660155</v>
      </c>
    </row>
    <row r="458" spans="1:16" ht="16.5" thickBot="1">
      <c r="A458" s="132"/>
      <c r="B458" s="94" t="s">
        <v>272</v>
      </c>
      <c r="C458" s="120"/>
      <c r="D458" s="121"/>
      <c r="E458" s="120"/>
      <c r="P458" s="104">
        <f>+N564-O564</f>
        <v>-75082.252277660155</v>
      </c>
    </row>
    <row r="459" spans="1:16">
      <c r="A459" s="864"/>
      <c r="B459" s="119"/>
      <c r="C459" s="125"/>
      <c r="D459" s="123"/>
      <c r="E459" s="120"/>
      <c r="P459" s="104"/>
    </row>
    <row r="460" spans="1:16" ht="15.75" customHeight="1">
      <c r="A460" s="95">
        <f>+A450+1</f>
        <v>7</v>
      </c>
      <c r="B460" s="94" t="s">
        <v>712</v>
      </c>
      <c r="C460" s="120">
        <f>+D463</f>
        <v>0</v>
      </c>
      <c r="D460" s="121"/>
      <c r="E460" s="789"/>
      <c r="F460" s="789"/>
      <c r="P460" s="104"/>
    </row>
    <row r="461" spans="1:16">
      <c r="A461" s="132"/>
      <c r="B461" s="94" t="s">
        <v>704</v>
      </c>
      <c r="C461" s="120">
        <f>+D464</f>
        <v>0</v>
      </c>
      <c r="D461" s="121"/>
      <c r="E461" s="780" t="s">
        <v>779</v>
      </c>
      <c r="F461" s="789"/>
      <c r="P461" s="104"/>
    </row>
    <row r="462" spans="1:16">
      <c r="A462" s="132"/>
      <c r="B462" s="94" t="s">
        <v>711</v>
      </c>
      <c r="C462" s="120">
        <f>+D465</f>
        <v>0</v>
      </c>
      <c r="D462" s="121"/>
      <c r="E462" s="780"/>
      <c r="F462" s="789"/>
      <c r="P462" s="104"/>
    </row>
    <row r="463" spans="1:16">
      <c r="A463" s="132"/>
      <c r="B463" s="94" t="s">
        <v>700</v>
      </c>
      <c r="C463" s="120"/>
      <c r="D463" s="121">
        <f>+HO!D68</f>
        <v>0</v>
      </c>
      <c r="E463" s="789"/>
      <c r="F463" s="789"/>
      <c r="P463" s="104"/>
    </row>
    <row r="464" spans="1:16">
      <c r="A464" s="132"/>
      <c r="B464" s="94" t="s">
        <v>701</v>
      </c>
      <c r="C464" s="120"/>
      <c r="D464" s="121">
        <f>+HO!E68</f>
        <v>0</v>
      </c>
      <c r="E464" s="789"/>
      <c r="F464" s="789"/>
      <c r="P464" s="104"/>
    </row>
    <row r="465" spans="1:16">
      <c r="A465" s="132"/>
      <c r="B465" s="94" t="s">
        <v>702</v>
      </c>
      <c r="C465" s="120"/>
      <c r="D465" s="121">
        <f>+HO!F68</f>
        <v>0</v>
      </c>
      <c r="E465" s="789"/>
      <c r="F465" s="789"/>
      <c r="P465" s="104"/>
    </row>
    <row r="466" spans="1:16">
      <c r="A466" s="132"/>
      <c r="B466" s="94" t="s">
        <v>696</v>
      </c>
      <c r="C466" s="120"/>
      <c r="D466" s="121"/>
      <c r="E466" s="789"/>
      <c r="F466" s="789"/>
      <c r="P466" s="104"/>
    </row>
    <row r="467" spans="1:16" ht="16.5" thickBot="1">
      <c r="A467" s="865"/>
      <c r="B467" s="99"/>
      <c r="C467" s="122"/>
      <c r="D467" s="116"/>
      <c r="E467" s="120"/>
      <c r="F467" s="683"/>
      <c r="P467" s="104"/>
    </row>
    <row r="468" spans="1:16">
      <c r="A468" s="132"/>
      <c r="B468" s="94"/>
      <c r="C468" s="120"/>
      <c r="D468" s="121"/>
      <c r="E468" s="120"/>
      <c r="F468" s="683"/>
      <c r="P468" s="104"/>
    </row>
    <row r="469" spans="1:16">
      <c r="A469" s="132">
        <f>+A460+1</f>
        <v>8</v>
      </c>
      <c r="B469" s="785" t="s">
        <v>712</v>
      </c>
      <c r="C469" s="786">
        <f>+D472</f>
        <v>0</v>
      </c>
      <c r="D469" s="787"/>
      <c r="E469" s="120"/>
      <c r="F469" s="683"/>
      <c r="P469" s="104"/>
    </row>
    <row r="470" spans="1:16">
      <c r="A470" s="132"/>
      <c r="B470" s="785" t="s">
        <v>704</v>
      </c>
      <c r="C470" s="786">
        <f>+D473</f>
        <v>0</v>
      </c>
      <c r="D470" s="787"/>
      <c r="E470" s="120"/>
      <c r="F470" s="683"/>
      <c r="P470" s="104"/>
    </row>
    <row r="471" spans="1:16">
      <c r="A471" s="132"/>
      <c r="B471" s="785" t="s">
        <v>711</v>
      </c>
      <c r="C471" s="786"/>
      <c r="D471" s="787"/>
      <c r="E471" s="120"/>
      <c r="F471" s="683"/>
      <c r="P471" s="104"/>
    </row>
    <row r="472" spans="1:16">
      <c r="A472" s="132"/>
      <c r="B472" s="785" t="s">
        <v>750</v>
      </c>
      <c r="C472" s="786"/>
      <c r="D472" s="787">
        <v>0</v>
      </c>
      <c r="E472" s="120" t="s">
        <v>779</v>
      </c>
      <c r="F472" s="683"/>
      <c r="P472" s="104"/>
    </row>
    <row r="473" spans="1:16">
      <c r="A473" s="132"/>
      <c r="B473" s="785" t="s">
        <v>751</v>
      </c>
      <c r="C473" s="786"/>
      <c r="D473" s="787">
        <v>0</v>
      </c>
      <c r="E473" s="120"/>
      <c r="F473" s="683"/>
      <c r="P473" s="104"/>
    </row>
    <row r="474" spans="1:16">
      <c r="A474" s="132"/>
      <c r="B474" s="785" t="s">
        <v>752</v>
      </c>
      <c r="C474" s="786"/>
      <c r="D474" s="787"/>
      <c r="E474" s="120"/>
      <c r="F474" s="683"/>
      <c r="P474" s="104"/>
    </row>
    <row r="475" spans="1:16">
      <c r="A475" s="132"/>
      <c r="B475" s="94" t="s">
        <v>696</v>
      </c>
      <c r="C475" s="786"/>
      <c r="D475" s="787"/>
      <c r="E475" s="120"/>
      <c r="F475" s="683"/>
      <c r="P475" s="104"/>
    </row>
    <row r="476" spans="1:16" ht="16.5" thickBot="1">
      <c r="A476" s="132"/>
      <c r="B476" s="785"/>
      <c r="C476" s="786"/>
      <c r="D476" s="787"/>
      <c r="E476" s="120"/>
      <c r="F476" s="683"/>
      <c r="P476" s="104"/>
    </row>
    <row r="477" spans="1:16">
      <c r="A477" s="124"/>
      <c r="B477" s="119"/>
      <c r="C477" s="123"/>
      <c r="D477" s="123"/>
      <c r="E477" s="120"/>
      <c r="P477" s="104"/>
    </row>
    <row r="478" spans="1:16">
      <c r="A478" s="95">
        <f>+A469+1</f>
        <v>9</v>
      </c>
      <c r="B478" s="94" t="s">
        <v>713</v>
      </c>
      <c r="C478" s="121">
        <f>+SUM(D479:D481)</f>
        <v>-442574.87089753535</v>
      </c>
      <c r="D478" s="121"/>
      <c r="E478" s="120"/>
      <c r="P478" s="104"/>
    </row>
    <row r="479" spans="1:16">
      <c r="A479" s="95"/>
      <c r="B479" s="557" t="s">
        <v>705</v>
      </c>
      <c r="C479" s="121"/>
      <c r="D479" s="121">
        <f>+D463-'SUMMARY SHEET GST'!D62</f>
        <v>-60365.184555320186</v>
      </c>
      <c r="E479" s="120" t="s">
        <v>779</v>
      </c>
      <c r="P479" s="104"/>
    </row>
    <row r="480" spans="1:16">
      <c r="A480" s="95"/>
      <c r="B480" s="557" t="s">
        <v>706</v>
      </c>
      <c r="C480" s="121"/>
      <c r="D480" s="121">
        <f>+D464-'SUMMARY SHEET GST'!E62+C470</f>
        <v>-60365.184555320186</v>
      </c>
      <c r="E480" s="120"/>
      <c r="P480" s="104"/>
    </row>
    <row r="481" spans="1:16">
      <c r="A481" s="95"/>
      <c r="B481" s="557" t="s">
        <v>707</v>
      </c>
      <c r="C481" s="121"/>
      <c r="D481" s="121">
        <f>+D465-'SUMMARY SHEET GST'!F62+C471</f>
        <v>-321844.50178689498</v>
      </c>
      <c r="E481" s="120"/>
      <c r="P481" s="104"/>
    </row>
    <row r="482" spans="1:16">
      <c r="A482" s="95"/>
      <c r="B482" s="94" t="s">
        <v>714</v>
      </c>
      <c r="C482" s="121"/>
      <c r="D482" s="121">
        <v>0</v>
      </c>
      <c r="E482" s="120"/>
      <c r="P482" s="104"/>
    </row>
    <row r="483" spans="1:16" ht="16.5" thickBot="1">
      <c r="A483" s="98"/>
      <c r="B483" s="99" t="s">
        <v>715</v>
      </c>
      <c r="C483" s="116"/>
      <c r="D483" s="116"/>
      <c r="E483" s="120"/>
      <c r="P483" s="104"/>
    </row>
    <row r="484" spans="1:16">
      <c r="A484" s="124"/>
      <c r="B484" s="119"/>
      <c r="C484" s="123"/>
      <c r="D484" s="123"/>
      <c r="E484" s="120"/>
      <c r="P484" s="104"/>
    </row>
    <row r="485" spans="1:16">
      <c r="A485" s="95">
        <f>+A478+1</f>
        <v>10</v>
      </c>
      <c r="B485" s="94" t="s">
        <v>166</v>
      </c>
      <c r="C485" s="121">
        <f>+SUM(D486:D488)</f>
        <v>221287.43544876768</v>
      </c>
      <c r="D485" s="121"/>
      <c r="E485" s="120" t="s">
        <v>779</v>
      </c>
      <c r="P485" s="104"/>
    </row>
    <row r="486" spans="1:16">
      <c r="A486" s="95"/>
      <c r="B486" s="557" t="s">
        <v>705</v>
      </c>
      <c r="C486" s="121"/>
      <c r="D486" s="121">
        <f>+(D463-D479+C469)/2</f>
        <v>30182.592277660093</v>
      </c>
      <c r="E486" s="120"/>
      <c r="P486" s="104"/>
    </row>
    <row r="487" spans="1:16">
      <c r="A487" s="95"/>
      <c r="B487" s="557" t="s">
        <v>708</v>
      </c>
      <c r="C487" s="121"/>
      <c r="D487" s="121">
        <f>+(D464-D480+C470)/2</f>
        <v>30182.592277660093</v>
      </c>
      <c r="E487" s="120"/>
      <c r="P487" s="104"/>
    </row>
    <row r="488" spans="1:16">
      <c r="A488" s="95"/>
      <c r="B488" s="557" t="s">
        <v>709</v>
      </c>
      <c r="C488" s="121"/>
      <c r="D488" s="121">
        <f>+(D465-D481+C471)/2</f>
        <v>160922.25089344749</v>
      </c>
      <c r="E488" s="120"/>
      <c r="P488" s="104"/>
    </row>
    <row r="489" spans="1:16" ht="15" customHeight="1">
      <c r="A489" s="95"/>
      <c r="B489" s="94" t="s">
        <v>710</v>
      </c>
      <c r="C489" s="121"/>
      <c r="D489" s="121"/>
      <c r="E489" s="120"/>
      <c r="P489" s="104"/>
    </row>
    <row r="490" spans="1:16" ht="16.5" thickBot="1">
      <c r="A490" s="98"/>
      <c r="B490" s="99"/>
      <c r="C490" s="116"/>
      <c r="D490" s="116"/>
      <c r="E490" s="120"/>
      <c r="P490" s="104"/>
    </row>
    <row r="491" spans="1:16">
      <c r="A491" s="95"/>
      <c r="B491" s="94"/>
      <c r="C491" s="121"/>
      <c r="D491" s="121"/>
      <c r="E491" s="120"/>
      <c r="P491" s="104"/>
    </row>
    <row r="492" spans="1:16">
      <c r="A492" s="95">
        <f>+A485+1</f>
        <v>11</v>
      </c>
      <c r="B492" s="94" t="s">
        <v>518</v>
      </c>
      <c r="C492" s="121">
        <v>0</v>
      </c>
      <c r="D492" s="121"/>
      <c r="E492" s="120"/>
      <c r="P492" s="104"/>
    </row>
    <row r="493" spans="1:16">
      <c r="A493" s="95"/>
      <c r="B493" s="94" t="s">
        <v>519</v>
      </c>
      <c r="C493" s="121">
        <v>0</v>
      </c>
      <c r="D493" s="121"/>
      <c r="P493" s="104"/>
    </row>
    <row r="494" spans="1:16">
      <c r="A494" s="132"/>
      <c r="B494" s="94" t="s">
        <v>520</v>
      </c>
      <c r="C494" s="90">
        <v>0</v>
      </c>
      <c r="D494" s="121"/>
      <c r="E494" s="120"/>
      <c r="P494" s="104"/>
    </row>
    <row r="495" spans="1:16">
      <c r="A495" s="132"/>
      <c r="B495" s="94" t="s">
        <v>521</v>
      </c>
      <c r="C495" s="210"/>
      <c r="D495" s="121">
        <f>+C493+C492+C494</f>
        <v>0</v>
      </c>
      <c r="E495" s="120"/>
      <c r="P495" s="104"/>
    </row>
    <row r="496" spans="1:16">
      <c r="A496" s="132"/>
      <c r="B496" s="94" t="s">
        <v>504</v>
      </c>
      <c r="C496" s="121"/>
      <c r="D496" s="121"/>
      <c r="E496" s="120"/>
      <c r="P496" s="104"/>
    </row>
    <row r="497" spans="1:16" ht="16.5" thickBot="1">
      <c r="A497" s="132"/>
      <c r="B497" s="94"/>
      <c r="C497" s="121"/>
      <c r="D497" s="121"/>
      <c r="E497" s="120"/>
      <c r="P497" s="104"/>
    </row>
    <row r="498" spans="1:16">
      <c r="A498" s="124"/>
      <c r="B498" s="119"/>
      <c r="C498" s="123"/>
      <c r="D498" s="123"/>
      <c r="E498" s="120"/>
      <c r="P498" s="104"/>
    </row>
    <row r="499" spans="1:16">
      <c r="A499" s="95">
        <f>+A492+1</f>
        <v>12</v>
      </c>
      <c r="B499" s="94" t="s">
        <v>166</v>
      </c>
      <c r="C499" s="121">
        <f>+SUM(D500:D502)</f>
        <v>-1451.1399999999999</v>
      </c>
      <c r="D499" s="121"/>
      <c r="E499" s="120"/>
      <c r="P499" s="104"/>
    </row>
    <row r="500" spans="1:16">
      <c r="A500" s="95"/>
      <c r="B500" s="94" t="s">
        <v>273</v>
      </c>
      <c r="C500" s="121"/>
      <c r="D500" s="121">
        <f>(+'SUMMARY SHEET GST'!G57/2)</f>
        <v>-725.56999999999994</v>
      </c>
      <c r="E500" s="120"/>
      <c r="P500" s="104"/>
    </row>
    <row r="501" spans="1:16">
      <c r="A501" s="132"/>
      <c r="B501" s="94" t="s">
        <v>274</v>
      </c>
      <c r="C501" s="210"/>
      <c r="D501" s="121">
        <f>(+'SUMMARY SHEET GST'!H57/2)</f>
        <v>-725.56999999999994</v>
      </c>
      <c r="E501" s="120"/>
      <c r="P501" s="104"/>
    </row>
    <row r="502" spans="1:16">
      <c r="A502" s="132"/>
      <c r="B502" s="94" t="s">
        <v>280</v>
      </c>
      <c r="C502" s="210"/>
      <c r="D502" s="121">
        <f>(+'SUMMARY SHEET GST'!I57/2)</f>
        <v>0</v>
      </c>
      <c r="E502" s="120"/>
      <c r="P502" s="104"/>
    </row>
    <row r="503" spans="1:16">
      <c r="A503" s="132"/>
      <c r="B503" s="94" t="s">
        <v>275</v>
      </c>
      <c r="C503" s="121"/>
      <c r="D503" s="121"/>
      <c r="E503" s="120"/>
      <c r="P503" s="104"/>
    </row>
    <row r="504" spans="1:16" ht="16.5" thickBot="1">
      <c r="A504" s="132"/>
      <c r="B504" s="94" t="s">
        <v>544</v>
      </c>
      <c r="C504" s="121"/>
      <c r="D504" s="121"/>
      <c r="E504" s="120"/>
      <c r="P504" s="104"/>
    </row>
    <row r="505" spans="1:16">
      <c r="A505" s="124"/>
      <c r="B505" s="119"/>
      <c r="C505" s="123"/>
      <c r="D505" s="123"/>
      <c r="E505" s="120"/>
      <c r="P505" s="104"/>
    </row>
    <row r="506" spans="1:16">
      <c r="A506" s="95">
        <f>+A499+1</f>
        <v>13</v>
      </c>
      <c r="B506" s="94" t="s">
        <v>166</v>
      </c>
      <c r="C506" s="121">
        <f>+SUM(D507:D509)</f>
        <v>0</v>
      </c>
      <c r="D506" s="121"/>
      <c r="E506" s="120"/>
      <c r="P506" s="104"/>
    </row>
    <row r="507" spans="1:16">
      <c r="A507" s="132"/>
      <c r="B507" s="94" t="s">
        <v>273</v>
      </c>
      <c r="C507" s="121"/>
      <c r="D507" s="121"/>
      <c r="E507" s="120">
        <f>+D507*2</f>
        <v>0</v>
      </c>
      <c r="P507" s="104"/>
    </row>
    <row r="508" spans="1:16">
      <c r="A508" s="132"/>
      <c r="B508" s="94" t="s">
        <v>274</v>
      </c>
      <c r="C508" s="121"/>
      <c r="D508" s="121"/>
      <c r="E508" s="120">
        <f>+D508*2</f>
        <v>0</v>
      </c>
      <c r="P508" s="104"/>
    </row>
    <row r="509" spans="1:16">
      <c r="A509" s="132"/>
      <c r="B509" s="94" t="s">
        <v>280</v>
      </c>
      <c r="C509" s="121"/>
      <c r="D509" s="121"/>
      <c r="E509" s="120">
        <f>+D509*2</f>
        <v>0</v>
      </c>
      <c r="P509" s="104"/>
    </row>
    <row r="510" spans="1:16">
      <c r="A510" s="132"/>
      <c r="B510" s="94" t="s">
        <v>778</v>
      </c>
      <c r="C510" s="121"/>
      <c r="D510" s="121"/>
      <c r="E510" s="120"/>
      <c r="P510" s="104"/>
    </row>
    <row r="511" spans="1:16">
      <c r="A511" s="132"/>
      <c r="B511" s="500" t="s">
        <v>552</v>
      </c>
      <c r="C511" s="121"/>
      <c r="D511" s="121"/>
      <c r="E511" s="120"/>
      <c r="P511" s="104"/>
    </row>
    <row r="512" spans="1:16">
      <c r="A512" s="132"/>
      <c r="B512" s="94" t="s">
        <v>553</v>
      </c>
      <c r="C512" s="121"/>
      <c r="D512" s="121"/>
      <c r="E512" s="120"/>
      <c r="P512" s="104"/>
    </row>
    <row r="513" spans="1:16" ht="16.5" thickBot="1">
      <c r="A513" s="132"/>
      <c r="B513" s="94"/>
      <c r="C513" s="121"/>
      <c r="D513" s="121"/>
      <c r="E513" s="120"/>
      <c r="P513" s="104"/>
    </row>
    <row r="514" spans="1:16">
      <c r="A514" s="124"/>
      <c r="B514" s="119"/>
      <c r="C514" s="123"/>
      <c r="D514" s="123"/>
      <c r="E514" s="120"/>
      <c r="P514" s="104"/>
    </row>
    <row r="515" spans="1:16">
      <c r="A515" s="95">
        <f>+A506+1</f>
        <v>14</v>
      </c>
      <c r="B515" s="94" t="s">
        <v>166</v>
      </c>
      <c r="C515" s="121">
        <f>+D516+D517+D518</f>
        <v>0</v>
      </c>
      <c r="D515" s="121"/>
      <c r="E515" s="120"/>
      <c r="P515" s="104"/>
    </row>
    <row r="516" spans="1:16">
      <c r="A516" s="95"/>
      <c r="B516" s="94" t="s">
        <v>273</v>
      </c>
      <c r="C516" s="121"/>
      <c r="D516" s="121">
        <f>+'SUMMARY SHEET GST'!G63</f>
        <v>0</v>
      </c>
      <c r="E516" s="120"/>
      <c r="P516" s="104"/>
    </row>
    <row r="517" spans="1:16">
      <c r="A517" s="132"/>
      <c r="B517" s="94" t="s">
        <v>274</v>
      </c>
      <c r="C517" s="121"/>
      <c r="D517" s="121">
        <f>+D516</f>
        <v>0</v>
      </c>
      <c r="E517" s="120"/>
      <c r="P517" s="104"/>
    </row>
    <row r="518" spans="1:16">
      <c r="A518" s="132"/>
      <c r="B518" s="94" t="s">
        <v>280</v>
      </c>
      <c r="C518" s="121"/>
      <c r="D518" s="121"/>
      <c r="E518" s="120"/>
      <c r="P518" s="104"/>
    </row>
    <row r="519" spans="1:16">
      <c r="A519" s="132"/>
      <c r="B519" s="94" t="s">
        <v>643</v>
      </c>
      <c r="C519" s="121"/>
      <c r="D519" s="121"/>
      <c r="E519" s="120"/>
      <c r="P519" s="104"/>
    </row>
    <row r="520" spans="1:16">
      <c r="A520" s="132"/>
      <c r="B520" s="94" t="s">
        <v>575</v>
      </c>
      <c r="C520" s="121"/>
      <c r="D520" s="121"/>
      <c r="E520" s="120"/>
      <c r="P520" s="104"/>
    </row>
    <row r="521" spans="1:16" ht="16.5" thickBot="1">
      <c r="A521" s="132"/>
      <c r="B521" s="94"/>
      <c r="C521" s="121"/>
      <c r="D521" s="121"/>
      <c r="E521" s="120"/>
      <c r="P521" s="104"/>
    </row>
    <row r="522" spans="1:16">
      <c r="A522" s="124"/>
      <c r="B522" s="119"/>
      <c r="C522" s="123"/>
      <c r="D522" s="123"/>
      <c r="E522" s="120"/>
    </row>
    <row r="523" spans="1:16" ht="18.75" customHeight="1">
      <c r="A523" s="95">
        <f>+A515+1</f>
        <v>15</v>
      </c>
      <c r="B523" s="94" t="s">
        <v>166</v>
      </c>
      <c r="C523" s="121">
        <f>+SUM(D524:D526)</f>
        <v>152185.9</v>
      </c>
      <c r="D523" s="121"/>
      <c r="E523" s="120"/>
    </row>
    <row r="524" spans="1:16">
      <c r="A524" s="95"/>
      <c r="B524" s="94" t="s">
        <v>273</v>
      </c>
      <c r="C524" s="121"/>
      <c r="D524" s="121">
        <f>+('SUMMARY SHEET GST'!G58)/2</f>
        <v>2663.0349999999999</v>
      </c>
      <c r="E524" s="1058"/>
      <c r="F524" s="1059"/>
    </row>
    <row r="525" spans="1:16">
      <c r="A525" s="132"/>
      <c r="B525" s="94" t="s">
        <v>274</v>
      </c>
      <c r="C525" s="210"/>
      <c r="D525" s="121">
        <f>+('SUMMARY SHEET GST'!G58)/2</f>
        <v>2663.0349999999999</v>
      </c>
      <c r="E525" s="1058"/>
      <c r="F525" s="1059"/>
    </row>
    <row r="526" spans="1:16">
      <c r="A526" s="132"/>
      <c r="B526" s="94" t="s">
        <v>280</v>
      </c>
      <c r="C526" s="210"/>
      <c r="D526" s="121">
        <f>+('SUMMARY SHEET GST'!F58)/2</f>
        <v>146859.82999999999</v>
      </c>
      <c r="E526" s="120"/>
    </row>
    <row r="527" spans="1:16">
      <c r="A527" s="132"/>
      <c r="B527" s="94" t="s">
        <v>275</v>
      </c>
      <c r="C527" s="121"/>
      <c r="D527" s="121"/>
      <c r="E527" s="120"/>
    </row>
    <row r="528" spans="1:16">
      <c r="A528" s="132"/>
      <c r="B528" s="94" t="s">
        <v>545</v>
      </c>
      <c r="C528" s="121"/>
      <c r="D528" s="121"/>
      <c r="E528" s="120"/>
    </row>
    <row r="529" spans="1:6" ht="16.5" thickBot="1">
      <c r="A529" s="865"/>
      <c r="B529" s="99"/>
      <c r="C529" s="116"/>
      <c r="D529" s="116"/>
      <c r="E529" s="120"/>
    </row>
    <row r="530" spans="1:6">
      <c r="A530" s="124"/>
      <c r="B530" s="119"/>
      <c r="C530" s="125"/>
      <c r="D530" s="123"/>
      <c r="E530" s="120"/>
    </row>
    <row r="531" spans="1:6" ht="15.75" customHeight="1">
      <c r="A531" s="95">
        <f>+A523+1</f>
        <v>16</v>
      </c>
      <c r="B531" s="94" t="s">
        <v>166</v>
      </c>
      <c r="C531" s="120">
        <f>+SUM(D532:D534)</f>
        <v>-4155.7410000003874</v>
      </c>
      <c r="D531" s="121"/>
      <c r="E531" s="1020"/>
      <c r="F531" s="964"/>
    </row>
    <row r="532" spans="1:6" ht="15.75" customHeight="1">
      <c r="A532" s="95"/>
      <c r="B532" s="94" t="s">
        <v>198</v>
      </c>
      <c r="C532" s="120"/>
      <c r="D532" s="121">
        <f>+'SUMMARY SHEET GST'!D32</f>
        <v>-2077.8705000001937</v>
      </c>
      <c r="E532" s="1020"/>
      <c r="F532" s="1063"/>
    </row>
    <row r="533" spans="1:6">
      <c r="A533" s="95"/>
      <c r="B533" s="94" t="s">
        <v>199</v>
      </c>
      <c r="C533" s="120"/>
      <c r="D533" s="121">
        <f>+'SUMMARY SHEET GST'!E32</f>
        <v>-2077.8705000001937</v>
      </c>
      <c r="E533" s="1020"/>
      <c r="F533" s="1063"/>
    </row>
    <row r="534" spans="1:6">
      <c r="A534" s="955"/>
      <c r="B534" s="94" t="s">
        <v>269</v>
      </c>
      <c r="C534" s="120"/>
      <c r="D534" s="121">
        <f>+'SUMMARY SHEET GST'!F32</f>
        <v>0</v>
      </c>
      <c r="E534" s="1020"/>
      <c r="F534" s="1063"/>
    </row>
    <row r="535" spans="1:6">
      <c r="A535" s="95"/>
      <c r="B535" s="94" t="s">
        <v>504</v>
      </c>
      <c r="C535" s="120"/>
      <c r="D535" s="121"/>
      <c r="E535" s="1020"/>
      <c r="F535" s="1063"/>
    </row>
    <row r="536" spans="1:6" ht="16.5" thickBot="1">
      <c r="A536" s="98"/>
      <c r="B536" s="99"/>
      <c r="C536" s="122"/>
      <c r="D536" s="116"/>
      <c r="E536" s="120"/>
    </row>
    <row r="537" spans="1:6">
      <c r="A537" s="132"/>
      <c r="B537" s="94"/>
      <c r="C537" s="120"/>
      <c r="D537" s="121"/>
      <c r="E537" s="120"/>
    </row>
    <row r="538" spans="1:6">
      <c r="A538" s="95">
        <f>+A531+1</f>
        <v>17</v>
      </c>
      <c r="B538" s="94" t="s">
        <v>576</v>
      </c>
      <c r="C538" s="120">
        <v>0</v>
      </c>
      <c r="D538" s="121"/>
      <c r="E538" s="496"/>
    </row>
    <row r="539" spans="1:6">
      <c r="A539" s="95"/>
      <c r="B539" s="94" t="s">
        <v>577</v>
      </c>
      <c r="C539" s="120">
        <v>0</v>
      </c>
      <c r="D539" s="121"/>
      <c r="E539" s="496"/>
    </row>
    <row r="540" spans="1:6">
      <c r="A540" s="95"/>
      <c r="B540" s="94" t="s">
        <v>578</v>
      </c>
      <c r="C540" s="120">
        <v>0</v>
      </c>
      <c r="D540" s="121"/>
      <c r="E540" s="120"/>
    </row>
    <row r="541" spans="1:6">
      <c r="A541" s="95"/>
      <c r="B541" s="557" t="s">
        <v>579</v>
      </c>
      <c r="C541" s="120"/>
      <c r="D541" s="121">
        <f>+C538+C539+C540</f>
        <v>0</v>
      </c>
      <c r="E541" s="120"/>
    </row>
    <row r="542" spans="1:6">
      <c r="A542" s="95"/>
      <c r="B542" s="94" t="s">
        <v>504</v>
      </c>
      <c r="C542" s="120"/>
      <c r="D542" s="121"/>
      <c r="E542" s="120"/>
    </row>
    <row r="543" spans="1:6">
      <c r="A543" s="95"/>
      <c r="B543" s="94"/>
      <c r="C543" s="120"/>
      <c r="D543" s="121"/>
      <c r="E543" s="120"/>
    </row>
    <row r="544" spans="1:6" ht="16.5" thickBot="1">
      <c r="A544" s="98"/>
      <c r="B544" s="99"/>
      <c r="C544" s="122"/>
      <c r="D544" s="116"/>
      <c r="E544" s="120"/>
    </row>
    <row r="545" spans="1:7">
      <c r="A545" s="95"/>
      <c r="B545" s="94"/>
      <c r="C545" s="120"/>
      <c r="D545" s="121"/>
      <c r="E545" s="120"/>
    </row>
    <row r="546" spans="1:7">
      <c r="A546" s="95">
        <f>+A538+1</f>
        <v>18</v>
      </c>
      <c r="B546" s="94" t="s">
        <v>749</v>
      </c>
      <c r="C546" s="120">
        <f>+D549</f>
        <v>30182.592277660093</v>
      </c>
      <c r="D546" s="121"/>
      <c r="E546" s="120"/>
    </row>
    <row r="547" spans="1:7">
      <c r="A547" s="95"/>
      <c r="B547" s="94" t="s">
        <v>201</v>
      </c>
      <c r="C547" s="120">
        <f>+D550</f>
        <v>30182.592277660093</v>
      </c>
      <c r="D547" s="121"/>
      <c r="E547" s="120"/>
    </row>
    <row r="548" spans="1:7">
      <c r="A548" s="95"/>
      <c r="B548" s="94" t="s">
        <v>230</v>
      </c>
      <c r="C548" s="120">
        <f>+D551</f>
        <v>160922.25089344749</v>
      </c>
      <c r="D548" s="121"/>
      <c r="E548" s="120"/>
    </row>
    <row r="549" spans="1:7">
      <c r="A549" s="95"/>
      <c r="B549" s="790" t="s">
        <v>763</v>
      </c>
      <c r="C549" s="120"/>
      <c r="D549" s="121">
        <f>+'SUMMARY SHEET GST'!D62/2</f>
        <v>30182.592277660093</v>
      </c>
      <c r="E549" s="120" t="s">
        <v>779</v>
      </c>
    </row>
    <row r="550" spans="1:7">
      <c r="A550" s="95"/>
      <c r="B550" s="790" t="s">
        <v>706</v>
      </c>
      <c r="C550" s="120"/>
      <c r="D550" s="121">
        <f>+'SUMMARY SHEET GST'!E62/2</f>
        <v>30182.592277660093</v>
      </c>
      <c r="E550" s="120"/>
    </row>
    <row r="551" spans="1:7">
      <c r="A551" s="95"/>
      <c r="B551" s="790" t="s">
        <v>707</v>
      </c>
      <c r="C551" s="120"/>
      <c r="D551" s="121">
        <f>+'SUMMARY SHEET GST'!F62/2</f>
        <v>160922.25089344749</v>
      </c>
      <c r="E551" s="120">
        <f>+D551*2</f>
        <v>321844.50178689498</v>
      </c>
    </row>
    <row r="552" spans="1:7">
      <c r="A552" s="95"/>
      <c r="B552" s="94" t="s">
        <v>697</v>
      </c>
      <c r="C552" s="120"/>
      <c r="D552" s="121"/>
      <c r="E552" s="120"/>
    </row>
    <row r="553" spans="1:7" ht="16.5" thickBot="1">
      <c r="A553" s="98"/>
      <c r="B553" s="99"/>
      <c r="C553" s="122"/>
      <c r="D553" s="116"/>
      <c r="E553" s="120"/>
    </row>
    <row r="554" spans="1:7">
      <c r="A554" s="95"/>
      <c r="B554" s="94"/>
      <c r="C554" s="120"/>
      <c r="D554" s="121"/>
      <c r="E554" s="120"/>
    </row>
    <row r="555" spans="1:7">
      <c r="A555" s="95">
        <f>+A546+1</f>
        <v>19</v>
      </c>
      <c r="B555" s="94" t="s">
        <v>276</v>
      </c>
      <c r="C555" s="120">
        <f>+D556+D557</f>
        <v>363512.5</v>
      </c>
      <c r="D555" s="121"/>
    </row>
    <row r="556" spans="1:7">
      <c r="A556" s="95"/>
      <c r="B556" s="94" t="s">
        <v>273</v>
      </c>
      <c r="C556" s="120"/>
      <c r="D556" s="121">
        <f>+'SUMMARY SHEET GST'!F102</f>
        <v>207830</v>
      </c>
    </row>
    <row r="557" spans="1:7">
      <c r="A557" s="95"/>
      <c r="B557" s="94" t="s">
        <v>280</v>
      </c>
      <c r="C557" s="120"/>
      <c r="D557" s="121">
        <f>+'SUMMARY SHEET GST'!D102</f>
        <v>155682.5</v>
      </c>
    </row>
    <row r="558" spans="1:7">
      <c r="A558" s="132"/>
      <c r="B558" s="94" t="s">
        <v>282</v>
      </c>
      <c r="C558" s="120"/>
      <c r="D558" s="121"/>
      <c r="G558" s="338"/>
    </row>
    <row r="559" spans="1:7" ht="16.5" thickBot="1">
      <c r="A559" s="865"/>
      <c r="B559" s="99"/>
      <c r="C559" s="122"/>
      <c r="D559" s="116"/>
      <c r="G559" s="338"/>
    </row>
    <row r="560" spans="1:7" ht="16.5" thickBot="1">
      <c r="A560" s="124"/>
      <c r="B560" s="119"/>
      <c r="C560" s="123"/>
      <c r="D560" s="939"/>
      <c r="G560" s="104"/>
    </row>
    <row r="561" spans="1:18" ht="16.5" thickBot="1">
      <c r="A561" s="95">
        <f>+A555+1</f>
        <v>20</v>
      </c>
      <c r="B561" s="94" t="s">
        <v>277</v>
      </c>
      <c r="C561" s="121">
        <f>+D562+D563</f>
        <v>363512.5</v>
      </c>
      <c r="D561" s="152"/>
      <c r="F561" s="1476" t="s">
        <v>285</v>
      </c>
      <c r="G561" s="1477"/>
      <c r="H561" s="1477"/>
      <c r="I561" s="1477"/>
      <c r="J561" s="1477"/>
      <c r="K561" s="1477"/>
      <c r="L561" s="1477"/>
      <c r="M561" s="1478"/>
    </row>
    <row r="562" spans="1:18" ht="16.5" thickBot="1">
      <c r="A562" s="95"/>
      <c r="B562" s="94" t="s">
        <v>274</v>
      </c>
      <c r="C562" s="121"/>
      <c r="D562" s="121">
        <f>+'SUMMARY SHEET GST'!E101</f>
        <v>207830</v>
      </c>
      <c r="F562" s="243" t="s">
        <v>425</v>
      </c>
      <c r="G562" s="241" t="s">
        <v>420</v>
      </c>
      <c r="H562" s="241" t="s">
        <v>421</v>
      </c>
      <c r="I562" s="244" t="s">
        <v>422</v>
      </c>
      <c r="J562" s="92" t="s">
        <v>429</v>
      </c>
      <c r="K562" s="336" t="s">
        <v>426</v>
      </c>
      <c r="L562" s="241" t="s">
        <v>135</v>
      </c>
      <c r="M562" s="241" t="s">
        <v>427</v>
      </c>
      <c r="N562" s="242" t="s">
        <v>428</v>
      </c>
      <c r="O562" s="90" t="s">
        <v>430</v>
      </c>
    </row>
    <row r="563" spans="1:18">
      <c r="A563" s="95"/>
      <c r="B563" s="94" t="s">
        <v>280</v>
      </c>
      <c r="C563" s="121"/>
      <c r="D563" s="121">
        <f>+'SUMMARY SHEET GST'!D101</f>
        <v>155682.5</v>
      </c>
      <c r="F563" s="236" t="s">
        <v>89</v>
      </c>
      <c r="G563" s="239">
        <f>+C15+C31+C47+C63+C79+C95+C111+C127+C143+C159+C175+C191+C207+C223+C239+C255+C271+C287+C303+C319+C335+C351+C400+C450</f>
        <v>105071.48000000001</v>
      </c>
      <c r="H563" s="239">
        <f>+D524</f>
        <v>2663.0349999999999</v>
      </c>
      <c r="I563" s="240">
        <f>+G563-H563</f>
        <v>102408.44500000001</v>
      </c>
      <c r="J563" s="239">
        <f>+C574</f>
        <v>30339.070200000002</v>
      </c>
      <c r="K563" s="378">
        <f>+'SUMMARY SHEET GST'!C83</f>
        <v>0</v>
      </c>
      <c r="L563" s="379">
        <f>+I563+J563+K563</f>
        <v>132747.51520000002</v>
      </c>
      <c r="M563" s="380">
        <f>+'SUMMARY SHEET GST'!F102+'SUMMARY SHEET GST'!F100</f>
        <v>207830</v>
      </c>
      <c r="N563" s="381">
        <f>+L563-M563</f>
        <v>-75082.484799999977</v>
      </c>
      <c r="O563" s="247">
        <f>+'SUMMARY SHEET GST'!C92</f>
        <v>-0.23252233982202597</v>
      </c>
      <c r="P563" s="104">
        <f>+N563-O563</f>
        <v>-75082.252277660155</v>
      </c>
      <c r="Q563" s="104">
        <f>+J563</f>
        <v>30339.070200000002</v>
      </c>
      <c r="R563" s="338">
        <f>+P563+Q563</f>
        <v>-44743.182077660153</v>
      </c>
    </row>
    <row r="564" spans="1:18">
      <c r="A564" s="132"/>
      <c r="B564" s="94" t="s">
        <v>278</v>
      </c>
      <c r="C564" s="121"/>
      <c r="D564" s="152"/>
      <c r="F564" s="230" t="s">
        <v>155</v>
      </c>
      <c r="G564" s="225">
        <f>+C16+C32+C48+C64+C80+C96+C112+C128+C144+C160+C176+C192+C208+C224+C240+C256+C272+C288+C304+C320+C336+C352+C401+C451</f>
        <v>105071.48000000001</v>
      </c>
      <c r="H564" s="239">
        <f>+D525</f>
        <v>2663.0349999999999</v>
      </c>
      <c r="I564" s="235">
        <f>+G564-H564</f>
        <v>102408.44500000001</v>
      </c>
      <c r="J564" s="225">
        <f>+C575</f>
        <v>30339.070200000002</v>
      </c>
      <c r="K564" s="378">
        <f>+'SUMMARY SHEET GST'!D83</f>
        <v>0</v>
      </c>
      <c r="L564" s="379">
        <f>+I564+J564+K564</f>
        <v>132747.51520000002</v>
      </c>
      <c r="M564" s="380">
        <f>+'SUMMARY SHEET GST'!E100+'SUMMARY SHEET GST'!E101</f>
        <v>207830</v>
      </c>
      <c r="N564" s="381">
        <f>+L564-M564</f>
        <v>-75082.484799999977</v>
      </c>
      <c r="O564" s="247">
        <f>+'SUMMARY SHEET GST'!D92</f>
        <v>-0.23252233982202597</v>
      </c>
      <c r="P564" s="104">
        <f>+N564-O564</f>
        <v>-75082.252277660155</v>
      </c>
      <c r="Q564" s="104">
        <f>+J564</f>
        <v>30339.070200000002</v>
      </c>
      <c r="R564" s="338">
        <f>+P564+Q564</f>
        <v>-44743.182077660153</v>
      </c>
    </row>
    <row r="565" spans="1:18" ht="16.5" thickBot="1">
      <c r="A565" s="865"/>
      <c r="B565" s="99"/>
      <c r="C565" s="116"/>
      <c r="D565" s="153"/>
      <c r="F565" s="224" t="s">
        <v>68</v>
      </c>
      <c r="G565" s="225">
        <f>+C17+C33+C49+C65+C81+C97+C113+C129+C145+C161+C177+C193+C209+C225+C241+C257+C273+C289+C305+C321+C337+C353+C402+C452</f>
        <v>328203.61</v>
      </c>
      <c r="H565" s="225">
        <v>0</v>
      </c>
      <c r="I565" s="225">
        <f>+G565-H565</f>
        <v>328203.61</v>
      </c>
      <c r="J565" s="393">
        <v>0</v>
      </c>
      <c r="K565" s="378">
        <f>+'SUMMARY SHEET GST'!E83</f>
        <v>0</v>
      </c>
      <c r="L565" s="1064">
        <f>+I565+J565+K565</f>
        <v>328203.61</v>
      </c>
      <c r="M565" s="380">
        <f>+SUM('SUMMARY SHEET GST'!D100:D102)</f>
        <v>336372</v>
      </c>
      <c r="N565" s="380">
        <f>+L565-M565</f>
        <v>-8168.390000000014</v>
      </c>
      <c r="O565" s="247">
        <f>+'SUMMARY SHEET GST'!E92</f>
        <v>0.47589344740845263</v>
      </c>
      <c r="P565" s="408">
        <f>+N565-O565</f>
        <v>-8168.8658934474224</v>
      </c>
      <c r="Q565" s="104">
        <f>+J565</f>
        <v>0</v>
      </c>
      <c r="R565" s="338">
        <f>+P565+Q565</f>
        <v>-8168.8658934474224</v>
      </c>
    </row>
    <row r="566" spans="1:18">
      <c r="A566" s="124"/>
      <c r="B566" s="119"/>
      <c r="C566" s="125"/>
      <c r="D566" s="123"/>
      <c r="F566" s="397"/>
      <c r="G566" s="398"/>
      <c r="H566" s="398"/>
      <c r="I566" s="399"/>
      <c r="J566" s="400"/>
      <c r="K566" s="401"/>
      <c r="L566" s="382"/>
      <c r="M566" s="382"/>
      <c r="N566" s="383"/>
      <c r="O566" s="248"/>
    </row>
    <row r="567" spans="1:18">
      <c r="A567" s="95">
        <f>+A561+1</f>
        <v>21</v>
      </c>
      <c r="B567" s="94" t="s">
        <v>279</v>
      </c>
      <c r="C567" s="788">
        <f>+D568+D569+D570</f>
        <v>25007</v>
      </c>
      <c r="D567" s="121"/>
      <c r="F567" s="397"/>
      <c r="G567" s="398"/>
      <c r="H567" s="398"/>
      <c r="I567" s="399"/>
      <c r="J567" s="400"/>
      <c r="K567" s="401"/>
      <c r="L567" s="382"/>
      <c r="M567" s="382"/>
      <c r="N567" s="383"/>
      <c r="O567" s="248"/>
    </row>
    <row r="568" spans="1:18">
      <c r="A568" s="95"/>
      <c r="B568" s="94" t="s">
        <v>280</v>
      </c>
      <c r="C568" s="120"/>
      <c r="D568" s="364">
        <f>+'SUMMARY SHEET GST'!D100</f>
        <v>25007</v>
      </c>
      <c r="F568" s="397"/>
      <c r="G568" s="398"/>
      <c r="H568" s="398"/>
      <c r="I568" s="399"/>
      <c r="J568" s="400"/>
      <c r="K568" s="401"/>
      <c r="L568" s="382"/>
      <c r="M568" s="382"/>
      <c r="N568" s="383"/>
      <c r="O568" s="248"/>
    </row>
    <row r="569" spans="1:18">
      <c r="A569" s="95"/>
      <c r="B569" s="94" t="s">
        <v>273</v>
      </c>
      <c r="C569" s="120"/>
      <c r="D569" s="121">
        <f>+'SUMMARY SHEET GST'!F100</f>
        <v>0</v>
      </c>
      <c r="F569" s="397"/>
      <c r="G569" s="398"/>
      <c r="H569" s="398"/>
      <c r="I569" s="399"/>
      <c r="J569" s="400"/>
      <c r="K569" s="401"/>
      <c r="L569" s="382"/>
      <c r="M569" s="382"/>
      <c r="N569" s="383"/>
      <c r="O569" s="248"/>
    </row>
    <row r="570" spans="1:18" ht="16.5" thickBot="1">
      <c r="A570" s="95"/>
      <c r="B570" s="94" t="s">
        <v>274</v>
      </c>
      <c r="C570" s="120"/>
      <c r="D570" s="121">
        <f>+'SUMMARY SHEET GST'!E100</f>
        <v>0</v>
      </c>
      <c r="F570" s="397"/>
      <c r="G570" s="398"/>
      <c r="H570" s="398"/>
      <c r="I570" s="399"/>
      <c r="J570" s="400"/>
      <c r="K570" s="401"/>
      <c r="L570" s="382"/>
      <c r="M570" s="382"/>
      <c r="N570" s="383"/>
      <c r="O570" s="248"/>
    </row>
    <row r="571" spans="1:18" ht="16.5" thickBot="1">
      <c r="A571" s="132"/>
      <c r="B571" s="94" t="s">
        <v>281</v>
      </c>
      <c r="C571" s="120"/>
      <c r="D571" s="121"/>
      <c r="F571" s="243" t="s">
        <v>135</v>
      </c>
      <c r="G571" s="245">
        <f>SUM(G563:G565)</f>
        <v>538346.57000000007</v>
      </c>
      <c r="H571" s="245">
        <f>SUM(H563:H565)</f>
        <v>5326.07</v>
      </c>
      <c r="I571" s="246">
        <f>SUM(I563:I565)</f>
        <v>533020.5</v>
      </c>
      <c r="J571" s="337"/>
      <c r="K571" s="384">
        <f>SUM(K563:K565)</f>
        <v>0</v>
      </c>
      <c r="L571" s="385">
        <f>SUM(L563:L565)</f>
        <v>593698.64040000003</v>
      </c>
      <c r="M571" s="385">
        <f>SUM(M563:M565)</f>
        <v>752032</v>
      </c>
      <c r="N571" s="386">
        <f>SUM(N563:N565)</f>
        <v>-158333.35959999997</v>
      </c>
    </row>
    <row r="572" spans="1:18" ht="16.5" thickBot="1">
      <c r="A572" s="865"/>
      <c r="B572" s="99"/>
      <c r="C572" s="116"/>
      <c r="D572" s="153"/>
      <c r="F572" s="236" t="s">
        <v>423</v>
      </c>
      <c r="G572" s="237">
        <f>+'SUMMARY SHEET GST'!D54/2+'SUMMARY SHEET GST'!E54/2+'SUMMARY SHEET GST'!F54/2</f>
        <v>633557.07000000007</v>
      </c>
      <c r="H572" s="237">
        <f>+'SUMMARY SHEET GST'!D57/2+'SUMMARY SHEET GST'!E57/2+'SUMMARY SHEET GST'!F57/2</f>
        <v>-1451.1399999999999</v>
      </c>
      <c r="I572" s="238">
        <f>+'SUMMARY SHEET GST'!D64/2+'SUMMARY SHEET GST'!E64/2+'SUMMARY SHEET GST'!F64/2</f>
        <v>689463.87044876767</v>
      </c>
      <c r="M572" s="387">
        <f>+D556+D557+D562+D563+D568</f>
        <v>752032</v>
      </c>
    </row>
    <row r="573" spans="1:18" ht="16.5" thickBot="1">
      <c r="A573" s="864"/>
      <c r="B573" s="119"/>
      <c r="C573" s="123"/>
      <c r="D573" s="123"/>
      <c r="F573" s="231" t="s">
        <v>424</v>
      </c>
      <c r="G573" s="232">
        <f>+G571-G572</f>
        <v>-95210.5</v>
      </c>
      <c r="H573" s="232">
        <f>+H571-H572</f>
        <v>6777.2099999999991</v>
      </c>
      <c r="I573" s="233">
        <f>+I571-I572</f>
        <v>-156443.37044876767</v>
      </c>
    </row>
    <row r="574" spans="1:18" ht="16.5" thickBot="1">
      <c r="A574" s="132">
        <f>+A567+1</f>
        <v>22</v>
      </c>
      <c r="B574" s="94" t="s">
        <v>200</v>
      </c>
      <c r="C574" s="121">
        <f>+D577/2</f>
        <v>30339.070200000002</v>
      </c>
      <c r="D574" s="121"/>
      <c r="J574" s="223"/>
    </row>
    <row r="575" spans="1:18">
      <c r="A575" s="132"/>
      <c r="B575" s="94" t="s">
        <v>201</v>
      </c>
      <c r="C575" s="121">
        <f>+D578/2</f>
        <v>30339.070200000002</v>
      </c>
      <c r="D575" s="121"/>
      <c r="F575" s="1472" t="s">
        <v>284</v>
      </c>
      <c r="G575" s="1473"/>
      <c r="H575" s="1473"/>
      <c r="I575" s="1474"/>
      <c r="K575" s="224" t="s">
        <v>445</v>
      </c>
      <c r="L575" s="409" t="s">
        <v>446</v>
      </c>
      <c r="M575" s="409" t="s">
        <v>135</v>
      </c>
    </row>
    <row r="576" spans="1:18">
      <c r="A576" s="132"/>
      <c r="B576" s="94" t="s">
        <v>166</v>
      </c>
      <c r="C576" s="121">
        <f>(+D577+D578)/2</f>
        <v>60678.140400000004</v>
      </c>
      <c r="D576" s="121"/>
      <c r="F576" s="230"/>
      <c r="G576" s="224" t="s">
        <v>419</v>
      </c>
      <c r="H576" s="224" t="s">
        <v>434</v>
      </c>
      <c r="I576" s="234" t="s">
        <v>402</v>
      </c>
      <c r="K576" s="393"/>
      <c r="L576" s="393"/>
      <c r="M576" s="393"/>
    </row>
    <row r="577" spans="1:16">
      <c r="A577" s="132"/>
      <c r="B577" s="94" t="s">
        <v>313</v>
      </c>
      <c r="C577" s="121"/>
      <c r="D577" s="121">
        <f>+'SUMMARY SHEET GST'!D112</f>
        <v>60678.140400000004</v>
      </c>
      <c r="E577" s="104"/>
      <c r="F577" s="230" t="s">
        <v>418</v>
      </c>
      <c r="G577" s="388">
        <f>+D9+D25+D41+D57+D73+D89+D105+D121+D137+D153+D169+D185+D201+D217+D233+D249+D265+D281+D297+D313+D329+D345+D393+D430+D577+D532</f>
        <v>870342.70989999978</v>
      </c>
      <c r="H577" s="388">
        <f>+'SUMMARY SHEET GST'!C101+D158</f>
        <v>816177.55899999978</v>
      </c>
      <c r="I577" s="390">
        <f>+G577-H577</f>
        <v>54165.150900000008</v>
      </c>
      <c r="J577" s="223"/>
      <c r="K577" s="394">
        <f>+'SUMMARY SHEET GST'!D31</f>
        <v>820384.30000000016</v>
      </c>
      <c r="L577" s="394">
        <f>+'SUMMARY SHEET GST'!F44</f>
        <v>60678.140400000004</v>
      </c>
      <c r="M577" s="394">
        <f>+K577+L577</f>
        <v>881062.4404000002</v>
      </c>
    </row>
    <row r="578" spans="1:16">
      <c r="A578" s="132"/>
      <c r="B578" s="94" t="s">
        <v>314</v>
      </c>
      <c r="C578" s="121"/>
      <c r="D578" s="121">
        <f>+'SUMMARY SHEET GST'!E112</f>
        <v>60678.140400000004</v>
      </c>
      <c r="F578" s="230" t="s">
        <v>416</v>
      </c>
      <c r="G578" s="388">
        <f>+D10+D26+D42+D58+D74+D90+D106+D122+D138+D154+D170+D186+D202+D218+D234+D250+D266+D282+D298+D314+D330+D346+D394+D431+D578+D533</f>
        <v>870342.70989999978</v>
      </c>
      <c r="H578" s="388">
        <f>+'SUMMARY SHEET GST'!C102+D159</f>
        <v>816177.55899999978</v>
      </c>
      <c r="I578" s="390">
        <f>+G578-H578</f>
        <v>54165.150900000008</v>
      </c>
      <c r="J578" s="223"/>
      <c r="K578" s="394">
        <f>+'SUMMARY SHEET GST'!E31+'SUMMARY SHEET GST'!E32</f>
        <v>818306.42949999997</v>
      </c>
      <c r="L578" s="394">
        <f>+'SUMMARY SHEET GST'!G44</f>
        <v>60678.140400000004</v>
      </c>
      <c r="M578" s="394">
        <f>+K578+L578</f>
        <v>878984.5699</v>
      </c>
    </row>
    <row r="579" spans="1:16">
      <c r="A579" s="132"/>
      <c r="B579" s="94" t="s">
        <v>315</v>
      </c>
      <c r="C579" s="121"/>
      <c r="D579" s="121"/>
      <c r="F579" s="230" t="s">
        <v>417</v>
      </c>
      <c r="G579" s="388">
        <f>+D11+D27+D43+D59+D75+D91+D107+D123+D139+D155+D171+D187+D203+D219+D235+D251+D267+D283+D299+D315+D331+D347+D395+D432+D579+D534</f>
        <v>25006.030000000002</v>
      </c>
      <c r="H579" s="388">
        <f>+'SUMMARY SHEET GST'!C100</f>
        <v>25007.030000000002</v>
      </c>
      <c r="I579" s="390">
        <f>+G579-H579</f>
        <v>-1</v>
      </c>
      <c r="K579" s="394">
        <f>+'SUMMARY SHEET GST'!F31+'SUMMARY SHEET GST'!F32</f>
        <v>25006.030000000002</v>
      </c>
      <c r="L579" s="380">
        <v>0</v>
      </c>
      <c r="M579" s="394">
        <f>+K579+L579</f>
        <v>25006.030000000002</v>
      </c>
    </row>
    <row r="580" spans="1:16" ht="16.5" thickBot="1">
      <c r="A580" s="132"/>
      <c r="B580" s="94" t="s">
        <v>937</v>
      </c>
      <c r="C580" s="121"/>
      <c r="D580" s="121"/>
      <c r="F580" s="231" t="s">
        <v>135</v>
      </c>
      <c r="G580" s="389">
        <f>SUM(G577:G579)</f>
        <v>1765691.4497999996</v>
      </c>
      <c r="H580" s="389">
        <f>SUM(H577:H579)</f>
        <v>1657362.1479999996</v>
      </c>
      <c r="I580" s="391">
        <f>SUM(I577:I579)</f>
        <v>108329.30180000002</v>
      </c>
      <c r="J580" s="392" t="s">
        <v>135</v>
      </c>
      <c r="K580" s="395">
        <f>SUM(K577:K579)</f>
        <v>1663696.7595000002</v>
      </c>
      <c r="L580" s="395">
        <f>SUM(L577:L579)</f>
        <v>121356.28080000001</v>
      </c>
      <c r="M580" s="395">
        <f>+K580+L580</f>
        <v>1785053.0403000002</v>
      </c>
    </row>
    <row r="581" spans="1:16" ht="16.5" thickBot="1">
      <c r="A581" s="865"/>
      <c r="B581" s="99"/>
      <c r="C581" s="116"/>
      <c r="D581" s="116"/>
      <c r="F581" s="91"/>
      <c r="G581" s="405"/>
      <c r="H581" s="405"/>
      <c r="I581" s="406"/>
      <c r="J581" s="392"/>
      <c r="K581" s="407"/>
      <c r="L581" s="407"/>
      <c r="M581" s="407"/>
    </row>
    <row r="582" spans="1:16" ht="17.25" customHeight="1">
      <c r="A582" s="132"/>
      <c r="B582" s="151"/>
      <c r="C582" s="121"/>
      <c r="D582" s="121"/>
      <c r="M582" s="407"/>
    </row>
    <row r="583" spans="1:16">
      <c r="A583" s="132">
        <f>+A574+1</f>
        <v>23</v>
      </c>
      <c r="B583" s="151" t="s">
        <v>456</v>
      </c>
      <c r="C583" s="121">
        <f>+'SUMMARY SHEET GST'!C77</f>
        <v>140.75</v>
      </c>
      <c r="D583" s="121"/>
      <c r="F583" s="104"/>
      <c r="M583" s="407"/>
    </row>
    <row r="584" spans="1:16" ht="16.5" thickBot="1">
      <c r="A584" s="132"/>
      <c r="B584" s="151" t="s">
        <v>457</v>
      </c>
      <c r="C584" s="121">
        <f>+'SUMMARY SHEET GST'!D77</f>
        <v>140.75</v>
      </c>
      <c r="D584" s="121"/>
      <c r="F584" s="104"/>
      <c r="M584" s="407"/>
    </row>
    <row r="585" spans="1:16" ht="16.5" thickBot="1">
      <c r="A585" s="132"/>
      <c r="B585" s="151" t="s">
        <v>458</v>
      </c>
      <c r="C585" s="121"/>
      <c r="D585" s="121">
        <f>+SUM(C583:C584)</f>
        <v>281.5</v>
      </c>
      <c r="F585" s="1484" t="s">
        <v>563</v>
      </c>
      <c r="G585" s="1485"/>
      <c r="H585" s="1485"/>
      <c r="I585" s="1485"/>
      <c r="J585" s="1485"/>
      <c r="K585" s="1485"/>
      <c r="L585" s="1486"/>
      <c r="M585" s="407"/>
    </row>
    <row r="586" spans="1:16">
      <c r="A586" s="132"/>
      <c r="B586" s="151" t="s">
        <v>459</v>
      </c>
      <c r="C586" s="121"/>
      <c r="D586" s="121"/>
      <c r="F586" s="151"/>
      <c r="L586" s="361"/>
      <c r="M586" s="407"/>
    </row>
    <row r="587" spans="1:16" ht="16.5" thickBot="1">
      <c r="A587" s="132"/>
      <c r="B587" s="151"/>
      <c r="C587" s="121"/>
      <c r="D587" s="121"/>
      <c r="F587" s="151"/>
      <c r="L587" s="361"/>
      <c r="M587" s="407"/>
      <c r="N587" s="338"/>
      <c r="O587" s="338"/>
      <c r="P587" s="338"/>
    </row>
    <row r="588" spans="1:16" ht="16.5" thickBot="1">
      <c r="A588" s="864"/>
      <c r="B588" s="150"/>
      <c r="C588" s="123"/>
      <c r="D588" s="123"/>
      <c r="F588" s="1490" t="s">
        <v>499</v>
      </c>
      <c r="G588" s="1491"/>
      <c r="H588" s="1492"/>
      <c r="J588" s="1487" t="s">
        <v>505</v>
      </c>
      <c r="K588" s="1488"/>
      <c r="L588" s="1489"/>
      <c r="M588" s="407"/>
    </row>
    <row r="589" spans="1:16" ht="16.5" thickBot="1">
      <c r="A589" s="132">
        <f>+A583+1</f>
        <v>24</v>
      </c>
      <c r="B589" s="151" t="s">
        <v>336</v>
      </c>
      <c r="C589" s="121">
        <f>-'SUMMARY SHEET GST'!D110</f>
        <v>212.5</v>
      </c>
      <c r="D589" s="121"/>
      <c r="F589" s="470" t="s">
        <v>497</v>
      </c>
      <c r="G589" s="470" t="s">
        <v>470</v>
      </c>
      <c r="H589" s="470" t="s">
        <v>498</v>
      </c>
      <c r="J589" s="470" t="s">
        <v>497</v>
      </c>
      <c r="K589" s="470" t="s">
        <v>470</v>
      </c>
      <c r="L589" s="470" t="s">
        <v>498</v>
      </c>
      <c r="M589" s="407"/>
    </row>
    <row r="590" spans="1:16" ht="16.5" thickBot="1">
      <c r="A590" s="132"/>
      <c r="B590" s="151" t="s">
        <v>337</v>
      </c>
      <c r="C590" s="121">
        <f>-'SUMMARY SHEET GST'!E110</f>
        <v>212.5</v>
      </c>
      <c r="D590" s="121"/>
      <c r="F590" s="472">
        <f>+C15+C31+C47+C63+C79+C95+C111+C127+C143+C159+C175+C191+C207+C223+C239+C255+C271+C287+C303+C319+C335+C351+C400+C450+C574+C668+C546+C617+C367+C383</f>
        <v>215087.98247766009</v>
      </c>
      <c r="G590" s="472">
        <f>+F590+C611</f>
        <v>215087.98247766009</v>
      </c>
      <c r="H590" s="472">
        <f>+C17+C33+C49+C65+C81+C97+C113+C129+C145+C161+C177+C193+C209+C225+C241+C257+C273+C289+C305+C321+C337+C353+C402+C452+C548+C619+C369+C385</f>
        <v>489125.86089344748</v>
      </c>
      <c r="I590" s="682"/>
      <c r="J590" s="473">
        <v>474097.58</v>
      </c>
      <c r="K590" s="473">
        <v>474077.19</v>
      </c>
      <c r="L590" s="473">
        <v>315491.34000000003</v>
      </c>
      <c r="M590" s="407" t="s">
        <v>572</v>
      </c>
      <c r="O590" s="338"/>
    </row>
    <row r="591" spans="1:16" ht="16.5" thickBot="1">
      <c r="A591" s="132"/>
      <c r="B591" s="151" t="s">
        <v>451</v>
      </c>
      <c r="C591" s="121"/>
      <c r="D591" s="121">
        <f>C589</f>
        <v>212.5</v>
      </c>
      <c r="E591" s="338"/>
      <c r="F591" s="1490" t="s">
        <v>500</v>
      </c>
      <c r="G591" s="1491"/>
      <c r="H591" s="1492"/>
      <c r="I591" s="406"/>
      <c r="J591" s="392"/>
      <c r="K591" s="407"/>
      <c r="L591" s="517"/>
      <c r="M591" s="407"/>
    </row>
    <row r="592" spans="1:16" ht="16.5" thickBot="1">
      <c r="A592" s="132"/>
      <c r="B592" s="151" t="s">
        <v>450</v>
      </c>
      <c r="C592" s="121"/>
      <c r="D592" s="121">
        <f>C590</f>
        <v>212.5</v>
      </c>
      <c r="F592" s="470" t="s">
        <v>497</v>
      </c>
      <c r="G592" s="470" t="s">
        <v>470</v>
      </c>
      <c r="H592" s="470" t="s">
        <v>498</v>
      </c>
      <c r="I592" s="539" t="s">
        <v>507</v>
      </c>
      <c r="J592" s="547">
        <f>+J590+F590-F593</f>
        <v>479418.09747766017</v>
      </c>
      <c r="K592" s="547">
        <f>+K590+G590-G593</f>
        <v>479397.70747766015</v>
      </c>
      <c r="L592" s="548">
        <f>+L590+H590-H593</f>
        <v>321385.37089344754</v>
      </c>
      <c r="M592" s="407"/>
      <c r="N592" s="387"/>
      <c r="O592" s="104"/>
    </row>
    <row r="593" spans="1:15" ht="16.5" thickBot="1">
      <c r="A593" s="132"/>
      <c r="B593" s="151" t="s">
        <v>460</v>
      </c>
      <c r="C593" s="121"/>
      <c r="D593" s="121"/>
      <c r="E593" s="90" t="s">
        <v>5</v>
      </c>
      <c r="F593" s="782">
        <f>+D524+D556+D569+D493+D500+D507+D516+D607+D613+D636+D678+D627</f>
        <v>209767.465</v>
      </c>
      <c r="G593" s="782">
        <f>+F593-D607+D608</f>
        <v>209767.465</v>
      </c>
      <c r="H593" s="471">
        <f>+D557+D563+D568+D509+D608+D526+D615+D623-C626</f>
        <v>483231.82999999996</v>
      </c>
      <c r="I593" s="540" t="s">
        <v>506</v>
      </c>
      <c r="J593" s="1165">
        <f>+'SUMMARY SHEET GST'!C92</f>
        <v>-0.23252233982202597</v>
      </c>
      <c r="K593" s="549">
        <f>+'SUMMARY SHEET GST'!D92</f>
        <v>-0.23252233982202597</v>
      </c>
      <c r="L593" s="1166">
        <f>+'SUMMARY SHEET GST'!E92</f>
        <v>0.47589344740845263</v>
      </c>
      <c r="M593" s="1119"/>
      <c r="O593" s="104"/>
    </row>
    <row r="594" spans="1:15">
      <c r="A594" s="132"/>
      <c r="B594" s="151" t="s">
        <v>938</v>
      </c>
      <c r="C594" s="121"/>
      <c r="D594" s="121"/>
      <c r="F594" s="518">
        <f>+F590-F593</f>
        <v>5320.5174776600907</v>
      </c>
      <c r="G594" s="683">
        <f>+G590-G593</f>
        <v>5320.5174776600907</v>
      </c>
      <c r="H594" s="521">
        <f>+H590-H593</f>
        <v>5894.0308934475179</v>
      </c>
      <c r="I594" s="541"/>
      <c r="J594" s="551">
        <f>+J592-J593</f>
        <v>479418.32999999996</v>
      </c>
      <c r="K594" s="552">
        <f>+K592-K593</f>
        <v>479397.93999999994</v>
      </c>
      <c r="L594" s="553">
        <f>+L592-L593</f>
        <v>321384.89500000014</v>
      </c>
      <c r="M594" s="407"/>
    </row>
    <row r="595" spans="1:15" ht="16.5" thickBot="1">
      <c r="A595" s="865"/>
      <c r="B595" s="99"/>
      <c r="C595" s="116"/>
      <c r="D595" s="116"/>
      <c r="F595" s="519"/>
      <c r="G595" s="405"/>
      <c r="H595" s="522"/>
      <c r="I595" s="540" t="s">
        <v>522</v>
      </c>
      <c r="J595" s="549">
        <f>+J594*2</f>
        <v>958836.65999999992</v>
      </c>
      <c r="K595" s="549">
        <f>+K594*2</f>
        <v>958795.87999999989</v>
      </c>
      <c r="L595" s="550">
        <f>+L594*2</f>
        <v>642769.79000000027</v>
      </c>
      <c r="N595" s="338"/>
    </row>
    <row r="596" spans="1:15" s="1122" customFormat="1" ht="16.5" thickBot="1">
      <c r="A596" s="1120"/>
      <c r="B596" s="1121"/>
      <c r="C596" s="121"/>
      <c r="D596" s="121"/>
      <c r="F596" s="1493" t="s">
        <v>499</v>
      </c>
      <c r="G596" s="1494"/>
      <c r="H596" s="1495"/>
      <c r="I596" s="1123" t="s">
        <v>79</v>
      </c>
      <c r="J596" s="1163">
        <f>+J592-'SUMMARY SHEET GST'!C94</f>
        <v>54056.000999999931</v>
      </c>
      <c r="K596" s="1163">
        <f>+K592-'SUMMARY SHEET GST'!D94</f>
        <v>54035.610999999917</v>
      </c>
      <c r="L596" s="1164">
        <f>+L592-'SUMMARY SHEET GST'!E94</f>
        <v>1.2050000001327135</v>
      </c>
      <c r="M596" s="1124" t="s">
        <v>848</v>
      </c>
    </row>
    <row r="597" spans="1:15" s="1122" customFormat="1" ht="16.5" thickBot="1">
      <c r="A597" s="1120">
        <f>+A589+1</f>
        <v>25</v>
      </c>
      <c r="B597" s="1121" t="s">
        <v>336</v>
      </c>
      <c r="C597" s="363">
        <f>+'SUMMARY SHEET GST'!D114</f>
        <v>514404.69939999981</v>
      </c>
      <c r="D597" s="121"/>
      <c r="F597" s="1125" t="s">
        <v>501</v>
      </c>
      <c r="G597" s="1125" t="s">
        <v>502</v>
      </c>
      <c r="H597" s="1125" t="s">
        <v>503</v>
      </c>
      <c r="I597" s="406"/>
      <c r="J597" s="1126"/>
      <c r="K597" s="1126"/>
      <c r="L597" s="1127"/>
      <c r="M597" s="1128"/>
    </row>
    <row r="598" spans="1:15" s="1122" customFormat="1" ht="16.5" thickBot="1">
      <c r="A598" s="1120"/>
      <c r="B598" s="1121" t="s">
        <v>337</v>
      </c>
      <c r="C598" s="363">
        <f>+'SUMMARY SHEET GST'!E114</f>
        <v>514404.69939999981</v>
      </c>
      <c r="D598" s="121"/>
      <c r="F598" s="1129">
        <f>+C555+C589+C597+C492+C538+C654+C675</f>
        <v>878129.69939999981</v>
      </c>
      <c r="G598" s="1129">
        <f>+F598</f>
        <v>878129.69939999981</v>
      </c>
      <c r="H598" s="1129">
        <f>+C567+C599</f>
        <v>26115.030000000002</v>
      </c>
      <c r="I598" s="406"/>
      <c r="J598" s="1487" t="s">
        <v>703</v>
      </c>
      <c r="K598" s="1488"/>
      <c r="L598" s="1489"/>
    </row>
    <row r="599" spans="1:15" s="1122" customFormat="1" ht="16.5" thickBot="1">
      <c r="A599" s="1120"/>
      <c r="B599" s="1121" t="s">
        <v>433</v>
      </c>
      <c r="C599" s="363">
        <f>+'SUMMARY SHEET GST'!F114</f>
        <v>1108.0300000000025</v>
      </c>
      <c r="D599" s="121" t="s">
        <v>5</v>
      </c>
      <c r="F599" s="1493" t="s">
        <v>500</v>
      </c>
      <c r="G599" s="1494"/>
      <c r="H599" s="1495"/>
      <c r="I599" s="406"/>
      <c r="J599" s="1130" t="s">
        <v>722</v>
      </c>
      <c r="K599" s="1130" t="s">
        <v>723</v>
      </c>
      <c r="L599" s="1130" t="s">
        <v>724</v>
      </c>
    </row>
    <row r="600" spans="1:15" s="1122" customFormat="1" ht="16.5" thickBot="1">
      <c r="A600" s="1120"/>
      <c r="B600" s="1121" t="s">
        <v>316</v>
      </c>
      <c r="C600" s="121"/>
      <c r="D600" s="364">
        <f>+C597+C598+C599</f>
        <v>1029917.4287999996</v>
      </c>
      <c r="F600" s="1125" t="s">
        <v>501</v>
      </c>
      <c r="G600" s="1125" t="s">
        <v>502</v>
      </c>
      <c r="H600" s="1125" t="s">
        <v>503</v>
      </c>
      <c r="I600" s="406"/>
      <c r="J600" s="1125">
        <v>0</v>
      </c>
      <c r="K600" s="1125">
        <v>0</v>
      </c>
      <c r="L600" s="1131">
        <v>0</v>
      </c>
      <c r="M600" s="1132" t="s">
        <v>572</v>
      </c>
    </row>
    <row r="601" spans="1:15" s="1122" customFormat="1" ht="16.5" thickBot="1">
      <c r="A601" s="1120"/>
      <c r="B601" s="1121" t="s">
        <v>341</v>
      </c>
      <c r="C601" s="121"/>
      <c r="D601" s="121"/>
      <c r="F601" s="1129">
        <f>+D9+D25+D41+D57+D73+D89+D105+D121+D137+D153+D169+D185+D201+D217+D233+D249+D265+D281+D297+D313+D329+D345+D393+D411+D430+D577+D532+D445+D538+D361+D377+D681+D606</f>
        <v>878984.56989999989</v>
      </c>
      <c r="G601" s="1133">
        <f>+F601</f>
        <v>878984.56989999989</v>
      </c>
      <c r="H601" s="1129">
        <f>+D11+D27+D43+D59+D75+D91+D107+D123+D139+D155+D171+D187+D203+D219+D235+D251+D267+D283+D299+D315+D331+D347+D395+D413+D432+D534+D656+D677</f>
        <v>25006.030000000002</v>
      </c>
      <c r="I601" s="406"/>
    </row>
    <row r="602" spans="1:15" s="1122" customFormat="1" ht="16.5" thickBot="1">
      <c r="A602" s="1120"/>
      <c r="B602" s="1121" t="s">
        <v>339</v>
      </c>
      <c r="C602" s="121"/>
      <c r="D602" s="121"/>
      <c r="F602" s="1129">
        <f>+F598-F601</f>
        <v>-854.8705000000773</v>
      </c>
      <c r="G602" s="1129">
        <f>+G598-G601</f>
        <v>-854.8705000000773</v>
      </c>
      <c r="H602" s="1134">
        <f>+H598-H601</f>
        <v>1109</v>
      </c>
      <c r="I602" s="1135" t="s">
        <v>733</v>
      </c>
      <c r="J602" s="1136">
        <f>+C460</f>
        <v>0</v>
      </c>
      <c r="K602" s="1136">
        <f>+C461</f>
        <v>0</v>
      </c>
      <c r="L602" s="1137">
        <f>+C462</f>
        <v>0</v>
      </c>
    </row>
    <row r="603" spans="1:15" s="1122" customFormat="1" ht="15.75" customHeight="1">
      <c r="A603" s="1120"/>
      <c r="B603" s="1121" t="s">
        <v>340</v>
      </c>
      <c r="C603" s="121"/>
      <c r="D603" s="121"/>
      <c r="F603" s="1496" t="s">
        <v>977</v>
      </c>
      <c r="G603" s="1496"/>
      <c r="H603" s="1497"/>
      <c r="I603" s="541" t="s">
        <v>732</v>
      </c>
      <c r="J603" s="1138">
        <f>+D479</f>
        <v>-60365.184555320186</v>
      </c>
      <c r="K603" s="1138">
        <f>+D480</f>
        <v>-60365.184555320186</v>
      </c>
      <c r="L603" s="1139">
        <f>+D481</f>
        <v>-321844.50178689498</v>
      </c>
    </row>
    <row r="604" spans="1:15" s="1122" customFormat="1" ht="16.5" thickBot="1">
      <c r="A604" s="1140"/>
      <c r="B604" s="1141"/>
      <c r="C604" s="116"/>
      <c r="D604" s="116"/>
      <c r="F604" s="1142"/>
      <c r="G604" s="1143"/>
      <c r="H604" s="1143"/>
      <c r="I604" s="1144" t="s">
        <v>734</v>
      </c>
      <c r="J604" s="1145">
        <f>+J602-J603+D670</f>
        <v>60365.184555320186</v>
      </c>
      <c r="K604" s="1145">
        <f>+K602-K603</f>
        <v>60365.184555320186</v>
      </c>
      <c r="L604" s="1146">
        <f>+L602-L603</f>
        <v>321844.50178689498</v>
      </c>
    </row>
    <row r="605" spans="1:15" s="1122" customFormat="1" ht="16.5" thickBot="1">
      <c r="A605" s="1147">
        <f>+A597+1</f>
        <v>26</v>
      </c>
      <c r="B605" s="1148" t="s">
        <v>166</v>
      </c>
      <c r="C605" s="125">
        <f>+D606+D607</f>
        <v>0</v>
      </c>
      <c r="D605" s="123"/>
      <c r="F605" s="1142"/>
      <c r="G605" s="1143"/>
      <c r="H605" s="1143"/>
      <c r="I605" s="1149" t="s">
        <v>79</v>
      </c>
      <c r="J605" s="1150">
        <f>+J602-J603-J604+J600</f>
        <v>0</v>
      </c>
      <c r="K605" s="1151">
        <f>+J605</f>
        <v>0</v>
      </c>
      <c r="L605" s="1150">
        <f>+L602-L603-L604+L600</f>
        <v>0</v>
      </c>
    </row>
    <row r="606" spans="1:15" s="1122" customFormat="1">
      <c r="A606" s="1152"/>
      <c r="B606" s="1153" t="s">
        <v>877</v>
      </c>
      <c r="C606" s="120"/>
      <c r="D606" s="121">
        <v>0</v>
      </c>
      <c r="F606" s="1142"/>
      <c r="G606" s="1143"/>
      <c r="H606" s="1143"/>
      <c r="I606" s="1154"/>
      <c r="J606" s="1155"/>
      <c r="K606" s="1156"/>
      <c r="L606" s="1155"/>
    </row>
    <row r="607" spans="1:15" s="1122" customFormat="1">
      <c r="A607" s="1152"/>
      <c r="B607" s="1153" t="s">
        <v>878</v>
      </c>
      <c r="C607" s="120"/>
      <c r="D607" s="121">
        <v>0</v>
      </c>
      <c r="E607" s="1132"/>
      <c r="F607" s="1142"/>
      <c r="G607" s="1143"/>
      <c r="H607" s="1143"/>
      <c r="I607" s="1154"/>
      <c r="J607" s="1155"/>
      <c r="K607" s="1156"/>
      <c r="L607" s="1155"/>
    </row>
    <row r="608" spans="1:15" s="1122" customFormat="1">
      <c r="A608" s="1152"/>
      <c r="B608" s="1157" t="s">
        <v>879</v>
      </c>
      <c r="C608" s="120"/>
      <c r="D608" s="121"/>
      <c r="F608" s="1142"/>
      <c r="G608" s="1143"/>
      <c r="H608" s="1143"/>
      <c r="I608" s="1154"/>
      <c r="J608" s="1155"/>
      <c r="K608" s="1156"/>
      <c r="L608" s="1155"/>
    </row>
    <row r="609" spans="1:12" s="1122" customFormat="1">
      <c r="A609" s="1121"/>
      <c r="B609" s="1157"/>
      <c r="C609" s="120"/>
      <c r="D609" s="121"/>
      <c r="F609" s="1142"/>
      <c r="G609" s="1143"/>
      <c r="H609" s="1143"/>
      <c r="I609" s="1154"/>
      <c r="J609" s="1498"/>
      <c r="K609" s="1156"/>
      <c r="L609" s="1155"/>
    </row>
    <row r="610" spans="1:12" s="1122" customFormat="1" ht="16.5" thickBot="1">
      <c r="A610" s="1158"/>
      <c r="B610" s="1159"/>
      <c r="C610" s="122"/>
      <c r="D610" s="116"/>
      <c r="F610" s="1142"/>
      <c r="G610" s="1143"/>
      <c r="H610" s="1143"/>
      <c r="I610" s="1154"/>
      <c r="J610" s="1155"/>
      <c r="K610" s="1500"/>
      <c r="L610" s="1155"/>
    </row>
    <row r="611" spans="1:12" s="1122" customFormat="1">
      <c r="A611" s="1120">
        <f>+A605+1</f>
        <v>27</v>
      </c>
      <c r="B611" s="1121" t="s">
        <v>634</v>
      </c>
      <c r="C611" s="651">
        <v>0</v>
      </c>
      <c r="D611" s="121"/>
      <c r="F611" s="1143"/>
      <c r="G611" s="1143"/>
      <c r="H611" s="1143"/>
      <c r="J611" s="1160"/>
      <c r="K611" s="1160"/>
      <c r="L611" s="1160"/>
    </row>
    <row r="612" spans="1:12" s="1122" customFormat="1">
      <c r="A612" s="1120"/>
      <c r="B612" s="1161" t="s">
        <v>635</v>
      </c>
      <c r="C612" s="121"/>
      <c r="D612" s="651">
        <v>0</v>
      </c>
      <c r="F612" s="1143"/>
      <c r="G612" s="1143"/>
      <c r="H612" s="1143"/>
      <c r="J612" s="1128"/>
    </row>
    <row r="613" spans="1:12" s="1122" customFormat="1">
      <c r="A613" s="1120"/>
      <c r="B613" s="1162" t="s">
        <v>636</v>
      </c>
      <c r="C613" s="121"/>
      <c r="D613" s="651">
        <v>0</v>
      </c>
      <c r="F613" s="1143"/>
      <c r="G613" s="1143"/>
      <c r="H613" s="1143"/>
    </row>
    <row r="614" spans="1:12">
      <c r="A614" s="132"/>
      <c r="B614" s="652" t="s">
        <v>637</v>
      </c>
      <c r="C614" s="121"/>
      <c r="D614" s="651">
        <f>+C611-D612-D613</f>
        <v>0</v>
      </c>
    </row>
    <row r="615" spans="1:12" ht="16.5" thickBot="1">
      <c r="A615" s="132"/>
      <c r="B615" s="151"/>
      <c r="C615" s="121"/>
      <c r="D615" s="121"/>
    </row>
    <row r="616" spans="1:12">
      <c r="A616" s="864"/>
      <c r="B616" s="150"/>
      <c r="C616" s="123"/>
      <c r="D616" s="123"/>
    </row>
    <row r="617" spans="1:12" ht="15.75" customHeight="1">
      <c r="A617" s="132">
        <f>+A611+1</f>
        <v>28</v>
      </c>
      <c r="B617" s="94" t="s">
        <v>925</v>
      </c>
      <c r="C617" s="121">
        <v>1889.59</v>
      </c>
      <c r="D617" s="1499"/>
      <c r="E617" s="1062"/>
    </row>
    <row r="618" spans="1:12">
      <c r="A618" s="132"/>
      <c r="B618" s="94" t="s">
        <v>926</v>
      </c>
      <c r="C618" s="121">
        <f>20.39+1889.59</f>
        <v>1909.98</v>
      </c>
      <c r="D618" s="1499"/>
      <c r="E618" s="1062"/>
      <c r="F618" s="338"/>
      <c r="G618" s="338"/>
      <c r="H618" s="338"/>
    </row>
    <row r="619" spans="1:12">
      <c r="A619" s="132"/>
      <c r="B619" s="94" t="s">
        <v>927</v>
      </c>
      <c r="C619" s="121">
        <v>0</v>
      </c>
      <c r="D619" s="1499"/>
      <c r="E619" s="1062"/>
      <c r="F619" s="104"/>
      <c r="G619" s="104"/>
      <c r="H619" s="104"/>
    </row>
    <row r="620" spans="1:12">
      <c r="A620" s="132"/>
      <c r="B620" s="90" t="s">
        <v>924</v>
      </c>
      <c r="C620" s="121"/>
      <c r="D620" s="1499">
        <f>+C617+C618</f>
        <v>3799.5699999999997</v>
      </c>
      <c r="E620" s="1062"/>
    </row>
    <row r="621" spans="1:12">
      <c r="A621" s="132"/>
      <c r="C621" s="121"/>
      <c r="D621" s="1499"/>
      <c r="E621" s="1062"/>
    </row>
    <row r="622" spans="1:12">
      <c r="A622" s="132"/>
      <c r="B622" s="151" t="s">
        <v>780</v>
      </c>
      <c r="C622" s="121"/>
      <c r="D622" s="1499"/>
      <c r="E622" s="1062"/>
    </row>
    <row r="623" spans="1:12" ht="16.5" thickBot="1">
      <c r="A623" s="132"/>
      <c r="B623" s="151"/>
      <c r="C623" s="121"/>
      <c r="D623" s="121"/>
      <c r="F623" s="338"/>
      <c r="G623" s="338"/>
      <c r="H623" s="338"/>
    </row>
    <row r="624" spans="1:12">
      <c r="A624" s="864"/>
      <c r="B624" s="150"/>
      <c r="C624" s="123"/>
      <c r="D624" s="123"/>
      <c r="E624" s="781"/>
      <c r="F624" s="338"/>
      <c r="G624" s="338"/>
      <c r="H624" s="338"/>
    </row>
    <row r="625" spans="1:8">
      <c r="A625" s="132">
        <f>+A617+1</f>
        <v>29</v>
      </c>
      <c r="B625" s="1191" t="s">
        <v>931</v>
      </c>
      <c r="C625" s="121">
        <f>+D627+D628-C626</f>
        <v>0</v>
      </c>
      <c r="D625" s="121"/>
      <c r="E625" s="781"/>
      <c r="F625" s="338"/>
      <c r="G625" s="338"/>
      <c r="H625" s="338"/>
    </row>
    <row r="626" spans="1:8">
      <c r="A626" s="132"/>
      <c r="B626" s="94" t="s">
        <v>927</v>
      </c>
      <c r="C626" s="121"/>
      <c r="D626" s="121"/>
      <c r="E626" s="781"/>
      <c r="F626" s="338"/>
      <c r="G626" s="338"/>
      <c r="H626" s="338"/>
    </row>
    <row r="627" spans="1:8">
      <c r="A627" s="132"/>
      <c r="B627" s="94" t="s">
        <v>933</v>
      </c>
      <c r="C627" s="121"/>
      <c r="D627" s="121"/>
      <c r="E627" s="781"/>
      <c r="F627" s="338"/>
      <c r="G627" s="338"/>
      <c r="H627" s="338"/>
    </row>
    <row r="628" spans="1:8">
      <c r="A628" s="132"/>
      <c r="B628" s="94" t="s">
        <v>932</v>
      </c>
      <c r="C628" s="121"/>
      <c r="D628" s="121"/>
      <c r="E628" s="781"/>
      <c r="F628" s="338"/>
      <c r="G628" s="338"/>
      <c r="H628" s="338"/>
    </row>
    <row r="629" spans="1:8">
      <c r="A629" s="132"/>
      <c r="B629" s="151"/>
      <c r="C629" s="121"/>
      <c r="D629" s="121"/>
      <c r="E629" s="781"/>
      <c r="F629" s="338"/>
      <c r="G629" s="338"/>
      <c r="H629" s="338"/>
    </row>
    <row r="630" spans="1:8">
      <c r="A630" s="132"/>
      <c r="B630" s="151" t="s">
        <v>780</v>
      </c>
      <c r="C630" s="121"/>
      <c r="D630" s="121"/>
      <c r="E630" s="781"/>
      <c r="F630" s="338"/>
      <c r="G630" s="338"/>
      <c r="H630" s="338"/>
    </row>
    <row r="631" spans="1:8" ht="16.5" thickBot="1">
      <c r="A631" s="865"/>
      <c r="B631" s="520"/>
      <c r="C631" s="116"/>
      <c r="D631" s="116"/>
      <c r="E631" s="781"/>
      <c r="F631" s="338"/>
      <c r="G631" s="338"/>
      <c r="H631" s="338"/>
    </row>
    <row r="632" spans="1:8">
      <c r="A632" s="132"/>
      <c r="B632" s="1191"/>
      <c r="C632" s="121"/>
      <c r="D632" s="152"/>
      <c r="E632" s="781"/>
      <c r="F632" s="338"/>
      <c r="G632" s="338"/>
      <c r="H632" s="338"/>
    </row>
    <row r="633" spans="1:8" ht="16.5" customHeight="1">
      <c r="A633" s="132">
        <f>+A625+1</f>
        <v>30</v>
      </c>
      <c r="B633" s="802" t="s">
        <v>851</v>
      </c>
      <c r="C633" s="121">
        <v>0</v>
      </c>
      <c r="D633" s="152"/>
      <c r="E633" s="1481"/>
    </row>
    <row r="634" spans="1:8">
      <c r="A634" s="132"/>
      <c r="B634" s="802" t="s">
        <v>765</v>
      </c>
      <c r="C634" s="121"/>
      <c r="D634" s="152"/>
      <c r="E634" s="1481"/>
    </row>
    <row r="635" spans="1:8">
      <c r="A635" s="132"/>
      <c r="B635" s="802" t="s">
        <v>766</v>
      </c>
      <c r="C635" s="121"/>
      <c r="D635" s="152"/>
      <c r="E635" s="1481"/>
    </row>
    <row r="636" spans="1:8">
      <c r="A636" s="132"/>
      <c r="B636" s="653" t="s">
        <v>636</v>
      </c>
      <c r="C636" s="121"/>
      <c r="D636" s="152">
        <f>+C633+C634+C635</f>
        <v>0</v>
      </c>
      <c r="E636" s="781"/>
    </row>
    <row r="637" spans="1:8">
      <c r="A637" s="132"/>
      <c r="B637" s="760" t="s">
        <v>852</v>
      </c>
      <c r="C637" s="121"/>
      <c r="D637" s="152"/>
      <c r="E637" s="781"/>
    </row>
    <row r="638" spans="1:8" ht="16.5" thickBot="1">
      <c r="A638" s="865"/>
      <c r="B638" s="801"/>
      <c r="C638" s="116"/>
      <c r="D638" s="153"/>
      <c r="E638" s="781"/>
    </row>
    <row r="639" spans="1:8">
      <c r="A639" s="864"/>
      <c r="B639" s="150"/>
      <c r="C639" s="123"/>
      <c r="D639" s="123"/>
      <c r="E639" s="781"/>
    </row>
    <row r="640" spans="1:8">
      <c r="A640" s="132">
        <f>+A633+1</f>
        <v>31</v>
      </c>
      <c r="B640" s="94" t="s">
        <v>166</v>
      </c>
      <c r="C640" s="121">
        <f>+D641+D642</f>
        <v>0</v>
      </c>
      <c r="D640" s="121"/>
      <c r="E640" s="781"/>
    </row>
    <row r="641" spans="1:12">
      <c r="A641" s="132"/>
      <c r="B641" s="94" t="s">
        <v>273</v>
      </c>
      <c r="C641" s="121"/>
      <c r="D641" s="121">
        <v>0</v>
      </c>
      <c r="E641" s="781"/>
      <c r="L641" s="90">
        <f>1657-1557</f>
        <v>100</v>
      </c>
    </row>
    <row r="642" spans="1:12">
      <c r="A642" s="132"/>
      <c r="B642" s="94" t="s">
        <v>274</v>
      </c>
      <c r="C642" s="121"/>
      <c r="D642" s="121">
        <v>0</v>
      </c>
      <c r="E642" s="781"/>
    </row>
    <row r="643" spans="1:12">
      <c r="A643" s="132"/>
      <c r="B643" s="151" t="s">
        <v>731</v>
      </c>
      <c r="C643" s="121"/>
      <c r="D643" s="121"/>
      <c r="E643" s="781"/>
    </row>
    <row r="644" spans="1:12">
      <c r="A644" s="132"/>
      <c r="B644" s="151" t="s">
        <v>638</v>
      </c>
      <c r="C644" s="121"/>
      <c r="D644" s="121"/>
      <c r="E644" s="781"/>
    </row>
    <row r="645" spans="1:12" ht="16.5" thickBot="1">
      <c r="A645" s="865"/>
      <c r="B645" s="520"/>
      <c r="C645" s="116"/>
      <c r="D645" s="116"/>
      <c r="E645" s="781"/>
    </row>
    <row r="646" spans="1:12">
      <c r="A646" s="864"/>
      <c r="B646" s="150"/>
      <c r="C646" s="123"/>
      <c r="D646" s="123"/>
    </row>
    <row r="647" spans="1:12">
      <c r="A647" s="132">
        <f>+A640+1</f>
        <v>32</v>
      </c>
      <c r="B647" s="610" t="s">
        <v>648</v>
      </c>
      <c r="C647" s="363">
        <v>0</v>
      </c>
      <c r="D647" s="121"/>
    </row>
    <row r="648" spans="1:12">
      <c r="A648" s="132"/>
      <c r="B648" s="151" t="s">
        <v>647</v>
      </c>
      <c r="C648" s="363">
        <v>0</v>
      </c>
      <c r="D648" s="121"/>
    </row>
    <row r="649" spans="1:12">
      <c r="A649" s="132"/>
      <c r="B649" s="652" t="s">
        <v>637</v>
      </c>
      <c r="C649" s="121"/>
      <c r="D649" s="364">
        <f>+C647+C648</f>
        <v>0</v>
      </c>
    </row>
    <row r="650" spans="1:12">
      <c r="A650" s="132"/>
      <c r="B650" s="608" t="s">
        <v>791</v>
      </c>
      <c r="C650" s="121"/>
      <c r="D650" s="121"/>
    </row>
    <row r="651" spans="1:12">
      <c r="A651" s="132"/>
      <c r="B651" s="608"/>
      <c r="C651" s="121"/>
      <c r="D651" s="121"/>
    </row>
    <row r="652" spans="1:12" ht="16.5" thickBot="1">
      <c r="A652" s="865"/>
      <c r="B652" s="609"/>
      <c r="C652" s="116"/>
      <c r="D652" s="116"/>
    </row>
    <row r="653" spans="1:12">
      <c r="A653" s="864"/>
      <c r="B653" s="150"/>
      <c r="C653" s="123"/>
      <c r="D653" s="123"/>
    </row>
    <row r="654" spans="1:12">
      <c r="A654" s="132">
        <f>+A647+1</f>
        <v>33</v>
      </c>
      <c r="B654" s="151" t="s">
        <v>639</v>
      </c>
      <c r="C654" s="654">
        <v>0</v>
      </c>
      <c r="D654" s="121"/>
    </row>
    <row r="655" spans="1:12">
      <c r="A655" s="132"/>
      <c r="B655" s="94" t="s">
        <v>166</v>
      </c>
      <c r="C655" s="654">
        <f>+D656+D657-C654</f>
        <v>0</v>
      </c>
      <c r="D655" s="121"/>
    </row>
    <row r="656" spans="1:12">
      <c r="A656" s="132"/>
      <c r="B656" s="151" t="s">
        <v>640</v>
      </c>
      <c r="C656" s="121"/>
      <c r="D656" s="121">
        <v>0</v>
      </c>
    </row>
    <row r="657" spans="1:6">
      <c r="A657" s="132"/>
      <c r="B657" s="151" t="s">
        <v>641</v>
      </c>
      <c r="C657" s="121"/>
      <c r="D657" s="121">
        <v>0</v>
      </c>
    </row>
    <row r="658" spans="1:6">
      <c r="A658" s="132"/>
      <c r="B658" s="608" t="s">
        <v>642</v>
      </c>
      <c r="C658" s="121"/>
      <c r="D658" s="121"/>
    </row>
    <row r="659" spans="1:6">
      <c r="A659" s="132"/>
      <c r="B659" s="608"/>
      <c r="C659" s="121"/>
      <c r="D659" s="121"/>
    </row>
    <row r="660" spans="1:6" ht="16.5" thickBot="1">
      <c r="A660" s="865"/>
      <c r="B660" s="609"/>
      <c r="C660" s="116"/>
      <c r="D660" s="116"/>
    </row>
    <row r="661" spans="1:6">
      <c r="A661" s="864"/>
      <c r="B661" s="717"/>
      <c r="C661" s="123"/>
      <c r="D661" s="123"/>
    </row>
    <row r="662" spans="1:6">
      <c r="A662" s="132">
        <f>+A654+1</f>
        <v>34</v>
      </c>
      <c r="B662" s="610" t="s">
        <v>608</v>
      </c>
      <c r="C662" s="121">
        <v>0</v>
      </c>
      <c r="D662" s="121"/>
    </row>
    <row r="663" spans="1:6">
      <c r="A663" s="132"/>
      <c r="B663" s="94" t="s">
        <v>607</v>
      </c>
      <c r="C663" s="121"/>
      <c r="D663" s="121">
        <f>+C662</f>
        <v>0</v>
      </c>
    </row>
    <row r="664" spans="1:6">
      <c r="A664" s="132"/>
      <c r="B664" s="608" t="s">
        <v>792</v>
      </c>
      <c r="C664" s="121"/>
      <c r="D664" s="121"/>
    </row>
    <row r="665" spans="1:6" ht="20.25" customHeight="1">
      <c r="A665" s="132"/>
      <c r="B665" s="608"/>
      <c r="C665" s="121"/>
      <c r="D665" s="121"/>
    </row>
    <row r="666" spans="1:6" ht="16.5" thickBot="1">
      <c r="A666" s="865"/>
      <c r="B666" s="99"/>
      <c r="C666" s="116"/>
      <c r="D666" s="116"/>
    </row>
    <row r="667" spans="1:6">
      <c r="A667" s="864"/>
      <c r="B667" s="150"/>
      <c r="C667" s="123"/>
      <c r="D667" s="123"/>
    </row>
    <row r="668" spans="1:6">
      <c r="A668" s="769">
        <f>+A662+1</f>
        <v>35</v>
      </c>
      <c r="B668" s="610" t="s">
        <v>735</v>
      </c>
      <c r="C668" s="654">
        <v>0</v>
      </c>
      <c r="D668" s="121"/>
      <c r="F668" s="408"/>
    </row>
    <row r="669" spans="1:6">
      <c r="A669" s="132"/>
      <c r="B669" s="151" t="s">
        <v>736</v>
      </c>
      <c r="C669" s="654">
        <v>0</v>
      </c>
      <c r="D669" s="121"/>
    </row>
    <row r="670" spans="1:6">
      <c r="A670" s="132"/>
      <c r="B670" s="94" t="s">
        <v>737</v>
      </c>
      <c r="C670" s="121"/>
      <c r="D670" s="121">
        <f>+C668</f>
        <v>0</v>
      </c>
    </row>
    <row r="671" spans="1:6">
      <c r="A671" s="132"/>
      <c r="B671" s="94" t="s">
        <v>738</v>
      </c>
      <c r="C671" s="94"/>
      <c r="D671" s="121">
        <f>+C669</f>
        <v>0</v>
      </c>
    </row>
    <row r="672" spans="1:6">
      <c r="A672" s="132"/>
      <c r="B672" s="94" t="s">
        <v>764</v>
      </c>
      <c r="C672" s="121"/>
      <c r="D672" s="364"/>
    </row>
    <row r="673" spans="1:4" ht="16.5" thickBot="1">
      <c r="A673" s="865"/>
      <c r="B673" s="609"/>
      <c r="C673" s="116"/>
      <c r="D673" s="116"/>
    </row>
    <row r="674" spans="1:4">
      <c r="A674" s="962"/>
      <c r="B674" s="717"/>
      <c r="C674" s="125"/>
      <c r="D674" s="123"/>
    </row>
    <row r="675" spans="1:4">
      <c r="A675" s="955">
        <f>+A668+1</f>
        <v>36</v>
      </c>
      <c r="B675" s="94" t="s">
        <v>336</v>
      </c>
      <c r="C675" s="120">
        <v>0</v>
      </c>
      <c r="D675" s="121"/>
    </row>
    <row r="676" spans="1:4">
      <c r="A676" s="955"/>
      <c r="B676" s="94" t="s">
        <v>337</v>
      </c>
      <c r="C676" s="120">
        <v>0</v>
      </c>
      <c r="D676" s="121"/>
    </row>
    <row r="677" spans="1:4">
      <c r="A677" s="955"/>
      <c r="B677" s="94" t="s">
        <v>672</v>
      </c>
      <c r="C677" s="120"/>
      <c r="D677" s="121">
        <v>0</v>
      </c>
    </row>
    <row r="678" spans="1:4">
      <c r="A678" s="955"/>
      <c r="B678" s="608" t="s">
        <v>793</v>
      </c>
      <c r="C678" s="120"/>
      <c r="D678" s="121"/>
    </row>
    <row r="679" spans="1:4" ht="16.5" thickBot="1">
      <c r="A679" s="955"/>
      <c r="B679" s="608"/>
      <c r="C679" s="120"/>
      <c r="D679" s="121"/>
    </row>
    <row r="680" spans="1:4">
      <c r="A680" s="962">
        <v>33</v>
      </c>
      <c r="B680" s="119" t="s">
        <v>166</v>
      </c>
      <c r="C680" s="125">
        <f>+D681+D682</f>
        <v>0</v>
      </c>
      <c r="D680" s="123"/>
    </row>
    <row r="681" spans="1:4">
      <c r="A681" s="955"/>
      <c r="B681" s="94" t="s">
        <v>877</v>
      </c>
      <c r="C681" s="120"/>
      <c r="D681" s="121"/>
    </row>
    <row r="682" spans="1:4">
      <c r="A682" s="955"/>
      <c r="B682" s="94" t="s">
        <v>878</v>
      </c>
      <c r="C682" s="120"/>
      <c r="D682" s="121"/>
    </row>
    <row r="683" spans="1:4">
      <c r="A683" s="955"/>
      <c r="B683" s="608" t="s">
        <v>879</v>
      </c>
      <c r="C683" s="120"/>
      <c r="D683" s="121"/>
    </row>
    <row r="684" spans="1:4">
      <c r="A684" s="151"/>
      <c r="B684" s="608"/>
      <c r="C684" s="120"/>
      <c r="D684" s="121"/>
    </row>
    <row r="685" spans="1:4" ht="16.5" thickBot="1">
      <c r="A685" s="520"/>
      <c r="B685" s="609"/>
      <c r="C685" s="122"/>
      <c r="D685" s="116"/>
    </row>
    <row r="687" spans="1:4">
      <c r="A687" s="647" t="str">
        <f ca="1">+CELL("filename")</f>
        <v>Y:\PC-1 MASTER\LAW\GST\26-27\GST TDS\6. SEP'26\[GST TDS ENTRY SEP-2026.xlsx]ENTRY</v>
      </c>
    </row>
  </sheetData>
  <mergeCells count="19">
    <mergeCell ref="E633:E635"/>
    <mergeCell ref="E452:F456"/>
    <mergeCell ref="F585:L585"/>
    <mergeCell ref="J588:L588"/>
    <mergeCell ref="F591:H591"/>
    <mergeCell ref="F599:H599"/>
    <mergeCell ref="F588:H588"/>
    <mergeCell ref="F596:H596"/>
    <mergeCell ref="J598:L598"/>
    <mergeCell ref="F603:H603"/>
    <mergeCell ref="A1:D1"/>
    <mergeCell ref="A3:D3"/>
    <mergeCell ref="E270:E277"/>
    <mergeCell ref="F575:I575"/>
    <mergeCell ref="E302:F309"/>
    <mergeCell ref="F561:M561"/>
    <mergeCell ref="E174:E179"/>
    <mergeCell ref="E256:E261"/>
    <mergeCell ref="E239:E244"/>
  </mergeCells>
  <pageMargins left="0.7" right="0.7" top="0.75" bottom="0.75" header="0.3" footer="0.3"/>
  <pageSetup paperSize="9" scale="56" fitToHeight="0" orientation="portrait" r:id="rId1"/>
  <rowBreaks count="10" manualBreakCount="10">
    <brk id="69" max="3" man="1"/>
    <brk id="133" max="3" man="1"/>
    <brk id="197" max="3" man="1"/>
    <brk id="261" max="3" man="1"/>
    <brk id="325" max="3" man="1"/>
    <brk id="389" max="3" man="1"/>
    <brk id="458" max="3" man="1"/>
    <brk id="529" max="3" man="1"/>
    <brk id="595" max="3" man="1"/>
    <brk id="673" max="3" man="1"/>
  </rowBreaks>
  <ignoredErrors>
    <ignoredError sqref="K60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54</vt:i4>
      </vt:variant>
    </vt:vector>
  </HeadingPairs>
  <TitlesOfParts>
    <vt:vector size="110" baseType="lpstr">
      <vt:lpstr>ODHAV </vt:lpstr>
      <vt:lpstr>RAKHIAL</vt:lpstr>
      <vt:lpstr>NEW SHARDA</vt:lpstr>
      <vt:lpstr>CHANGODAR</vt:lpstr>
      <vt:lpstr>ISANPUR</vt:lpstr>
      <vt:lpstr>MANINAGAR</vt:lpstr>
      <vt:lpstr>SHANTI COMM</vt:lpstr>
      <vt:lpstr>MASKATI</vt:lpstr>
      <vt:lpstr>VEJALPUR</vt:lpstr>
      <vt:lpstr>JODHPUR-SATELLITE</vt:lpstr>
      <vt:lpstr>PANJRAPOLE</vt:lpstr>
      <vt:lpstr>ASHRAM ROAD</vt:lpstr>
      <vt:lpstr>NARAYANNAGAR</vt:lpstr>
      <vt:lpstr>NARANPURA</vt:lpstr>
      <vt:lpstr>DRIVE IN</vt:lpstr>
      <vt:lpstr>VASANA </vt:lpstr>
      <vt:lpstr>SURAT</vt:lpstr>
      <vt:lpstr>LAW GARDEN</vt:lpstr>
      <vt:lpstr>NEW CLOTH</vt:lpstr>
      <vt:lpstr>BAPUNAGAR</vt:lpstr>
      <vt:lpstr>BOPAL</vt:lpstr>
      <vt:lpstr>THALTEJ</vt:lpstr>
      <vt:lpstr>CHANDKHEDA</vt:lpstr>
      <vt:lpstr>VASTRAL</vt:lpstr>
      <vt:lpstr>Sheet1</vt:lpstr>
      <vt:lpstr>HO</vt:lpstr>
      <vt:lpstr>DEMAT</vt:lpstr>
      <vt:lpstr>SUMMARY SHEET GST</vt:lpstr>
      <vt:lpstr>Notes</vt:lpstr>
      <vt:lpstr>GSTN CANCELLTED</vt:lpstr>
      <vt:lpstr>ODHAV1</vt:lpstr>
      <vt:lpstr>RAKHIAL1</vt:lpstr>
      <vt:lpstr>CHANGODAR1</vt:lpstr>
      <vt:lpstr>SHARDA MANDIR 1</vt:lpstr>
      <vt:lpstr>ISANPUR1</vt:lpstr>
      <vt:lpstr>MANINAGAR1</vt:lpstr>
      <vt:lpstr>SHANTI COMMERCIAL</vt:lpstr>
      <vt:lpstr>MASKATI MARKET</vt:lpstr>
      <vt:lpstr>VEJALPUR1</vt:lpstr>
      <vt:lpstr>JODHPUR1</vt:lpstr>
      <vt:lpstr>PANJRAPOLE1</vt:lpstr>
      <vt:lpstr>ASHRAM ROAD 1</vt:lpstr>
      <vt:lpstr>NARAYANNAGAR1</vt:lpstr>
      <vt:lpstr>NARANPURA1</vt:lpstr>
      <vt:lpstr>DRIVE IN1</vt:lpstr>
      <vt:lpstr>VASNA1</vt:lpstr>
      <vt:lpstr>SURAT1</vt:lpstr>
      <vt:lpstr>LAWGARGEN1</vt:lpstr>
      <vt:lpstr>NEW CLOTH MARKET 1</vt:lpstr>
      <vt:lpstr>BAPUNAGAR1</vt:lpstr>
      <vt:lpstr>BOPAL1</vt:lpstr>
      <vt:lpstr>THALTEJ1</vt:lpstr>
      <vt:lpstr>CHANDKHEDA1</vt:lpstr>
      <vt:lpstr>VASTRAL1</vt:lpstr>
      <vt:lpstr>DEMAT1</vt:lpstr>
      <vt:lpstr>HO1</vt:lpstr>
      <vt:lpstr>'ASHRAM ROAD'!Print_Area</vt:lpstr>
      <vt:lpstr>'ASHRAM ROAD 1'!Print_Area</vt:lpstr>
      <vt:lpstr>BAPUNAGAR!Print_Area</vt:lpstr>
      <vt:lpstr>BAPUNAGAR1!Print_Area</vt:lpstr>
      <vt:lpstr>BOPAL!Print_Area</vt:lpstr>
      <vt:lpstr>BOPAL1!Print_Area</vt:lpstr>
      <vt:lpstr>CHANDKHEDA!Print_Area</vt:lpstr>
      <vt:lpstr>CHANDKHEDA1!Print_Area</vt:lpstr>
      <vt:lpstr>CHANGODAR!Print_Area</vt:lpstr>
      <vt:lpstr>CHANGODAR1!Print_Area</vt:lpstr>
      <vt:lpstr>DEMAT!Print_Area</vt:lpstr>
      <vt:lpstr>DEMAT1!Print_Area</vt:lpstr>
      <vt:lpstr>'DRIVE IN'!Print_Area</vt:lpstr>
      <vt:lpstr>'DRIVE IN1'!Print_Area</vt:lpstr>
      <vt:lpstr>HO!Print_Area</vt:lpstr>
      <vt:lpstr>'HO1'!Print_Area</vt:lpstr>
      <vt:lpstr>ISANPUR!Print_Area</vt:lpstr>
      <vt:lpstr>ISANPUR1!Print_Area</vt:lpstr>
      <vt:lpstr>JODHPUR1!Print_Area</vt:lpstr>
      <vt:lpstr>'JODHPUR-SATELLITE'!Print_Area</vt:lpstr>
      <vt:lpstr>'LAW GARDEN'!Print_Area</vt:lpstr>
      <vt:lpstr>LAWGARGEN1!Print_Area</vt:lpstr>
      <vt:lpstr>MANINAGAR!Print_Area</vt:lpstr>
      <vt:lpstr>MANINAGAR1!Print_Area</vt:lpstr>
      <vt:lpstr>MASKATI!Print_Area</vt:lpstr>
      <vt:lpstr>'MASKATI MARKET'!Print_Area</vt:lpstr>
      <vt:lpstr>NARANPURA!Print_Area</vt:lpstr>
      <vt:lpstr>NARANPURA1!Print_Area</vt:lpstr>
      <vt:lpstr>NARAYANNAGAR!Print_Area</vt:lpstr>
      <vt:lpstr>NARAYANNAGAR1!Print_Area</vt:lpstr>
      <vt:lpstr>'NEW CLOTH'!Print_Area</vt:lpstr>
      <vt:lpstr>'NEW CLOTH MARKET 1'!Print_Area</vt:lpstr>
      <vt:lpstr>'NEW SHARDA'!Print_Area</vt:lpstr>
      <vt:lpstr>'ODHAV '!Print_Area</vt:lpstr>
      <vt:lpstr>ODHAV1!Print_Area</vt:lpstr>
      <vt:lpstr>PANJRAPOLE!Print_Area</vt:lpstr>
      <vt:lpstr>PANJRAPOLE1!Print_Area</vt:lpstr>
      <vt:lpstr>RAKHIAL!Print_Area</vt:lpstr>
      <vt:lpstr>RAKHIAL1!Print_Area</vt:lpstr>
      <vt:lpstr>'SHANTI COMM'!Print_Area</vt:lpstr>
      <vt:lpstr>'SHANTI COMMERCIAL'!Print_Area</vt:lpstr>
      <vt:lpstr>'SHARDA MANDIR 1'!Print_Area</vt:lpstr>
      <vt:lpstr>Sheet1!Print_Area</vt:lpstr>
      <vt:lpstr>'SUMMARY SHEET GST'!Print_Area</vt:lpstr>
      <vt:lpstr>SURAT!Print_Area</vt:lpstr>
      <vt:lpstr>SURAT1!Print_Area</vt:lpstr>
      <vt:lpstr>THALTEJ!Print_Area</vt:lpstr>
      <vt:lpstr>THALTEJ1!Print_Area</vt:lpstr>
      <vt:lpstr>'VASANA '!Print_Area</vt:lpstr>
      <vt:lpstr>VASNA1!Print_Area</vt:lpstr>
      <vt:lpstr>VASTRAL!Print_Area</vt:lpstr>
      <vt:lpstr>VASTRAL1!Print_Area</vt:lpstr>
      <vt:lpstr>VEJALPUR!Print_Area</vt:lpstr>
      <vt:lpstr>VEJALPUR1!Print_Area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2026-10-22T13:24:35Z</dcterms:modified>
</cp:coreProperties>
</file>